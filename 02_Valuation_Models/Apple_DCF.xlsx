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Technology Hardware &amp; Equipment Sector\Technology Hardware, Storage &amp; Peripherals Industry\Apple - Research Excel Documents\"/>
    </mc:Choice>
  </mc:AlternateContent>
  <xr:revisionPtr revIDLastSave="0" documentId="13_ncr:1_{08B22DC6-B852-4B2F-B727-63F1D9C43F75}" xr6:coauthVersionLast="47" xr6:coauthVersionMax="47" xr10:uidLastSave="{00000000-0000-0000-0000-000000000000}"/>
  <bookViews>
    <workbookView xWindow="0" yWindow="12" windowWidth="23256" windowHeight="13176" tabRatio="500" activeTab="3" xr2:uid="{00000000-000D-0000-FFFF-FFFF00000000}"/>
  </bookViews>
  <sheets>
    <sheet name="I.S" sheetId="2" r:id="rId1"/>
    <sheet name="C.S" sheetId="3" r:id="rId2"/>
    <sheet name="B.S" sheetId="4" r:id="rId3"/>
    <sheet name="&gt;&gt;Valuation" sheetId="5" r:id="rId4"/>
    <sheet name="Working Capital Schedule" sheetId="6" r:id="rId5"/>
    <sheet name="Depreciation Schedule" sheetId="7" r:id="rId6"/>
    <sheet name="Debt Schedule" sheetId="8" r:id="rId7"/>
  </sheets>
  <definedNames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'&gt;&gt;Valuation'!$B$47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2" l="1"/>
  <c r="H16" i="2"/>
  <c r="I16" i="2"/>
  <c r="J16" i="2"/>
  <c r="K16" i="2"/>
  <c r="M20" i="5"/>
  <c r="J36" i="4"/>
  <c r="I36" i="4"/>
  <c r="H36" i="4"/>
  <c r="G36" i="4"/>
  <c r="F36" i="4"/>
  <c r="E36" i="4"/>
  <c r="D36" i="4"/>
  <c r="C36" i="4"/>
  <c r="B36" i="4"/>
  <c r="J29" i="4"/>
  <c r="I29" i="4"/>
  <c r="H29" i="4"/>
  <c r="G29" i="4"/>
  <c r="F29" i="4"/>
  <c r="E29" i="4"/>
  <c r="D29" i="4"/>
  <c r="C29" i="4"/>
  <c r="B29" i="4"/>
  <c r="E28" i="4"/>
  <c r="D28" i="4"/>
  <c r="C28" i="4"/>
  <c r="B28" i="4"/>
  <c r="E23" i="4"/>
  <c r="D23" i="4"/>
  <c r="C23" i="4"/>
  <c r="B23" i="4"/>
  <c r="G30" i="8"/>
  <c r="F29" i="8"/>
  <c r="G6" i="8" s="1"/>
  <c r="K27" i="8"/>
  <c r="J27" i="8"/>
  <c r="I27" i="8"/>
  <c r="H27" i="8"/>
  <c r="G27" i="8"/>
  <c r="F23" i="8"/>
  <c r="G20" i="8" s="1"/>
  <c r="G23" i="8" s="1"/>
  <c r="F15" i="8"/>
  <c r="G12" i="8"/>
  <c r="G15" i="8" s="1"/>
  <c r="E3" i="8"/>
  <c r="F3" i="8" s="1"/>
  <c r="G3" i="8" s="1"/>
  <c r="H3" i="8" s="1"/>
  <c r="I3" i="8" s="1"/>
  <c r="J3" i="8" s="1"/>
  <c r="K3" i="8" s="1"/>
  <c r="C3" i="8"/>
  <c r="D3" i="8" s="1"/>
  <c r="M39" i="7"/>
  <c r="L39" i="7"/>
  <c r="K39" i="7"/>
  <c r="J39" i="7"/>
  <c r="I39" i="7"/>
  <c r="H19" i="7"/>
  <c r="H20" i="7" s="1"/>
  <c r="G19" i="7"/>
  <c r="F19" i="7"/>
  <c r="E19" i="7"/>
  <c r="E20" i="7" s="1"/>
  <c r="D19" i="7"/>
  <c r="I4" i="7"/>
  <c r="K13" i="7" s="1"/>
  <c r="M3" i="7"/>
  <c r="L3" i="7"/>
  <c r="G3" i="7"/>
  <c r="H3" i="7" s="1"/>
  <c r="I3" i="7" s="1"/>
  <c r="J3" i="7" s="1"/>
  <c r="K3" i="7" s="1"/>
  <c r="F3" i="7"/>
  <c r="E3" i="7"/>
  <c r="F18" i="6"/>
  <c r="F19" i="6" s="1"/>
  <c r="E18" i="6"/>
  <c r="E19" i="6" s="1"/>
  <c r="D18" i="6"/>
  <c r="D19" i="6" s="1"/>
  <c r="G19" i="6" s="1"/>
  <c r="C18" i="6"/>
  <c r="C19" i="6" s="1"/>
  <c r="H17" i="6"/>
  <c r="H16" i="6" s="1"/>
  <c r="G20" i="4" s="1"/>
  <c r="F16" i="6"/>
  <c r="F17" i="6" s="1"/>
  <c r="E16" i="6"/>
  <c r="E17" i="6" s="1"/>
  <c r="D16" i="6"/>
  <c r="D17" i="6" s="1"/>
  <c r="C16" i="6"/>
  <c r="C17" i="6" s="1"/>
  <c r="F14" i="6"/>
  <c r="F15" i="6" s="1"/>
  <c r="E14" i="6"/>
  <c r="D14" i="6"/>
  <c r="C14" i="6"/>
  <c r="C15" i="6" s="1"/>
  <c r="F10" i="6"/>
  <c r="F11" i="6" s="1"/>
  <c r="E10" i="6"/>
  <c r="E11" i="6" s="1"/>
  <c r="D10" i="6"/>
  <c r="D11" i="6" s="1"/>
  <c r="C10" i="6"/>
  <c r="C11" i="6" s="1"/>
  <c r="F8" i="6"/>
  <c r="F9" i="6" s="1"/>
  <c r="E8" i="6"/>
  <c r="E9" i="6" s="1"/>
  <c r="D8" i="6"/>
  <c r="D9" i="6" s="1"/>
  <c r="C8" i="6"/>
  <c r="C9" i="6" s="1"/>
  <c r="F6" i="6"/>
  <c r="F7" i="6" s="1"/>
  <c r="E6" i="6"/>
  <c r="E7" i="6" s="1"/>
  <c r="D6" i="6"/>
  <c r="D7" i="6" s="1"/>
  <c r="C6" i="6"/>
  <c r="C7" i="6" s="1"/>
  <c r="F4" i="6"/>
  <c r="F5" i="6" s="1"/>
  <c r="E4" i="6"/>
  <c r="D4" i="6"/>
  <c r="D5" i="6" s="1"/>
  <c r="C4" i="6"/>
  <c r="K3" i="6"/>
  <c r="F3" i="6"/>
  <c r="G3" i="6" s="1"/>
  <c r="H3" i="6" s="1"/>
  <c r="I3" i="6" s="1"/>
  <c r="J3" i="6" s="1"/>
  <c r="E3" i="6"/>
  <c r="D3" i="6"/>
  <c r="C3" i="6"/>
  <c r="F56" i="5"/>
  <c r="G56" i="5" s="1"/>
  <c r="C43" i="5"/>
  <c r="B43" i="5"/>
  <c r="M32" i="5"/>
  <c r="B40" i="5" s="1"/>
  <c r="C40" i="5" s="1"/>
  <c r="M31" i="5"/>
  <c r="M30" i="5"/>
  <c r="B38" i="5" s="1"/>
  <c r="C38" i="5" s="1"/>
  <c r="M29" i="5"/>
  <c r="J25" i="5"/>
  <c r="J24" i="5"/>
  <c r="M23" i="5"/>
  <c r="J23" i="5"/>
  <c r="C2" i="5"/>
  <c r="D2" i="5" s="1"/>
  <c r="E2" i="5" s="1"/>
  <c r="F2" i="5" s="1"/>
  <c r="G2" i="5" s="1"/>
  <c r="H2" i="5" s="1"/>
  <c r="I2" i="5" s="1"/>
  <c r="E35" i="4"/>
  <c r="D35" i="4"/>
  <c r="C35" i="4"/>
  <c r="B35" i="4"/>
  <c r="F34" i="4"/>
  <c r="G34" i="4" s="1"/>
  <c r="H34" i="4" s="1"/>
  <c r="I34" i="4" s="1"/>
  <c r="J34" i="4" s="1"/>
  <c r="F32" i="4"/>
  <c r="M24" i="5"/>
  <c r="B36" i="5" s="1"/>
  <c r="C36" i="5" s="1"/>
  <c r="E15" i="4"/>
  <c r="D15" i="4"/>
  <c r="C15" i="4"/>
  <c r="B15" i="4"/>
  <c r="F14" i="4"/>
  <c r="G14" i="4" s="1"/>
  <c r="H14" i="4" s="1"/>
  <c r="I14" i="4" s="1"/>
  <c r="J14" i="4" s="1"/>
  <c r="F12" i="4"/>
  <c r="E9" i="4"/>
  <c r="D9" i="4"/>
  <c r="C9" i="4"/>
  <c r="B9" i="4"/>
  <c r="F4" i="4"/>
  <c r="G4" i="4" s="1"/>
  <c r="H4" i="4" s="1"/>
  <c r="I4" i="4" s="1"/>
  <c r="J4" i="4" s="1"/>
  <c r="C1" i="4"/>
  <c r="D1" i="4" s="1"/>
  <c r="E1" i="4" s="1"/>
  <c r="F1" i="4" s="1"/>
  <c r="G1" i="4" s="1"/>
  <c r="H1" i="4" s="1"/>
  <c r="I1" i="4" s="1"/>
  <c r="J1" i="4" s="1"/>
  <c r="F32" i="3"/>
  <c r="E32" i="3"/>
  <c r="D32" i="3"/>
  <c r="C32" i="3"/>
  <c r="B32" i="3"/>
  <c r="F29" i="3"/>
  <c r="E29" i="3"/>
  <c r="D29" i="3"/>
  <c r="C29" i="3"/>
  <c r="G28" i="3"/>
  <c r="K25" i="3"/>
  <c r="J25" i="3"/>
  <c r="I25" i="3"/>
  <c r="H25" i="3"/>
  <c r="G25" i="3"/>
  <c r="F22" i="3"/>
  <c r="E22" i="3"/>
  <c r="D22" i="3"/>
  <c r="C22" i="3"/>
  <c r="B22" i="3"/>
  <c r="F19" i="3"/>
  <c r="E19" i="3"/>
  <c r="D19" i="3"/>
  <c r="C19" i="3"/>
  <c r="B19" i="3"/>
  <c r="F14" i="3"/>
  <c r="E14" i="3"/>
  <c r="D14" i="3"/>
  <c r="C14" i="3"/>
  <c r="B14" i="3"/>
  <c r="F6" i="3"/>
  <c r="E6" i="3"/>
  <c r="D6" i="3"/>
  <c r="C6" i="3"/>
  <c r="B6" i="3"/>
  <c r="G5" i="3"/>
  <c r="C1" i="3"/>
  <c r="D1" i="3" s="1"/>
  <c r="E1" i="3" s="1"/>
  <c r="F1" i="3" s="1"/>
  <c r="G1" i="3" s="1"/>
  <c r="H1" i="3" s="1"/>
  <c r="I1" i="3" s="1"/>
  <c r="J1" i="3" s="1"/>
  <c r="K1" i="3" s="1"/>
  <c r="F39" i="2"/>
  <c r="E39" i="2"/>
  <c r="D39" i="2"/>
  <c r="C39" i="2"/>
  <c r="G38" i="2"/>
  <c r="H38" i="2" s="1"/>
  <c r="I38" i="2" s="1"/>
  <c r="J38" i="2" s="1"/>
  <c r="K38" i="2" s="1"/>
  <c r="I37" i="2"/>
  <c r="J37" i="2" s="1"/>
  <c r="K37" i="2" s="1"/>
  <c r="H37" i="2"/>
  <c r="G37" i="2"/>
  <c r="E19" i="2"/>
  <c r="D19" i="2"/>
  <c r="C19" i="2"/>
  <c r="B19" i="2"/>
  <c r="F18" i="2"/>
  <c r="F19" i="2" s="1"/>
  <c r="E18" i="2"/>
  <c r="D18" i="2"/>
  <c r="C18" i="2"/>
  <c r="B18" i="2"/>
  <c r="B16" i="2"/>
  <c r="N15" i="2"/>
  <c r="G14" i="2"/>
  <c r="F14" i="2"/>
  <c r="E14" i="2"/>
  <c r="D14" i="2"/>
  <c r="C14" i="2"/>
  <c r="G13" i="2"/>
  <c r="F13" i="2"/>
  <c r="F15" i="2" s="1"/>
  <c r="E13" i="2"/>
  <c r="D13" i="2"/>
  <c r="C13" i="2"/>
  <c r="B13" i="2"/>
  <c r="B14" i="2" s="1"/>
  <c r="F12" i="2"/>
  <c r="E12" i="2"/>
  <c r="D12" i="2"/>
  <c r="C12" i="2"/>
  <c r="B12" i="2"/>
  <c r="N11" i="2"/>
  <c r="G11" i="2"/>
  <c r="F10" i="2"/>
  <c r="E10" i="2"/>
  <c r="D10" i="2"/>
  <c r="C10" i="2"/>
  <c r="B10" i="2"/>
  <c r="N9" i="2"/>
  <c r="G9" i="2"/>
  <c r="G7" i="2"/>
  <c r="F7" i="2"/>
  <c r="D7" i="2"/>
  <c r="C7" i="2"/>
  <c r="B7" i="2"/>
  <c r="G6" i="2"/>
  <c r="G15" i="2" s="1"/>
  <c r="F6" i="2"/>
  <c r="E6" i="2"/>
  <c r="D6" i="2"/>
  <c r="C6" i="2"/>
  <c r="C15" i="2" s="1"/>
  <c r="B6" i="2"/>
  <c r="B15" i="2" s="1"/>
  <c r="F5" i="2"/>
  <c r="E5" i="2"/>
  <c r="D5" i="2"/>
  <c r="C5" i="2"/>
  <c r="B5" i="2"/>
  <c r="G4" i="2"/>
  <c r="F3" i="2"/>
  <c r="E3" i="2"/>
  <c r="D3" i="2"/>
  <c r="C3" i="2"/>
  <c r="N2" i="2"/>
  <c r="H2" i="2"/>
  <c r="I2" i="2" s="1"/>
  <c r="G2" i="2"/>
  <c r="G18" i="3" s="1"/>
  <c r="D1" i="2"/>
  <c r="E1" i="2" s="1"/>
  <c r="F1" i="2" s="1"/>
  <c r="G1" i="2" s="1"/>
  <c r="H1" i="2" s="1"/>
  <c r="I1" i="2" s="1"/>
  <c r="J1" i="2" s="1"/>
  <c r="K1" i="2" s="1"/>
  <c r="C1" i="2"/>
  <c r="D16" i="4" l="1"/>
  <c r="J13" i="7"/>
  <c r="M31" i="7"/>
  <c r="B16" i="4"/>
  <c r="E16" i="4"/>
  <c r="E12" i="6"/>
  <c r="D38" i="4"/>
  <c r="D39" i="4" s="1"/>
  <c r="D12" i="6"/>
  <c r="E38" i="4"/>
  <c r="E39" i="4" s="1"/>
  <c r="I13" i="7"/>
  <c r="C20" i="6"/>
  <c r="L31" i="7"/>
  <c r="G9" i="6"/>
  <c r="G8" i="6" s="1"/>
  <c r="E5" i="6"/>
  <c r="G5" i="6" s="1"/>
  <c r="I4" i="2"/>
  <c r="I11" i="2"/>
  <c r="J2" i="2"/>
  <c r="I5" i="3"/>
  <c r="I18" i="3"/>
  <c r="I6" i="2"/>
  <c r="I9" i="2"/>
  <c r="I13" i="2" s="1"/>
  <c r="I14" i="2" s="1"/>
  <c r="E5" i="5"/>
  <c r="I5" i="7"/>
  <c r="E8" i="5"/>
  <c r="G22" i="3"/>
  <c r="G24" i="8"/>
  <c r="F26" i="4"/>
  <c r="G18" i="6"/>
  <c r="F21" i="4" s="1"/>
  <c r="H19" i="6"/>
  <c r="F16" i="2"/>
  <c r="F24" i="2"/>
  <c r="F20" i="2"/>
  <c r="F21" i="2" s="1"/>
  <c r="J26" i="5"/>
  <c r="C12" i="6"/>
  <c r="C22" i="6" s="1"/>
  <c r="C5" i="6"/>
  <c r="I17" i="6"/>
  <c r="H20" i="8"/>
  <c r="H23" i="8" s="1"/>
  <c r="H24" i="8" s="1"/>
  <c r="H18" i="3"/>
  <c r="H9" i="2"/>
  <c r="H13" i="2" s="1"/>
  <c r="H14" i="2" s="1"/>
  <c r="H11" i="2"/>
  <c r="H4" i="2"/>
  <c r="H6" i="2" s="1"/>
  <c r="H5" i="3"/>
  <c r="G11" i="6"/>
  <c r="B24" i="2"/>
  <c r="B20" i="2"/>
  <c r="B21" i="2" s="1"/>
  <c r="C20" i="2"/>
  <c r="C21" i="2" s="1"/>
  <c r="C16" i="2"/>
  <c r="C24" i="2"/>
  <c r="H28" i="3"/>
  <c r="B41" i="5"/>
  <c r="C41" i="5" s="1"/>
  <c r="G27" i="3"/>
  <c r="G32" i="4"/>
  <c r="G7" i="6"/>
  <c r="H12" i="8"/>
  <c r="H15" i="8" s="1"/>
  <c r="H16" i="8"/>
  <c r="F22" i="4"/>
  <c r="E15" i="2"/>
  <c r="E7" i="2"/>
  <c r="G12" i="4"/>
  <c r="M25" i="5"/>
  <c r="M27" i="5" s="1"/>
  <c r="C21" i="5" s="1"/>
  <c r="D15" i="6"/>
  <c r="D20" i="6"/>
  <c r="E15" i="6"/>
  <c r="E20" i="6"/>
  <c r="G20" i="7"/>
  <c r="F20" i="7"/>
  <c r="J31" i="7"/>
  <c r="M13" i="7"/>
  <c r="I31" i="7"/>
  <c r="L13" i="7"/>
  <c r="K31" i="7"/>
  <c r="G16" i="8"/>
  <c r="D56" i="5"/>
  <c r="C56" i="5" s="1"/>
  <c r="F20" i="6"/>
  <c r="C16" i="4"/>
  <c r="F12" i="6"/>
  <c r="D15" i="2"/>
  <c r="G16" i="6"/>
  <c r="F20" i="4" s="1"/>
  <c r="C38" i="4" l="1"/>
  <c r="C39" i="4" s="1"/>
  <c r="F22" i="6"/>
  <c r="B38" i="4"/>
  <c r="B39" i="4" s="1"/>
  <c r="H9" i="6"/>
  <c r="I9" i="6" s="1"/>
  <c r="E22" i="6"/>
  <c r="F23" i="6" s="1"/>
  <c r="D22" i="6"/>
  <c r="D23" i="6" s="1"/>
  <c r="G4" i="6"/>
  <c r="H5" i="6"/>
  <c r="F25" i="2"/>
  <c r="F28" i="2"/>
  <c r="F29" i="2"/>
  <c r="G22" i="4"/>
  <c r="I12" i="8"/>
  <c r="I15" i="8" s="1"/>
  <c r="G15" i="6"/>
  <c r="H12" i="4"/>
  <c r="H11" i="6"/>
  <c r="G10" i="6"/>
  <c r="F8" i="4" s="1"/>
  <c r="H28" i="8"/>
  <c r="E9" i="5"/>
  <c r="I37" i="7"/>
  <c r="B28" i="2"/>
  <c r="B25" i="2"/>
  <c r="B29" i="2"/>
  <c r="G11" i="3"/>
  <c r="F7" i="4"/>
  <c r="J6" i="2"/>
  <c r="J11" i="2"/>
  <c r="J4" i="2"/>
  <c r="J5" i="3"/>
  <c r="J18" i="3"/>
  <c r="J9" i="2"/>
  <c r="J13" i="2" s="1"/>
  <c r="J14" i="2" s="1"/>
  <c r="K2" i="2"/>
  <c r="D24" i="2"/>
  <c r="D16" i="2"/>
  <c r="D20" i="2"/>
  <c r="D21" i="2" s="1"/>
  <c r="D15" i="5"/>
  <c r="J5" i="7"/>
  <c r="F8" i="5"/>
  <c r="H22" i="3"/>
  <c r="H18" i="6"/>
  <c r="G21" i="4" s="1"/>
  <c r="I19" i="6"/>
  <c r="H7" i="6"/>
  <c r="G6" i="6"/>
  <c r="H32" i="4"/>
  <c r="I16" i="6"/>
  <c r="H20" i="4" s="1"/>
  <c r="J17" i="6"/>
  <c r="I15" i="2"/>
  <c r="I7" i="2"/>
  <c r="E16" i="2"/>
  <c r="E24" i="2"/>
  <c r="E20" i="2"/>
  <c r="E21" i="2" s="1"/>
  <c r="L32" i="7"/>
  <c r="I32" i="7"/>
  <c r="L14" i="7"/>
  <c r="I14" i="7"/>
  <c r="I19" i="7" s="1"/>
  <c r="J32" i="7"/>
  <c r="K14" i="7"/>
  <c r="J14" i="7"/>
  <c r="M32" i="7"/>
  <c r="K32" i="7"/>
  <c r="M14" i="7"/>
  <c r="G26" i="4"/>
  <c r="I20" i="8"/>
  <c r="I23" i="8" s="1"/>
  <c r="I24" i="8" s="1"/>
  <c r="K5" i="7"/>
  <c r="I22" i="3"/>
  <c r="G8" i="5"/>
  <c r="H27" i="3"/>
  <c r="I28" i="3"/>
  <c r="C28" i="2"/>
  <c r="C29" i="2"/>
  <c r="C25" i="2"/>
  <c r="H7" i="2"/>
  <c r="H15" i="2"/>
  <c r="G28" i="8"/>
  <c r="G23" i="2" s="1"/>
  <c r="G24" i="2" s="1"/>
  <c r="E23" i="6" l="1"/>
  <c r="H8" i="6"/>
  <c r="H11" i="3" s="1"/>
  <c r="I38" i="7"/>
  <c r="I40" i="7" s="1"/>
  <c r="G7" i="3" s="1"/>
  <c r="F27" i="4" s="1"/>
  <c r="F28" i="4" s="1"/>
  <c r="I5" i="6"/>
  <c r="H4" i="6"/>
  <c r="F5" i="4"/>
  <c r="G10" i="3"/>
  <c r="K37" i="7"/>
  <c r="F6" i="4"/>
  <c r="G13" i="3"/>
  <c r="G12" i="6"/>
  <c r="D29" i="2"/>
  <c r="D25" i="2"/>
  <c r="D28" i="2"/>
  <c r="E28" i="2"/>
  <c r="E25" i="2"/>
  <c r="E29" i="2"/>
  <c r="I12" i="4"/>
  <c r="F47" i="5"/>
  <c r="G47" i="5" s="1"/>
  <c r="D47" i="5"/>
  <c r="C47" i="5" s="1"/>
  <c r="G14" i="6"/>
  <c r="H15" i="6"/>
  <c r="K19" i="7"/>
  <c r="J12" i="8"/>
  <c r="J15" i="8" s="1"/>
  <c r="J16" i="8" s="1"/>
  <c r="H22" i="4"/>
  <c r="F5" i="5"/>
  <c r="B51" i="5"/>
  <c r="B52" i="5" s="1"/>
  <c r="B49" i="5"/>
  <c r="B48" i="5" s="1"/>
  <c r="J22" i="3"/>
  <c r="L5" i="7"/>
  <c r="H8" i="5"/>
  <c r="J28" i="3"/>
  <c r="I27" i="3"/>
  <c r="K17" i="6"/>
  <c r="K16" i="6" s="1"/>
  <c r="J20" i="4" s="1"/>
  <c r="J16" i="6"/>
  <c r="I20" i="4" s="1"/>
  <c r="K18" i="3"/>
  <c r="K5" i="3"/>
  <c r="K9" i="2"/>
  <c r="K11" i="2"/>
  <c r="K4" i="2"/>
  <c r="K6" i="2" s="1"/>
  <c r="G27" i="2"/>
  <c r="G25" i="2"/>
  <c r="G29" i="2"/>
  <c r="M33" i="7"/>
  <c r="L33" i="7"/>
  <c r="K15" i="7"/>
  <c r="J6" i="7"/>
  <c r="K33" i="7"/>
  <c r="M15" i="7"/>
  <c r="J33" i="7"/>
  <c r="J37" i="7" s="1"/>
  <c r="L15" i="7"/>
  <c r="J15" i="7"/>
  <c r="G4" i="3"/>
  <c r="I20" i="7"/>
  <c r="J9" i="6"/>
  <c r="I8" i="6"/>
  <c r="B60" i="5"/>
  <c r="B61" i="5" s="1"/>
  <c r="B58" i="5"/>
  <c r="B57" i="5" s="1"/>
  <c r="I16" i="8"/>
  <c r="I28" i="8" s="1"/>
  <c r="B3" i="3"/>
  <c r="B15" i="3" s="1"/>
  <c r="B30" i="2"/>
  <c r="B33" i="2"/>
  <c r="B34" i="2"/>
  <c r="J19" i="7"/>
  <c r="M16" i="7"/>
  <c r="L16" i="7"/>
  <c r="K34" i="7"/>
  <c r="M34" i="7"/>
  <c r="K6" i="7"/>
  <c r="L34" i="7"/>
  <c r="K16" i="7"/>
  <c r="N29" i="2"/>
  <c r="F34" i="2"/>
  <c r="F30" i="2"/>
  <c r="F3" i="3"/>
  <c r="F15" i="3" s="1"/>
  <c r="F33" i="2"/>
  <c r="C33" i="2"/>
  <c r="C3" i="3"/>
  <c r="C15" i="3" s="1"/>
  <c r="C34" i="2"/>
  <c r="C30" i="2"/>
  <c r="I7" i="6"/>
  <c r="H6" i="6"/>
  <c r="I18" i="6"/>
  <c r="H21" i="4" s="1"/>
  <c r="J19" i="6"/>
  <c r="G5" i="5"/>
  <c r="H26" i="4"/>
  <c r="J20" i="8"/>
  <c r="J23" i="8" s="1"/>
  <c r="J24" i="8" s="1"/>
  <c r="I32" i="4"/>
  <c r="J7" i="2"/>
  <c r="J15" i="2"/>
  <c r="H10" i="6"/>
  <c r="G8" i="4" s="1"/>
  <c r="I11" i="6"/>
  <c r="E10" i="5" l="1"/>
  <c r="G7" i="4"/>
  <c r="H10" i="3"/>
  <c r="G5" i="4"/>
  <c r="J5" i="6"/>
  <c r="I4" i="6"/>
  <c r="J28" i="8"/>
  <c r="K7" i="2"/>
  <c r="F40" i="3"/>
  <c r="F30" i="3" s="1"/>
  <c r="F34" i="3"/>
  <c r="F41" i="3" s="1"/>
  <c r="G6" i="4"/>
  <c r="H13" i="3"/>
  <c r="H12" i="6"/>
  <c r="F9" i="5"/>
  <c r="J7" i="6"/>
  <c r="I6" i="6"/>
  <c r="J20" i="7"/>
  <c r="H4" i="3"/>
  <c r="G33" i="2"/>
  <c r="G34" i="2"/>
  <c r="G30" i="2"/>
  <c r="G3" i="3"/>
  <c r="G18" i="2"/>
  <c r="E6" i="5"/>
  <c r="F13" i="4"/>
  <c r="L35" i="7"/>
  <c r="L37" i="7" s="1"/>
  <c r="L17" i="7"/>
  <c r="M17" i="7"/>
  <c r="M35" i="7"/>
  <c r="L6" i="7"/>
  <c r="J18" i="6"/>
  <c r="I21" i="4" s="1"/>
  <c r="K19" i="6"/>
  <c r="K18" i="6" s="1"/>
  <c r="J21" i="4" s="1"/>
  <c r="J32" i="4"/>
  <c r="I11" i="3"/>
  <c r="H7" i="4"/>
  <c r="J12" i="4"/>
  <c r="K28" i="3"/>
  <c r="K27" i="3" s="1"/>
  <c r="J27" i="3"/>
  <c r="E30" i="2"/>
  <c r="E33" i="2"/>
  <c r="E34" i="2"/>
  <c r="E3" i="3"/>
  <c r="E15" i="3" s="1"/>
  <c r="C34" i="3"/>
  <c r="C41" i="3" s="1"/>
  <c r="C40" i="3"/>
  <c r="C30" i="3" s="1"/>
  <c r="L19" i="7"/>
  <c r="I4" i="3"/>
  <c r="K20" i="7"/>
  <c r="B34" i="3"/>
  <c r="B40" i="3"/>
  <c r="B30" i="3" s="1"/>
  <c r="J38" i="7"/>
  <c r="J40" i="7" s="1"/>
  <c r="H7" i="3" s="1"/>
  <c r="F10" i="5" s="1"/>
  <c r="K13" i="2"/>
  <c r="K14" i="2" s="1"/>
  <c r="I15" i="6"/>
  <c r="H14" i="6"/>
  <c r="D33" i="2"/>
  <c r="D30" i="2"/>
  <c r="D34" i="2"/>
  <c r="D3" i="3"/>
  <c r="D15" i="3" s="1"/>
  <c r="K20" i="8"/>
  <c r="K23" i="8" s="1"/>
  <c r="J26" i="4" s="1"/>
  <c r="K24" i="8"/>
  <c r="I26" i="4"/>
  <c r="J8" i="6"/>
  <c r="K9" i="6"/>
  <c r="K8" i="6" s="1"/>
  <c r="K12" i="8"/>
  <c r="K15" i="8" s="1"/>
  <c r="J22" i="4" s="1"/>
  <c r="I22" i="4"/>
  <c r="I10" i="6"/>
  <c r="H8" i="4" s="1"/>
  <c r="J11" i="6"/>
  <c r="G9" i="5"/>
  <c r="G20" i="6"/>
  <c r="F19" i="4"/>
  <c r="F23" i="4" s="1"/>
  <c r="G12" i="3"/>
  <c r="G14" i="3" s="1"/>
  <c r="E7" i="5" s="1"/>
  <c r="G22" i="6"/>
  <c r="G23" i="6" s="1"/>
  <c r="G25" i="6" s="1"/>
  <c r="H5" i="5"/>
  <c r="K22" i="3"/>
  <c r="M5" i="7"/>
  <c r="I8" i="5"/>
  <c r="K38" i="7"/>
  <c r="K40" i="7" s="1"/>
  <c r="I7" i="3" s="1"/>
  <c r="G10" i="5" s="1"/>
  <c r="E11" i="5" l="1"/>
  <c r="E15" i="5" s="1"/>
  <c r="G27" i="4"/>
  <c r="K16" i="8"/>
  <c r="K28" i="8" s="1"/>
  <c r="G15" i="3"/>
  <c r="G40" i="3" s="1"/>
  <c r="G26" i="3" s="1"/>
  <c r="H5" i="4"/>
  <c r="I10" i="3"/>
  <c r="K5" i="6"/>
  <c r="K4" i="6" s="1"/>
  <c r="J4" i="6"/>
  <c r="G13" i="4"/>
  <c r="F15" i="4"/>
  <c r="G19" i="2"/>
  <c r="G20" i="2"/>
  <c r="G21" i="2" s="1"/>
  <c r="E34" i="3"/>
  <c r="E41" i="3" s="1"/>
  <c r="E40" i="3"/>
  <c r="E30" i="3" s="1"/>
  <c r="J7" i="4"/>
  <c r="K11" i="3"/>
  <c r="D40" i="3"/>
  <c r="D30" i="3" s="1"/>
  <c r="D34" i="3"/>
  <c r="D41" i="3" s="1"/>
  <c r="H20" i="6"/>
  <c r="H22" i="6" s="1"/>
  <c r="H23" i="6" s="1"/>
  <c r="G19" i="4"/>
  <c r="G23" i="4" s="1"/>
  <c r="H12" i="3"/>
  <c r="H14" i="3" s="1"/>
  <c r="F7" i="5" s="1"/>
  <c r="H9" i="5"/>
  <c r="J4" i="3"/>
  <c r="L20" i="7"/>
  <c r="F6" i="5"/>
  <c r="H18" i="2"/>
  <c r="M6" i="7"/>
  <c r="M18" i="7"/>
  <c r="M19" i="7" s="1"/>
  <c r="M36" i="7"/>
  <c r="I14" i="6"/>
  <c r="J15" i="6"/>
  <c r="J11" i="3"/>
  <c r="I7" i="4"/>
  <c r="M37" i="7"/>
  <c r="K15" i="2"/>
  <c r="J6" i="6"/>
  <c r="K7" i="6"/>
  <c r="K6" i="6" s="1"/>
  <c r="J10" i="6"/>
  <c r="I8" i="4" s="1"/>
  <c r="K11" i="6"/>
  <c r="K10" i="6" s="1"/>
  <c r="J8" i="4" s="1"/>
  <c r="B37" i="3"/>
  <c r="C36" i="3" s="1"/>
  <c r="C37" i="3" s="1"/>
  <c r="D36" i="3" s="1"/>
  <c r="D37" i="3" s="1"/>
  <c r="E36" i="3" s="1"/>
  <c r="E37" i="3" s="1"/>
  <c r="F36" i="3" s="1"/>
  <c r="F37" i="3" s="1"/>
  <c r="G36" i="3" s="1"/>
  <c r="B41" i="3"/>
  <c r="G6" i="5"/>
  <c r="I18" i="2"/>
  <c r="L38" i="7"/>
  <c r="L40" i="7" s="1"/>
  <c r="J7" i="3" s="1"/>
  <c r="H10" i="5" s="1"/>
  <c r="H6" i="4"/>
  <c r="I13" i="3"/>
  <c r="I12" i="6"/>
  <c r="H27" i="4" l="1"/>
  <c r="H28" i="4" s="1"/>
  <c r="G28" i="4"/>
  <c r="H25" i="6"/>
  <c r="F11" i="5"/>
  <c r="F15" i="5" s="1"/>
  <c r="J10" i="3"/>
  <c r="I5" i="4"/>
  <c r="K10" i="3"/>
  <c r="J5" i="4"/>
  <c r="M20" i="7"/>
  <c r="K4" i="3"/>
  <c r="J13" i="3"/>
  <c r="I6" i="4"/>
  <c r="J12" i="6"/>
  <c r="H19" i="2"/>
  <c r="H20" i="2"/>
  <c r="H21" i="2" s="1"/>
  <c r="I19" i="2"/>
  <c r="I20" i="2"/>
  <c r="I21" i="2" s="1"/>
  <c r="I5" i="5"/>
  <c r="M38" i="7"/>
  <c r="M40" i="7" s="1"/>
  <c r="K7" i="3" s="1"/>
  <c r="I10" i="5" s="1"/>
  <c r="G32" i="3"/>
  <c r="G34" i="3" s="1"/>
  <c r="G37" i="3" s="1"/>
  <c r="H36" i="3" s="1"/>
  <c r="F33" i="4"/>
  <c r="J18" i="2"/>
  <c r="H6" i="5"/>
  <c r="I27" i="4"/>
  <c r="K15" i="6"/>
  <c r="K14" i="6" s="1"/>
  <c r="J14" i="6"/>
  <c r="I20" i="6"/>
  <c r="I22" i="6" s="1"/>
  <c r="I23" i="6" s="1"/>
  <c r="H19" i="4"/>
  <c r="H23" i="4" s="1"/>
  <c r="I12" i="3"/>
  <c r="I14" i="3" s="1"/>
  <c r="G7" i="5" s="1"/>
  <c r="G11" i="5" s="1"/>
  <c r="G15" i="5" s="1"/>
  <c r="H13" i="4"/>
  <c r="G15" i="4"/>
  <c r="J6" i="4"/>
  <c r="K13" i="3"/>
  <c r="K12" i="6"/>
  <c r="J27" i="4" l="1"/>
  <c r="J28" i="4" s="1"/>
  <c r="I28" i="4"/>
  <c r="I25" i="6"/>
  <c r="J19" i="4"/>
  <c r="J23" i="4" s="1"/>
  <c r="K20" i="6"/>
  <c r="K22" i="6" s="1"/>
  <c r="K23" i="6" s="1"/>
  <c r="K12" i="3"/>
  <c r="K14" i="3" s="1"/>
  <c r="I7" i="5" s="1"/>
  <c r="J19" i="2"/>
  <c r="J20" i="2"/>
  <c r="J21" i="2" s="1"/>
  <c r="G41" i="3"/>
  <c r="G7" i="8" s="1"/>
  <c r="F3" i="4"/>
  <c r="I13" i="4"/>
  <c r="H15" i="4"/>
  <c r="F35" i="4"/>
  <c r="I6" i="5"/>
  <c r="K18" i="2"/>
  <c r="J20" i="6"/>
  <c r="J22" i="6" s="1"/>
  <c r="J23" i="6" s="1"/>
  <c r="I19" i="4"/>
  <c r="I23" i="4" s="1"/>
  <c r="J12" i="3"/>
  <c r="J14" i="3" s="1"/>
  <c r="H7" i="5" s="1"/>
  <c r="H11" i="5" s="1"/>
  <c r="H15" i="5" s="1"/>
  <c r="I9" i="5"/>
  <c r="K25" i="6" l="1"/>
  <c r="I11" i="5"/>
  <c r="J13" i="4"/>
  <c r="J15" i="4" s="1"/>
  <c r="I15" i="4"/>
  <c r="H30" i="8"/>
  <c r="H23" i="2" s="1"/>
  <c r="H24" i="2" s="1"/>
  <c r="F9" i="4"/>
  <c r="F16" i="4" s="1"/>
  <c r="F38" i="4" s="1"/>
  <c r="F39" i="4" s="1"/>
  <c r="G9" i="8"/>
  <c r="G29" i="8"/>
  <c r="J25" i="6"/>
  <c r="K19" i="2"/>
  <c r="K20" i="2"/>
  <c r="C25" i="5" l="1"/>
  <c r="C27" i="5" s="1"/>
  <c r="C28" i="5" s="1"/>
  <c r="C34" i="5" s="1"/>
  <c r="I15" i="5"/>
  <c r="D16" i="5" s="1"/>
  <c r="B33" i="5" s="1"/>
  <c r="G33" i="8"/>
  <c r="H6" i="8"/>
  <c r="H27" i="2"/>
  <c r="H29" i="2" s="1"/>
  <c r="H25" i="2"/>
  <c r="K21" i="2"/>
  <c r="C20" i="5"/>
  <c r="C33" i="5" l="1"/>
  <c r="C35" i="5" s="1"/>
  <c r="C37" i="5" s="1"/>
  <c r="C39" i="5" s="1"/>
  <c r="C42" i="5" s="1"/>
  <c r="C22" i="5"/>
  <c r="C29" i="5"/>
  <c r="H34" i="2"/>
  <c r="H3" i="3"/>
  <c r="H15" i="3" s="1"/>
  <c r="H30" i="2"/>
  <c r="H33" i="2"/>
  <c r="B56" i="5" l="1"/>
  <c r="C44" i="5"/>
  <c r="H40" i="3"/>
  <c r="H26" i="3" s="1"/>
  <c r="C23" i="5"/>
  <c r="B34" i="5" s="1"/>
  <c r="B35" i="5" s="1"/>
  <c r="B37" i="5" s="1"/>
  <c r="B39" i="5" s="1"/>
  <c r="B42" i="5" s="1"/>
  <c r="C30" i="5"/>
  <c r="B47" i="5" l="1"/>
  <c r="B44" i="5"/>
  <c r="H32" i="3"/>
  <c r="H34" i="3" s="1"/>
  <c r="G33" i="4"/>
  <c r="G35" i="4" l="1"/>
  <c r="H41" i="3"/>
  <c r="H7" i="8" s="1"/>
  <c r="H37" i="3"/>
  <c r="I36" i="3" s="1"/>
  <c r="G3" i="4"/>
  <c r="I30" i="8" l="1"/>
  <c r="I23" i="2" s="1"/>
  <c r="I24" i="2" s="1"/>
  <c r="G9" i="4"/>
  <c r="G16" i="4" s="1"/>
  <c r="G38" i="4" s="1"/>
  <c r="G39" i="4" s="1"/>
  <c r="H9" i="8"/>
  <c r="H29" i="8"/>
  <c r="H33" i="8" l="1"/>
  <c r="I6" i="8"/>
  <c r="I27" i="2"/>
  <c r="I29" i="2"/>
  <c r="I25" i="2"/>
  <c r="I34" i="2" l="1"/>
  <c r="I30" i="2"/>
  <c r="I33" i="2"/>
  <c r="I3" i="3"/>
  <c r="I15" i="3" s="1"/>
  <c r="I40" i="3" l="1"/>
  <c r="I26" i="3" s="1"/>
  <c r="I32" i="3" l="1"/>
  <c r="I34" i="3" s="1"/>
  <c r="H33" i="4"/>
  <c r="H35" i="4" l="1"/>
  <c r="I41" i="3"/>
  <c r="I7" i="8" s="1"/>
  <c r="H3" i="4"/>
  <c r="I37" i="3"/>
  <c r="J36" i="3" s="1"/>
  <c r="J30" i="8" l="1"/>
  <c r="J23" i="2" s="1"/>
  <c r="J24" i="2" s="1"/>
  <c r="H9" i="4"/>
  <c r="H16" i="4" s="1"/>
  <c r="H38" i="4" s="1"/>
  <c r="H39" i="4" s="1"/>
  <c r="I29" i="8"/>
  <c r="I9" i="8"/>
  <c r="I33" i="8" l="1"/>
  <c r="J6" i="8"/>
  <c r="J27" i="2"/>
  <c r="J29" i="2" s="1"/>
  <c r="J25" i="2"/>
  <c r="J30" i="2" l="1"/>
  <c r="J34" i="2"/>
  <c r="J3" i="3"/>
  <c r="J15" i="3" s="1"/>
  <c r="J33" i="2"/>
  <c r="J40" i="3" l="1"/>
  <c r="J26" i="3" s="1"/>
  <c r="J32" i="3" l="1"/>
  <c r="J34" i="3" s="1"/>
  <c r="I33" i="4"/>
  <c r="I35" i="4" l="1"/>
  <c r="J41" i="3"/>
  <c r="J7" i="8" s="1"/>
  <c r="J37" i="3"/>
  <c r="K36" i="3" s="1"/>
  <c r="I3" i="4"/>
  <c r="K30" i="8" l="1"/>
  <c r="K23" i="2" s="1"/>
  <c r="K24" i="2" s="1"/>
  <c r="I9" i="4"/>
  <c r="I16" i="4" s="1"/>
  <c r="I38" i="4" s="1"/>
  <c r="I39" i="4" s="1"/>
  <c r="J9" i="8"/>
  <c r="J29" i="8"/>
  <c r="J33" i="8" l="1"/>
  <c r="K6" i="8"/>
  <c r="K25" i="2"/>
  <c r="K27" i="2"/>
  <c r="K29" i="2" s="1"/>
  <c r="K3" i="3" l="1"/>
  <c r="K15" i="3" s="1"/>
  <c r="K34" i="2"/>
  <c r="K33" i="2"/>
  <c r="K30" i="2"/>
  <c r="K40" i="3" l="1"/>
  <c r="K26" i="3" s="1"/>
  <c r="K32" i="3" l="1"/>
  <c r="K34" i="3" s="1"/>
  <c r="J33" i="4"/>
  <c r="J35" i="4" s="1"/>
  <c r="K41" i="3" l="1"/>
  <c r="K7" i="8" s="1"/>
  <c r="J3" i="4"/>
  <c r="J9" i="4" s="1"/>
  <c r="J16" i="4" s="1"/>
  <c r="J38" i="4" s="1"/>
  <c r="J39" i="4" s="1"/>
  <c r="K37" i="3"/>
  <c r="K29" i="8" l="1"/>
  <c r="K33" i="8" s="1"/>
  <c r="K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100-000001000000}">
      <text>
        <r>
          <rPr>
            <sz val="10"/>
            <rFont val="Arial"/>
            <family val="2"/>
          </rPr>
          <t>FY26E: 9M FY26 actual revenue ~$364.4B (Q1 $143.8B, Q2 ~$111.2B, Q3 $109.4B) + Q4 guide midpoint (+10% on $102.5B = ~$112.7B) = ~$477B, i.e. +14.6% vs FY25 $416.2B.</t>
        </r>
      </text>
    </comment>
    <comment ref="H3" authorId="0" shapeId="0" xr:uid="{00000000-0006-0000-0100-000007000000}">
      <text>
        <r>
          <rPr>
            <sz val="10"/>
            <rFont val="Arial"/>
            <family val="2"/>
          </rPr>
          <t>Analyst assumption: normalisation after the FY26 iPhone/Mac upgrade surge; Services (+12-14%) continues to grow, hardware roughly flat to low single digit. FLEX THIS.</t>
        </r>
      </text>
    </comment>
    <comment ref="G5" authorId="0" shapeId="0" xr:uid="{00000000-0006-0000-0100-000002000000}">
      <text>
        <r>
          <rPr>
            <sz val="10"/>
            <rFont val="Arial"/>
            <family val="2"/>
          </rPr>
          <t>FY26E gross margin ~48.6%: Q1 48.2%, Q2 ~48.5%, Q3 50.1% (incl ~2pts tariff refund), Q4 guide 47-48%.</t>
        </r>
      </text>
    </comment>
    <comment ref="H5" authorId="0" shapeId="0" xr:uid="{00000000-0006-0000-0100-000008000000}">
      <text>
        <r>
          <rPr>
            <sz val="10"/>
            <rFont val="Arial"/>
            <family val="2"/>
          </rPr>
          <t>FY27E+ gross margin 47.5%: tariff refunds do not recur, DRAM/component inflation (per Q3 call) offset by Services mix (Services GM ~75%).</t>
        </r>
      </text>
    </comment>
    <comment ref="G10" authorId="0" shapeId="0" xr:uid="{00000000-0006-0000-0100-000003000000}">
      <text>
        <r>
          <rPr>
            <sz val="10"/>
            <rFont val="Arial"/>
            <family val="2"/>
          </rPr>
          <t>R&amp;D was 8.3% of revenue in FY25 and 9.2% TTM (Jun-26) as AI investment steps up.</t>
        </r>
      </text>
    </comment>
    <comment ref="G12" authorId="0" shapeId="0" xr:uid="{00000000-0006-0000-0100-000004000000}">
      <text>
        <r>
          <rPr>
            <sz val="10"/>
            <rFont val="Arial"/>
            <family val="2"/>
          </rPr>
          <t>SG&amp;A 6.3% TTM; Q4 FY26 opex guide $19.1-19.4B implies FY26E opex ~15.8% of revenue.</t>
        </r>
      </text>
    </comment>
    <comment ref="G28" authorId="0" shapeId="0" xr:uid="{00000000-0006-0000-0100-000005000000}">
      <text>
        <r>
          <rPr>
            <sz val="10"/>
            <rFont val="Arial"/>
            <family val="2"/>
          </rPr>
          <t>Effective tax: FY25 15.6%, FY24 24.1% (one-off EU State Aid), TTM 17.3%, Q4 guide ~16.5%.</t>
        </r>
      </text>
    </comment>
    <comment ref="G39" authorId="0" shapeId="0" xr:uid="{00000000-0006-0000-0100-000006000000}">
      <text>
        <r>
          <rPr>
            <sz val="10"/>
            <rFont val="Arial"/>
            <family val="2"/>
          </rPr>
          <t>Diluted share count fell 2.6% in FY25 and 2.1% TTM; 90% of FCF is returned to shareholders in the model.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6" authorId="0" shapeId="0" xr:uid="{00000000-0006-0000-0200-000002000000}">
      <text>
        <r>
          <rPr>
            <sz val="10"/>
            <rFont val="Arial"/>
            <family val="2"/>
          </rPr>
          <t>SBC was 3.1% of revenue in FY25 and ~2.9% TTM.</t>
        </r>
      </text>
    </comment>
    <comment ref="G19" authorId="0" shapeId="0" xr:uid="{00000000-0006-0000-0200-000003000000}">
      <text>
        <r>
          <rPr>
            <sz val="10"/>
            <rFont val="Arial"/>
            <family val="2"/>
          </rPr>
          <t>FY26E capex ~$13-14B per analyst compilations (FY25 $12.7B, 3.1% of revenue); 3.0% thereafter for AI/data-centre investment.</t>
        </r>
      </text>
    </comment>
    <comment ref="G29" authorId="0" shapeId="0" xr:uid="{00000000-0006-0000-0200-000004000000}">
      <text>
        <r>
          <rPr>
            <sz val="10"/>
            <rFont val="Arial"/>
            <family val="2"/>
          </rPr>
          <t>Apple has raised its dividend 4-5% p.a.; quarterly dividend held at $0.27 in Q3 FY26.</t>
        </r>
      </text>
    </comment>
    <comment ref="G30" authorId="0" shapeId="0" xr:uid="{00000000-0006-0000-0200-000005000000}">
      <text>
        <r>
          <rPr>
            <sz val="10"/>
            <rFont val="Arial"/>
            <family val="2"/>
          </rPr>
          <t>Apple targets 'net cash neutral' and has returned ~77% (TTM) to ~100% of FCF. 90% assumed so cash builds modestly while term debt is repaid.</t>
        </r>
      </text>
    </comment>
    <comment ref="B36" authorId="0" shapeId="0" xr:uid="{00000000-0006-0000-0200-000001000000}">
      <text>
        <r>
          <rPr>
            <sz val="10"/>
            <rFont val="Arial"/>
            <family val="2"/>
          </rPr>
          <t>FY2020 closing cash incl. restricted cash (reconciles: FY21 net change -3,860 -&gt; 35,929; FY22 -10,952 -&gt; 24,977; FY25 closes at 35,934).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4" authorId="0" shapeId="0" xr:uid="{00000000-0006-0000-0300-000001000000}">
      <text>
        <r>
          <rPr>
            <sz val="10"/>
            <rFont val="Arial"/>
            <family val="2"/>
          </rPr>
          <t>Deferred tax assets $20,777M + other non-current assets $62,950M.</t>
        </r>
      </text>
    </comment>
    <comment ref="E20" authorId="0" shapeId="0" xr:uid="{00000000-0006-0000-0300-000002000000}">
      <text>
        <r>
          <rPr>
            <sz val="10"/>
            <rFont val="Arial"/>
            <family val="2"/>
          </rPr>
          <t>Apple 'other current liabilities': accrued expenses + income taxes payable (incl. $8.8B TCJA transition tax due in FY26) + current leases + other.</t>
        </r>
      </text>
    </comment>
    <comment ref="E26" authorId="0" shapeId="0" xr:uid="{00000000-0006-0000-0300-000003000000}">
      <text>
        <r>
          <rPr>
            <sz val="10"/>
            <rFont val="Arial"/>
            <family val="2"/>
          </rPr>
          <t>FY25: current portion $12,350M + non-current $78,328M. Prior years combined the same way (FY24 10,912+85,750; FY23 9,822+95,281; FY22 11,128+98,959).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0" authorId="0" shapeId="0" xr:uid="{00000000-0006-0000-0400-000002000000}">
      <text>
        <r>
          <rPr>
            <sz val="10"/>
            <rFont val="Arial"/>
            <family val="2"/>
          </rPr>
          <t>10-year US Treasury constant-maturity yield 5.28% (Federal Reserve H.15, 7-Oct-2026) - highest in ~24 years. Main reason WACC is elevated.</t>
        </r>
      </text>
    </comment>
    <comment ref="J21" authorId="0" shapeId="0" xr:uid="{00000000-0006-0000-0400-000003000000}">
      <text>
        <r>
          <rPr>
            <sz val="10"/>
            <rFont val="Arial"/>
            <family val="2"/>
          </rPr>
          <t>Equity risk premium assumption (typical practitioner range 4.0-5.5%).</t>
        </r>
      </text>
    </comment>
    <comment ref="M21" authorId="0" shapeId="0" xr:uid="{00000000-0006-0000-0400-000006000000}">
      <text>
        <r>
          <rPr>
            <sz val="10"/>
            <rFont val="Arial"/>
            <family val="2"/>
          </rPr>
          <t>AAPL close on 8-Oct-2026 (StockAnalysis).</t>
        </r>
      </text>
    </comment>
    <comment ref="J22" authorId="0" shapeId="0" xr:uid="{00000000-0006-0000-0400-000004000000}">
      <text>
        <r>
          <rPr>
            <sz val="10"/>
            <rFont val="Arial"/>
            <family val="2"/>
          </rPr>
          <t>AAPL 5-year monthly beta 1.09 (StockAnalysis/Yahoo, Oct-2026).</t>
        </r>
      </text>
    </comment>
    <comment ref="M22" authorId="0" shapeId="0" xr:uid="{00000000-0006-0000-0400-000007000000}">
      <text>
        <r>
          <rPr>
            <sz val="10"/>
            <rFont val="Arial"/>
            <family val="2"/>
          </rPr>
          <t>Filing-date shares outstanding per Q3 FY26 10-Q (StockAnalysis, Jun-26).</t>
        </r>
      </text>
    </comment>
    <comment ref="J24" authorId="0" shapeId="0" xr:uid="{00000000-0006-0000-0400-000005000000}">
      <text>
        <r>
          <rPr>
            <sz val="10"/>
            <rFont val="Arial"/>
            <family val="2"/>
          </rPr>
          <t>Marginal borrowing cost: 10-yr Treasury + ~50bp (Apple is AA+/Aaa rated).</t>
        </r>
      </text>
    </comment>
    <comment ref="M24" authorId="0" shapeId="0" xr:uid="{00000000-0006-0000-0400-000008000000}">
      <text>
        <r>
          <rPr>
            <sz val="10"/>
            <rFont val="Arial"/>
            <family val="2"/>
          </rPr>
          <t>Debt $98,657M less cash $35,934M, ST securities $18,763M and LT securities $77,723M = Apple's $132.4B 'cash and marketable securities'.</t>
        </r>
      </text>
    </comment>
    <comment ref="C26" authorId="0" shapeId="0" xr:uid="{00000000-0006-0000-0400-000001000000}">
      <text>
        <r>
          <rPr>
            <sz val="10"/>
            <rFont val="Arial"/>
            <family val="2"/>
          </rPr>
          <t>Long-run nominal growth. PDF guide suggests GDP growth (2-3%) or inflation (1-2%). Apple is a global franchise so 3% is used; flex 2-4%.</t>
        </r>
      </text>
    </comment>
    <comment ref="M26" authorId="0" shapeId="0" xr:uid="{00000000-0006-0000-0400-000009000000}">
      <text>
        <r>
          <rPr>
            <sz val="10"/>
            <rFont val="Arial"/>
            <family val="2"/>
          </rPr>
          <t>TTM operating income $154,859M + D&amp;A $13,100M (StockAnalysis, to 27-Jun-2026).</t>
        </r>
      </text>
    </comment>
    <comment ref="M28" authorId="0" shapeId="0" xr:uid="{00000000-0006-0000-0400-00000A000000}">
      <text>
        <r>
          <rPr>
            <sz val="10"/>
            <rFont val="Arial"/>
            <family val="2"/>
          </rPr>
          <t>FY25 10-K balance sheet: 14,773M shares issued and outstanding.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500-000001000000}">
      <text>
        <r>
          <rPr>
            <sz val="10"/>
            <rFont val="Arial"/>
            <family val="2"/>
          </rPr>
          <t>Days basis. Days are measured on YEAR-END balances (the template used average balances, which creates an artificial first-year swing).</t>
        </r>
      </text>
    </comment>
    <comment ref="G17" authorId="0" shapeId="0" xr:uid="{00000000-0006-0000-0500-000002000000}">
      <text>
        <r>
          <rPr>
            <sz val="10"/>
            <rFont val="Arial"/>
            <family val="2"/>
          </rPr>
          <t>Other current liabilities: FY23-25 days of 56-73 include one-off tax payables (EU State Aid; $8.8B TCJA transition tax due FY26). TTM Jun-26: $62.3B / $466.8B revenue = 48.7 days. 50 days used.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0" authorId="0" shapeId="0" xr:uid="{00000000-0006-0000-0600-000001000000}">
      <text>
        <r>
          <rPr>
            <sz val="10"/>
            <rFont val="Arial"/>
            <family val="2"/>
          </rPr>
          <t>Existing net PP&amp;E ($49.8B) depreciated over ~5 years so FY26E book D&amp;A (~$11.5B) is in line with FY25 actual ($11.7B). Fully depreciated by FY2030.</t>
        </r>
      </text>
    </comment>
    <comment ref="I11" authorId="0" shapeId="0" xr:uid="{00000000-0006-0000-0600-000002000000}">
      <text>
        <r>
          <rPr>
            <sz val="10"/>
            <rFont val="Arial"/>
            <family val="2"/>
          </rPr>
          <t>New capex layers depreciated over 9 years (Apple PP&amp;E is a mix of short-lived equipment and long-lived buildings/land).</t>
        </r>
      </text>
    </comment>
    <comment ref="I23" authorId="0" shapeId="0" xr:uid="{00000000-0006-0000-0600-000003000000}">
      <text>
        <r>
          <rPr>
            <sz val="10"/>
            <rFont val="Arial"/>
            <family val="2"/>
          </rPr>
          <t>Existing PP&amp;E assumed to have remaining tax life matching book life (5 yrs) -&gt; no timing difference.</t>
        </r>
      </text>
    </comment>
    <comment ref="I24" authorId="0" shapeId="0" xr:uid="{00000000-0006-0000-0600-000004000000}">
      <text>
        <r>
          <rPr>
            <sz val="10"/>
            <rFont val="Arial"/>
            <family val="2"/>
          </rPr>
          <t>IRS MACRS 7-year half-year convention rates (simplification; Apple may also use bonus depreciation).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8" authorId="0" shapeId="0" xr:uid="{00000000-0006-0000-0700-000001000000}">
      <text>
        <r>
          <rPr>
            <sz val="10"/>
            <rFont val="Arial"/>
            <family val="2"/>
          </rPr>
          <t>Minimum operating cash cushion (informational - no cash sweep is modelled).</t>
        </r>
      </text>
    </comment>
    <comment ref="G13" authorId="0" shapeId="0" xr:uid="{00000000-0006-0000-0700-000002000000}">
      <text>
        <r>
          <rPr>
            <sz val="10"/>
            <rFont val="Arial"/>
            <family val="2"/>
          </rPr>
          <t>CP outstanding $7,979M at FY25; Jun-26 balance ~$2.0B, so ~$6.0B repaid in FY26.</t>
        </r>
      </text>
    </comment>
    <comment ref="G17" authorId="0" shapeId="0" xr:uid="{00000000-0006-0000-0700-000003000000}">
      <text>
        <r>
          <rPr>
            <sz val="10"/>
            <rFont val="Arial"/>
            <family val="2"/>
          </rPr>
          <t>Approx. 3-6 month T-bill / CP yields.</t>
        </r>
      </text>
    </comment>
    <comment ref="G21" authorId="0" shapeId="0" xr:uid="{00000000-0006-0000-0700-000004000000}">
      <text>
        <r>
          <rPr>
            <sz val="10"/>
            <rFont val="Arial"/>
            <family val="2"/>
          </rPr>
          <t>FY26: $12.35B current portion of term debt (10-K). FY27+: ~$9B/yr net repayment (FY23-25 net repayments were $6-10B/yr).</t>
        </r>
      </text>
    </comment>
    <comment ref="G25" authorId="0" shapeId="0" xr:uid="{00000000-0006-0000-0700-000005000000}">
      <text>
        <r>
          <rPr>
            <sz val="10"/>
            <rFont val="Arial"/>
            <family val="2"/>
          </rPr>
          <t>Blended coupon on Apple's term notes (~3.3%).</t>
        </r>
      </text>
    </comment>
    <comment ref="G31" authorId="0" shapeId="0" xr:uid="{00000000-0006-0000-0700-000006000000}">
      <text>
        <r>
          <rPr>
            <sz val="10"/>
            <rFont val="Arial"/>
            <family val="2"/>
          </rPr>
          <t>Yield on ~$132B cash + marketable securities. Calibrated so FY26E net other income is ~$1.1B (TTM OI&amp;E $1.0B; Q4 guide ~$350M/qtr).</t>
        </r>
      </text>
    </comment>
  </commentList>
</comments>
</file>

<file path=xl/sharedStrings.xml><?xml version="1.0" encoding="utf-8"?>
<sst xmlns="http://schemas.openxmlformats.org/spreadsheetml/2006/main" count="263" uniqueCount="211">
  <si>
    <t>($ in millions, except per share)</t>
  </si>
  <si>
    <t>4yr CAGR</t>
  </si>
  <si>
    <t>Revenue</t>
  </si>
  <si>
    <t>% Growth</t>
  </si>
  <si>
    <t>Cost of sales</t>
  </si>
  <si>
    <t>% of Revenue</t>
  </si>
  <si>
    <t>Gross margin</t>
  </si>
  <si>
    <t>Research and development</t>
  </si>
  <si>
    <t>Selling, general and administrative</t>
  </si>
  <si>
    <t>Total Operating Expenses</t>
  </si>
  <si>
    <t>EBIT (Operating income)</t>
  </si>
  <si>
    <t>Depreciation &amp; amortization (embedded in costs above)</t>
  </si>
  <si>
    <t>EBITDA (EBIT + D&amp;A)</t>
  </si>
  <si>
    <t>Other income/(expense), net</t>
  </si>
  <si>
    <t>INCOME BEFORE PROVISION FOR INCOME TAXES</t>
  </si>
  <si>
    <t>PROVISION FOR INCOME TAXES</t>
  </si>
  <si>
    <t>Tax Rate</t>
  </si>
  <si>
    <t>NET INCOME</t>
  </si>
  <si>
    <t>EARNINGS PER SHARE ($)</t>
  </si>
  <si>
    <t>Basic</t>
  </si>
  <si>
    <t>Diluted</t>
  </si>
  <si>
    <t>WEIGHTED AVERAGE SHARES (millions)</t>
  </si>
  <si>
    <t>% change in shares (buybacks)</t>
  </si>
  <si>
    <t>($ in millions)</t>
  </si>
  <si>
    <t>OPERATING ACTIVITIES</t>
  </si>
  <si>
    <t>Net income</t>
  </si>
  <si>
    <t>Depreciation and amortization</t>
  </si>
  <si>
    <t>Share-based compensation</t>
  </si>
  <si>
    <t>% of revenue</t>
  </si>
  <si>
    <t>Deferred income taxes (projected; included in 'Other' historically)</t>
  </si>
  <si>
    <t>Other operating items</t>
  </si>
  <si>
    <t>Changes in operating assets and liabilities:</t>
  </si>
  <si>
    <t>Accounts receivable</t>
  </si>
  <si>
    <t>Inventories</t>
  </si>
  <si>
    <t>Accounts payable</t>
  </si>
  <si>
    <t>Other operating assets and liabilities, net</t>
  </si>
  <si>
    <t>Net change in operating assets and liabilities</t>
  </si>
  <si>
    <t>Cash generated by operating activities</t>
  </si>
  <si>
    <t>INVESTING ACTIVITIES</t>
  </si>
  <si>
    <t>Capital expenditures</t>
  </si>
  <si>
    <t>Net (purchases)/sales of marketable securities</t>
  </si>
  <si>
    <t>Other investing activities</t>
  </si>
  <si>
    <t>Cash from/(used in) investing activities</t>
  </si>
  <si>
    <t>FINANCING ACTIVITIES</t>
  </si>
  <si>
    <t>Net debt issued/(repaid)</t>
  </si>
  <si>
    <t>Repurchases of common stock (incl. net share settlement)</t>
  </si>
  <si>
    <t>Dividends paid</t>
  </si>
  <si>
    <t>Dividend per share ($)</t>
  </si>
  <si>
    <t>% growth</t>
  </si>
  <si>
    <t>Cash returned to shareholders as % of FCF</t>
  </si>
  <si>
    <t>Other financing activities</t>
  </si>
  <si>
    <t>Cash used in financing activities</t>
  </si>
  <si>
    <t>NET INCREASE/(DECREASE) IN CASH, CASH EQUIVALENTS &amp; RESTRICTED CASH</t>
  </si>
  <si>
    <t>CASH, CASH EQUIVALENTS &amp; RESTRICTED CASH AT BEGINNING OF PERIOD</t>
  </si>
  <si>
    <t>CASH, CASH EQUIVALENTS &amp; RESTRICTED CASH AT END OF PERIOD</t>
  </si>
  <si>
    <t>SUPPLEMENTARY DATA</t>
  </si>
  <si>
    <t>Free cash flow (operating cash flow + capex)</t>
  </si>
  <si>
    <t>Cash flow before debt issuance/(repayment)</t>
  </si>
  <si>
    <t>Assets</t>
  </si>
  <si>
    <t>Cash and cash equivalents</t>
  </si>
  <si>
    <t>Short-term marketable securities</t>
  </si>
  <si>
    <t>Accounts receivable, net</t>
  </si>
  <si>
    <t>Other receivables (vendor non-trade)</t>
  </si>
  <si>
    <t>Other current assets</t>
  </si>
  <si>
    <t>Total current assets</t>
  </si>
  <si>
    <t>Long-Term Assets</t>
  </si>
  <si>
    <t>Long-term marketable securities</t>
  </si>
  <si>
    <t>Property, plant and equipment, net</t>
  </si>
  <si>
    <t>Other non-current assets (incl. deferred tax assets)</t>
  </si>
  <si>
    <t>Total Long Term Assets</t>
  </si>
  <si>
    <t>Total Assets</t>
  </si>
  <si>
    <t>Operating Current Liabilities</t>
  </si>
  <si>
    <t>Other current liabilities</t>
  </si>
  <si>
    <t>Deferred revenue</t>
  </si>
  <si>
    <t>Total operating current liabilities</t>
  </si>
  <si>
    <t>Debt</t>
  </si>
  <si>
    <t>Commercial paper</t>
  </si>
  <si>
    <t>Term debt (current + non-current)</t>
  </si>
  <si>
    <t>Other non-current liabilities (incl. leases, deferred tax)</t>
  </si>
  <si>
    <t>Total Liabilities</t>
  </si>
  <si>
    <t>Shareholders' Equity</t>
  </si>
  <si>
    <t>Common stock and additional paid-in capital</t>
  </si>
  <si>
    <t>Retained earnings / (accumulated deficit)</t>
  </si>
  <si>
    <t>Accumulated other comprehensive loss</t>
  </si>
  <si>
    <t>Total shareholders' equity</t>
  </si>
  <si>
    <t>Total Liabilities and Shareholders' Equity</t>
  </si>
  <si>
    <t>Balance check (Assets - Liabilities &amp; Equity)</t>
  </si>
  <si>
    <t>Match (Y/N)</t>
  </si>
  <si>
    <t>APPLE INC. - DCF VALUATION</t>
  </si>
  <si>
    <t>Unlevered Free Cash Flow</t>
  </si>
  <si>
    <t>EBIT</t>
  </si>
  <si>
    <t>Depreciation &amp; Amortization</t>
  </si>
  <si>
    <t>Changes in Working Capital</t>
  </si>
  <si>
    <t>Capital Expenditure</t>
  </si>
  <si>
    <t>Taxes (tax rate x EBIT)</t>
  </si>
  <si>
    <t>Deferred income taxes</t>
  </si>
  <si>
    <t>Total Unlevered Free Cash Flow</t>
  </si>
  <si>
    <t>Net Present Value Calculation</t>
  </si>
  <si>
    <t>Period (end-of-year convention)</t>
  </si>
  <si>
    <t>Discounted Cash Flow</t>
  </si>
  <si>
    <t>Total Net Present Value</t>
  </si>
  <si>
    <t>Terminal Value</t>
  </si>
  <si>
    <t>EBITDA Method</t>
  </si>
  <si>
    <t>Cost of Capital</t>
  </si>
  <si>
    <t>Market data &amp; capital structure</t>
  </si>
  <si>
    <t>Exit Year EBITDA (FY2030E)</t>
  </si>
  <si>
    <t>Risk Free Rate</t>
  </si>
  <si>
    <t>Total debt (CP + term debt, FY2025)</t>
  </si>
  <si>
    <t>Multiple (current EV / TTM EBITDA)</t>
  </si>
  <si>
    <t>Market Risk Premium</t>
  </si>
  <si>
    <t>Stock price ($, 8-Oct-2026 close)</t>
  </si>
  <si>
    <t>Beta</t>
  </si>
  <si>
    <t>Shares outstanding - current (mm)</t>
  </si>
  <si>
    <t>Net Present Value</t>
  </si>
  <si>
    <t>Cost of Equity</t>
  </si>
  <si>
    <t>Equity Value (market cap)</t>
  </si>
  <si>
    <t>Perpetuity Method</t>
  </si>
  <si>
    <t>Cost of Debt (pre-tax)</t>
  </si>
  <si>
    <t>Net Debt / (net cash) incl. all securities</t>
  </si>
  <si>
    <t>Unlevered Free Cash Flow (FY2030E)</t>
  </si>
  <si>
    <t>Tax rate</t>
  </si>
  <si>
    <t>Enterprise Value</t>
  </si>
  <si>
    <t>Growth Rate</t>
  </si>
  <si>
    <t>WACC</t>
  </si>
  <si>
    <t>TTM EBITDA (Jun-26)</t>
  </si>
  <si>
    <t>Current EV / TTM EBITDA</t>
  </si>
  <si>
    <t>Basic shares outstanding at 27-Sep-2025 (mm)</t>
  </si>
  <si>
    <t>Cross-check: exit multiple implied by perpetuity TV</t>
  </si>
  <si>
    <t>Dilution from RSUs (FY25 diluted - basic, mm)</t>
  </si>
  <si>
    <t>Cross-check: perpetual growth implied by exit multiple</t>
  </si>
  <si>
    <t>Diluted shares at valuation date (mm)</t>
  </si>
  <si>
    <t>Valuation date</t>
  </si>
  <si>
    <t>Discounted Cash Flow Total Valuation</t>
  </si>
  <si>
    <t>Pricing date</t>
  </si>
  <si>
    <t>Total of Present Value of Cash Flows</t>
  </si>
  <si>
    <t>Present Value of Terminal Value</t>
  </si>
  <si>
    <t>Total Enterprise Value</t>
  </si>
  <si>
    <t>Less: Net Debt / (plus net cash)</t>
  </si>
  <si>
    <t>Equity Value</t>
  </si>
  <si>
    <t>Diluted Share Count (millions)</t>
  </si>
  <si>
    <t>Estimated Equity Value per Share at 27-Sep-2025</t>
  </si>
  <si>
    <t>Years from valuation date to pricing date</t>
  </si>
  <si>
    <t>Less: dividends per share paid in the period (FY26E DPS)</t>
  </si>
  <si>
    <t>Equity Value per Share rolled forward to pricing date</t>
  </si>
  <si>
    <t>Current share price</t>
  </si>
  <si>
    <t>DCF value vs. current price: premium / (discount)</t>
  </si>
  <si>
    <t>Sensitivity - EBITDA Exit Multiple Method: value per share rolled forward to pricing date ($)</t>
  </si>
  <si>
    <t>&lt;- exit EV/EBITDA multiple</t>
  </si>
  <si>
    <t>WACC (rows)  x  exit multiple (columns)</t>
  </si>
  <si>
    <t>Sensitivity - Perpetuity Method: value per share rolled forward to pricing date ($)</t>
  </si>
  <si>
    <t>&lt;- terminal growth rate</t>
  </si>
  <si>
    <t>WACC (rows)  x  terminal growth (columns)</t>
  </si>
  <si>
    <t>Operating Working Capital</t>
  </si>
  <si>
    <t>Days in year</t>
  </si>
  <si>
    <t>Valuation date 27-Sep-2025 ($ in millions)</t>
  </si>
  <si>
    <t>Receivable days (on revenue)</t>
  </si>
  <si>
    <t>Days (on cost of sales)</t>
  </si>
  <si>
    <t>Inventory days (on cost of sales)</t>
  </si>
  <si>
    <t>Days (on revenue)</t>
  </si>
  <si>
    <t>Current operating assets</t>
  </si>
  <si>
    <t>Payable days (on cost of sales)</t>
  </si>
  <si>
    <t>Current operating liabilities</t>
  </si>
  <si>
    <t>Total working capital</t>
  </si>
  <si>
    <t>Change in working capital (cash flow impact)</t>
  </si>
  <si>
    <t>Match (Y/N) vs. cash flow statement</t>
  </si>
  <si>
    <t>Depreciation Schedule</t>
  </si>
  <si>
    <t>Historical</t>
  </si>
  <si>
    <t>Projections</t>
  </si>
  <si>
    <t>Period Ending September ($ in millions)</t>
  </si>
  <si>
    <t>PP&amp;E at start of projection (FY2025 year-end)</t>
  </si>
  <si>
    <t>Straight line Depreciation Years</t>
  </si>
  <si>
    <t>Years:</t>
  </si>
  <si>
    <t>Existing property, plant and equipment</t>
  </si>
  <si>
    <t>CAPEX (new layers)</t>
  </si>
  <si>
    <t>Depreciation</t>
  </si>
  <si>
    <t>Existing PP&amp;E</t>
  </si>
  <si>
    <t>2026E CAPEX</t>
  </si>
  <si>
    <t>2027E CAPEX</t>
  </si>
  <si>
    <t>2028E CAPEX</t>
  </si>
  <si>
    <t>2029E CAPEX</t>
  </si>
  <si>
    <t>2030E CAPEX</t>
  </si>
  <si>
    <t>Total book depreciation &amp; amortization</t>
  </si>
  <si>
    <t>Tax depreciation: accelerated (MACRS) schedule (%)</t>
  </si>
  <si>
    <t>Tax depreciation ($)</t>
  </si>
  <si>
    <t>Total Tax Depreciation</t>
  </si>
  <si>
    <t>Difference in depreciation (tax - book)</t>
  </si>
  <si>
    <t>Tax rate %</t>
  </si>
  <si>
    <t>Deferred taxes</t>
  </si>
  <si>
    <t>Debt Schedule</t>
  </si>
  <si>
    <t>Actuals</t>
  </si>
  <si>
    <t>Cash available to pay down debt</t>
  </si>
  <si>
    <t>Cash at beginning of year</t>
  </si>
  <si>
    <t>Minimum cash cushion</t>
  </si>
  <si>
    <t>Total cash available to pay down debt</t>
  </si>
  <si>
    <t>Commercial paper (beginning of year)</t>
  </si>
  <si>
    <t>Mandatory issuances / (retirements)</t>
  </si>
  <si>
    <t>Non-mandatory issuances / (retirements)</t>
  </si>
  <si>
    <t>Commercial paper (end of year)</t>
  </si>
  <si>
    <t>Commercial paper interest expense</t>
  </si>
  <si>
    <t>Commercial paper interest rate</t>
  </si>
  <si>
    <t>Term debt (beginning of year)</t>
  </si>
  <si>
    <t>Term debt (end of year)</t>
  </si>
  <si>
    <t>Term debt interest expense</t>
  </si>
  <si>
    <t>Term debt interest rate</t>
  </si>
  <si>
    <t>Total issuances / (retirements)</t>
  </si>
  <si>
    <t>Total interest expense</t>
  </si>
  <si>
    <t>Cash at the end of the year</t>
  </si>
  <si>
    <t>Interest income (on beginning-of-year cash &amp; marketable securities)</t>
  </si>
  <si>
    <t>Interest rate on cash &amp; marketable securities</t>
  </si>
  <si>
    <t>Match (Y/N) vs. balance sheet cash</t>
  </si>
  <si>
    <t>Total Long term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</si>
</sst>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FY&quot;0\A"/>
    <numFmt numFmtId="165" formatCode="&quot;FY&quot;0\E"/>
    <numFmt numFmtId="166" formatCode="#,##0;\(#,##0\);\-"/>
    <numFmt numFmtId="167" formatCode="0.0%;\(0.0%\);\-"/>
    <numFmt numFmtId="168" formatCode="\$#,##0.00;&quot;($&quot;#,##0.00\);\-"/>
    <numFmt numFmtId="169" formatCode="0.00%;\(0.00%\);\-"/>
    <numFmt numFmtId="170" formatCode="0.0\x"/>
    <numFmt numFmtId="171" formatCode="dd\-mmm\-yyyy"/>
    <numFmt numFmtId="172" formatCode="0.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i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0" xfId="0" applyFont="1" applyFill="1"/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0" fontId="2" fillId="0" borderId="0" xfId="0" applyFont="1"/>
    <xf numFmtId="166" fontId="5" fillId="0" borderId="0" xfId="0" applyNumberFormat="1" applyFont="1"/>
    <xf numFmtId="166" fontId="2" fillId="0" borderId="0" xfId="0" applyNumberFormat="1" applyFont="1"/>
    <xf numFmtId="167" fontId="3" fillId="0" borderId="0" xfId="0" applyNumberFormat="1" applyFont="1"/>
    <xf numFmtId="0" fontId="3" fillId="0" borderId="0" xfId="0" applyFont="1" applyAlignment="1">
      <alignment indent="1"/>
    </xf>
    <xf numFmtId="167" fontId="6" fillId="3" borderId="0" xfId="0" applyNumberFormat="1" applyFont="1" applyFill="1"/>
    <xf numFmtId="0" fontId="3" fillId="0" borderId="0" xfId="0" applyFont="1"/>
    <xf numFmtId="166" fontId="6" fillId="0" borderId="0" xfId="0" applyNumberFormat="1" applyFont="1"/>
    <xf numFmtId="166" fontId="3" fillId="0" borderId="0" xfId="0" applyNumberFormat="1" applyFont="1"/>
    <xf numFmtId="166" fontId="7" fillId="0" borderId="0" xfId="0" applyNumberFormat="1" applyFont="1"/>
    <xf numFmtId="168" fontId="3" fillId="0" borderId="0" xfId="0" applyNumberFormat="1" applyFont="1"/>
    <xf numFmtId="167" fontId="7" fillId="0" borderId="0" xfId="0" applyNumberFormat="1" applyFont="1"/>
    <xf numFmtId="168" fontId="6" fillId="0" borderId="0" xfId="0" applyNumberFormat="1" applyFont="1"/>
    <xf numFmtId="167" fontId="6" fillId="0" borderId="0" xfId="0" applyNumberFormat="1" applyFont="1"/>
    <xf numFmtId="0" fontId="3" fillId="0" borderId="0" xfId="0" applyFont="1" applyAlignment="1">
      <alignment horizontal="right"/>
    </xf>
    <xf numFmtId="1" fontId="6" fillId="0" borderId="0" xfId="0" applyNumberFormat="1" applyFont="1"/>
    <xf numFmtId="169" fontId="3" fillId="0" borderId="0" xfId="0" applyNumberFormat="1" applyFont="1"/>
    <xf numFmtId="0" fontId="2" fillId="4" borderId="0" xfId="0" applyFont="1" applyFill="1"/>
    <xf numFmtId="0" fontId="0" fillId="4" borderId="0" xfId="0" applyFill="1"/>
    <xf numFmtId="0" fontId="3" fillId="4" borderId="0" xfId="0" applyFont="1" applyFill="1"/>
    <xf numFmtId="169" fontId="6" fillId="3" borderId="0" xfId="0" applyNumberFormat="1" applyFont="1" applyFill="1"/>
    <xf numFmtId="170" fontId="3" fillId="3" borderId="0" xfId="0" applyNumberFormat="1" applyFont="1" applyFill="1"/>
    <xf numFmtId="168" fontId="6" fillId="3" borderId="0" xfId="0" applyNumberFormat="1" applyFont="1" applyFill="1"/>
    <xf numFmtId="2" fontId="6" fillId="3" borderId="0" xfId="0" applyNumberFormat="1" applyFont="1" applyFill="1"/>
    <xf numFmtId="169" fontId="3" fillId="4" borderId="0" xfId="0" applyNumberFormat="1" applyFont="1" applyFill="1"/>
    <xf numFmtId="169" fontId="7" fillId="4" borderId="0" xfId="0" applyNumberFormat="1" applyFont="1" applyFill="1"/>
    <xf numFmtId="169" fontId="2" fillId="4" borderId="0" xfId="0" applyNumberFormat="1" applyFont="1" applyFill="1"/>
    <xf numFmtId="170" fontId="3" fillId="0" borderId="0" xfId="0" applyNumberFormat="1" applyFont="1"/>
    <xf numFmtId="0" fontId="8" fillId="0" borderId="0" xfId="0" applyFont="1"/>
    <xf numFmtId="171" fontId="3" fillId="0" borderId="0" xfId="0" applyNumberFormat="1" applyFont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2" fontId="3" fillId="0" borderId="0" xfId="0" applyNumberFormat="1" applyFont="1"/>
    <xf numFmtId="168" fontId="7" fillId="0" borderId="0" xfId="0" applyNumberFormat="1" applyFont="1"/>
    <xf numFmtId="168" fontId="2" fillId="3" borderId="0" xfId="0" applyNumberFormat="1" applyFont="1" applyFill="1"/>
    <xf numFmtId="168" fontId="2" fillId="0" borderId="0" xfId="0" applyNumberFormat="1" applyFont="1"/>
    <xf numFmtId="172" fontId="7" fillId="0" borderId="0" xfId="0" applyNumberFormat="1" applyFont="1"/>
    <xf numFmtId="172" fontId="3" fillId="0" borderId="0" xfId="0" applyNumberFormat="1" applyFont="1"/>
    <xf numFmtId="172" fontId="6" fillId="3" borderId="0" xfId="0" applyNumberFormat="1" applyFont="1" applyFill="1"/>
    <xf numFmtId="0" fontId="7" fillId="0" borderId="0" xfId="0" applyFont="1" applyAlignment="1">
      <alignment horizontal="right"/>
    </xf>
    <xf numFmtId="172" fontId="6" fillId="0" borderId="0" xfId="0" applyNumberFormat="1" applyFont="1"/>
    <xf numFmtId="169" fontId="6" fillId="0" borderId="0" xfId="0" applyNumberFormat="1" applyFont="1"/>
    <xf numFmtId="168" fontId="3" fillId="0" borderId="1" xfId="0" applyNumberFormat="1" applyFont="1" applyBorder="1"/>
    <xf numFmtId="168" fontId="3" fillId="3" borderId="0" xfId="0" applyNumberFormat="1" applyFont="1" applyFill="1"/>
    <xf numFmtId="168" fontId="3" fillId="0" borderId="2" xfId="0" applyNumberFormat="1" applyFont="1" applyBorder="1"/>
    <xf numFmtId="168" fontId="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6" sqref="K16"/>
    </sheetView>
  </sheetViews>
  <sheetFormatPr defaultColWidth="8.6640625" defaultRowHeight="14.4" x14ac:dyDescent="0.3"/>
  <cols>
    <col min="1" max="1" width="48" customWidth="1"/>
    <col min="2" max="16" width="12.44140625" customWidth="1"/>
  </cols>
  <sheetData>
    <row r="1" spans="1:14" x14ac:dyDescent="0.3">
      <c r="A1" s="1" t="s">
        <v>0</v>
      </c>
      <c r="B1" s="2">
        <v>2021</v>
      </c>
      <c r="C1" s="2">
        <f t="shared" ref="C1:K1" si="0">B1+1</f>
        <v>2022</v>
      </c>
      <c r="D1" s="2">
        <f t="shared" si="0"/>
        <v>2023</v>
      </c>
      <c r="E1" s="2">
        <f t="shared" si="0"/>
        <v>2024</v>
      </c>
      <c r="F1" s="2">
        <f t="shared" si="0"/>
        <v>2025</v>
      </c>
      <c r="G1" s="3">
        <f t="shared" si="0"/>
        <v>2026</v>
      </c>
      <c r="H1" s="3">
        <f t="shared" si="0"/>
        <v>2027</v>
      </c>
      <c r="I1" s="3">
        <f t="shared" si="0"/>
        <v>2028</v>
      </c>
      <c r="J1" s="3">
        <f t="shared" si="0"/>
        <v>2029</v>
      </c>
      <c r="K1" s="3">
        <f t="shared" si="0"/>
        <v>2030</v>
      </c>
      <c r="N1" s="4" t="s">
        <v>1</v>
      </c>
    </row>
    <row r="2" spans="1:14" x14ac:dyDescent="0.3">
      <c r="A2" s="4" t="s">
        <v>2</v>
      </c>
      <c r="B2" s="5">
        <v>365817</v>
      </c>
      <c r="C2" s="5">
        <v>394328</v>
      </c>
      <c r="D2" s="5">
        <v>383285</v>
      </c>
      <c r="E2" s="5">
        <v>391035</v>
      </c>
      <c r="F2" s="5">
        <v>416161</v>
      </c>
      <c r="G2" s="6">
        <f>F2*(1+G3)</f>
        <v>476920.50599999994</v>
      </c>
      <c r="H2" s="6">
        <f>G2*(1+H3)</f>
        <v>505535.73635999998</v>
      </c>
      <c r="I2" s="6">
        <f>H2*(1+I3)</f>
        <v>533340.20185979991</v>
      </c>
      <c r="J2" s="6">
        <f>I2*(1+J3)</f>
        <v>560007.21195278992</v>
      </c>
      <c r="K2" s="6">
        <f>J2*(1+K3)</f>
        <v>585207.5364906654</v>
      </c>
      <c r="N2" s="7">
        <f>IFERROR((F2/B2)^(1/4)-1,"")</f>
        <v>3.275991627577457E-2</v>
      </c>
    </row>
    <row r="3" spans="1:14" x14ac:dyDescent="0.3">
      <c r="A3" s="8" t="s">
        <v>3</v>
      </c>
      <c r="C3" s="7">
        <f>C2/B2-1</f>
        <v>7.7937876041846099E-2</v>
      </c>
      <c r="D3" s="7">
        <f>D2/C2-1</f>
        <v>-2.800460530319937E-2</v>
      </c>
      <c r="E3" s="7">
        <f>E2/D2-1</f>
        <v>2.021994077514111E-2</v>
      </c>
      <c r="F3" s="7">
        <f>F2/E2-1</f>
        <v>6.425511782832749E-2</v>
      </c>
      <c r="G3" s="9">
        <v>0.14599999999999999</v>
      </c>
      <c r="H3" s="9">
        <v>0.06</v>
      </c>
      <c r="I3" s="9">
        <v>5.5E-2</v>
      </c>
      <c r="J3" s="9">
        <v>0.05</v>
      </c>
      <c r="K3" s="9">
        <v>4.4999999999999998E-2</v>
      </c>
    </row>
    <row r="4" spans="1:14" x14ac:dyDescent="0.3">
      <c r="A4" s="10" t="s">
        <v>4</v>
      </c>
      <c r="B4" s="11">
        <v>-212981</v>
      </c>
      <c r="C4" s="11">
        <v>-223546</v>
      </c>
      <c r="D4" s="11">
        <v>-214137</v>
      </c>
      <c r="E4" s="11">
        <v>-210352</v>
      </c>
      <c r="F4" s="11">
        <v>-220960</v>
      </c>
      <c r="G4" s="12">
        <f>-(G2*G5)</f>
        <v>-245137.14008399998</v>
      </c>
      <c r="H4" s="12">
        <f>-(H2*H5)</f>
        <v>-265406.261589</v>
      </c>
      <c r="I4" s="12">
        <f>-(I2*I5)</f>
        <v>-280003.60597639496</v>
      </c>
      <c r="J4" s="12">
        <f>-(J2*J5)</f>
        <v>-294003.78627521475</v>
      </c>
      <c r="K4" s="12">
        <f>-(K2*K5)</f>
        <v>-307233.95665759937</v>
      </c>
    </row>
    <row r="5" spans="1:14" x14ac:dyDescent="0.3">
      <c r="A5" s="8" t="s">
        <v>5</v>
      </c>
      <c r="B5" s="7">
        <f>-B4/B2</f>
        <v>0.58220640374832222</v>
      </c>
      <c r="C5" s="7">
        <f>-C4/C2</f>
        <v>0.56690369438639909</v>
      </c>
      <c r="D5" s="7">
        <f>-D4/D2</f>
        <v>0.55868870422792438</v>
      </c>
      <c r="E5" s="7">
        <f>-E4/E2</f>
        <v>0.53793650184766073</v>
      </c>
      <c r="F5" s="7">
        <f>-F4/F2</f>
        <v>0.53094835892839554</v>
      </c>
      <c r="G5" s="9">
        <v>0.51400000000000001</v>
      </c>
      <c r="H5" s="9">
        <v>0.52500000000000002</v>
      </c>
      <c r="I5" s="9">
        <v>0.52500000000000002</v>
      </c>
      <c r="J5" s="9">
        <v>0.52500000000000002</v>
      </c>
      <c r="K5" s="9">
        <v>0.52500000000000002</v>
      </c>
    </row>
    <row r="6" spans="1:14" x14ac:dyDescent="0.3">
      <c r="A6" s="4" t="s">
        <v>6</v>
      </c>
      <c r="B6" s="6">
        <f t="shared" ref="B6:K6" si="1">B2+B4</f>
        <v>152836</v>
      </c>
      <c r="C6" s="6">
        <f t="shared" si="1"/>
        <v>170782</v>
      </c>
      <c r="D6" s="6">
        <f t="shared" si="1"/>
        <v>169148</v>
      </c>
      <c r="E6" s="6">
        <f t="shared" si="1"/>
        <v>180683</v>
      </c>
      <c r="F6" s="6">
        <f t="shared" si="1"/>
        <v>195201</v>
      </c>
      <c r="G6" s="6">
        <f t="shared" si="1"/>
        <v>231783.36591599995</v>
      </c>
      <c r="H6" s="6">
        <f t="shared" si="1"/>
        <v>240129.47477099998</v>
      </c>
      <c r="I6" s="6">
        <f t="shared" si="1"/>
        <v>253336.59588340495</v>
      </c>
      <c r="J6" s="6">
        <f t="shared" si="1"/>
        <v>266003.42567757517</v>
      </c>
      <c r="K6" s="6">
        <f t="shared" si="1"/>
        <v>277973.57983306603</v>
      </c>
    </row>
    <row r="7" spans="1:14" x14ac:dyDescent="0.3">
      <c r="A7" s="8" t="s">
        <v>5</v>
      </c>
      <c r="B7" s="7">
        <f t="shared" ref="B7:K7" si="2">B6/B2</f>
        <v>0.41779359625167778</v>
      </c>
      <c r="C7" s="7">
        <f t="shared" si="2"/>
        <v>0.43309630561360085</v>
      </c>
      <c r="D7" s="7">
        <f t="shared" si="2"/>
        <v>0.44131129577207562</v>
      </c>
      <c r="E7" s="7">
        <f t="shared" si="2"/>
        <v>0.46206349815233932</v>
      </c>
      <c r="F7" s="7">
        <f t="shared" si="2"/>
        <v>0.46905164107160452</v>
      </c>
      <c r="G7" s="7">
        <f t="shared" si="2"/>
        <v>0.48599999999999999</v>
      </c>
      <c r="H7" s="7">
        <f t="shared" si="2"/>
        <v>0.47499999999999998</v>
      </c>
      <c r="I7" s="7">
        <f t="shared" si="2"/>
        <v>0.47499999999999998</v>
      </c>
      <c r="J7" s="7">
        <f t="shared" si="2"/>
        <v>0.47499999999999992</v>
      </c>
      <c r="K7" s="7">
        <f t="shared" si="2"/>
        <v>0.47499999999999992</v>
      </c>
    </row>
    <row r="9" spans="1:14" x14ac:dyDescent="0.3">
      <c r="A9" s="10" t="s">
        <v>7</v>
      </c>
      <c r="B9" s="11">
        <v>-21914</v>
      </c>
      <c r="C9" s="11">
        <v>-26251</v>
      </c>
      <c r="D9" s="11">
        <v>-29915</v>
      </c>
      <c r="E9" s="11">
        <v>-31370</v>
      </c>
      <c r="F9" s="11">
        <v>-34550</v>
      </c>
      <c r="G9" s="12">
        <f>-(G2*G10)</f>
        <v>-44353.607057999994</v>
      </c>
      <c r="H9" s="12">
        <f>-(H2*H10)</f>
        <v>-47014.823481479994</v>
      </c>
      <c r="I9" s="12">
        <f>-(I2*I10)</f>
        <v>-49600.638772961393</v>
      </c>
      <c r="J9" s="12">
        <f>-(J2*J10)</f>
        <v>-52080.670711609462</v>
      </c>
      <c r="K9" s="12">
        <f>-(K2*K10)</f>
        <v>-54424.30089363188</v>
      </c>
      <c r="N9" s="7">
        <f>IFERROR((F9/B9)^(1/4)-1,"")</f>
        <v>0.12055092541574219</v>
      </c>
    </row>
    <row r="10" spans="1:14" x14ac:dyDescent="0.3">
      <c r="A10" s="8" t="s">
        <v>5</v>
      </c>
      <c r="B10" s="7">
        <f>-B9/B2</f>
        <v>5.9904269074427925E-2</v>
      </c>
      <c r="C10" s="7">
        <f>-C9/C2</f>
        <v>6.657148363798665E-2</v>
      </c>
      <c r="D10" s="7">
        <f>-D9/D2</f>
        <v>7.8048971392045086E-2</v>
      </c>
      <c r="E10" s="7">
        <f>-E9/E2</f>
        <v>8.0222997941360744E-2</v>
      </c>
      <c r="F10" s="7">
        <f>-F9/F2</f>
        <v>8.3020753987038676E-2</v>
      </c>
      <c r="G10" s="9">
        <v>9.2999999999999999E-2</v>
      </c>
      <c r="H10" s="9">
        <v>9.2999999999999999E-2</v>
      </c>
      <c r="I10" s="9">
        <v>9.2999999999999999E-2</v>
      </c>
      <c r="J10" s="9">
        <v>9.2999999999999999E-2</v>
      </c>
      <c r="K10" s="9">
        <v>9.2999999999999999E-2</v>
      </c>
    </row>
    <row r="11" spans="1:14" x14ac:dyDescent="0.3">
      <c r="A11" s="10" t="s">
        <v>8</v>
      </c>
      <c r="B11" s="11">
        <v>-21973</v>
      </c>
      <c r="C11" s="11">
        <v>-25094</v>
      </c>
      <c r="D11" s="11">
        <v>-24932</v>
      </c>
      <c r="E11" s="11">
        <v>-26097</v>
      </c>
      <c r="F11" s="11">
        <v>-27601</v>
      </c>
      <c r="G11" s="12">
        <f>-(G2*G12)</f>
        <v>-30999.832889999998</v>
      </c>
      <c r="H11" s="12">
        <f>-(H2*H12)</f>
        <v>-32859.822863399997</v>
      </c>
      <c r="I11" s="12">
        <f>-(I2*I12)</f>
        <v>-34667.113120886992</v>
      </c>
      <c r="J11" s="12">
        <f>-(J2*J12)</f>
        <v>-36400.468776931346</v>
      </c>
      <c r="K11" s="12">
        <f>-(K2*K12)</f>
        <v>-38038.489871893253</v>
      </c>
      <c r="N11" s="7">
        <f>IFERROR((F11/B11)^(1/4)-1,"")</f>
        <v>5.86657557290029E-2</v>
      </c>
    </row>
    <row r="12" spans="1:14" x14ac:dyDescent="0.3">
      <c r="A12" s="8" t="s">
        <v>5</v>
      </c>
      <c r="B12" s="7">
        <f>-B11/B2</f>
        <v>6.006555190163388E-2</v>
      </c>
      <c r="C12" s="7">
        <f>-C11/C2</f>
        <v>6.3637378020328261E-2</v>
      </c>
      <c r="D12" s="7">
        <f>-D11/D2</f>
        <v>6.5048201729783317E-2</v>
      </c>
      <c r="E12" s="7">
        <f>-E11/E2</f>
        <v>6.6738271510222866E-2</v>
      </c>
      <c r="F12" s="7">
        <f>-F11/F2</f>
        <v>6.6322889458647019E-2</v>
      </c>
      <c r="G12" s="9">
        <v>6.5000000000000002E-2</v>
      </c>
      <c r="H12" s="9">
        <v>6.5000000000000002E-2</v>
      </c>
      <c r="I12" s="9">
        <v>6.5000000000000002E-2</v>
      </c>
      <c r="J12" s="9">
        <v>6.5000000000000002E-2</v>
      </c>
      <c r="K12" s="9">
        <v>6.5000000000000002E-2</v>
      </c>
    </row>
    <row r="13" spans="1:14" x14ac:dyDescent="0.3">
      <c r="A13" s="10" t="s">
        <v>9</v>
      </c>
      <c r="B13" s="12">
        <f t="shared" ref="B13:K13" si="3">B9+B11</f>
        <v>-43887</v>
      </c>
      <c r="C13" s="12">
        <f t="shared" si="3"/>
        <v>-51345</v>
      </c>
      <c r="D13" s="12">
        <f t="shared" si="3"/>
        <v>-54847</v>
      </c>
      <c r="E13" s="12">
        <f t="shared" si="3"/>
        <v>-57467</v>
      </c>
      <c r="F13" s="12">
        <f t="shared" si="3"/>
        <v>-62151</v>
      </c>
      <c r="G13" s="12">
        <f t="shared" si="3"/>
        <v>-75353.439947999985</v>
      </c>
      <c r="H13" s="12">
        <f t="shared" si="3"/>
        <v>-79874.646344879991</v>
      </c>
      <c r="I13" s="12">
        <f t="shared" si="3"/>
        <v>-84267.751893848384</v>
      </c>
      <c r="J13" s="12">
        <f t="shared" si="3"/>
        <v>-88481.139488540808</v>
      </c>
      <c r="K13" s="12">
        <f t="shared" si="3"/>
        <v>-92462.790765525133</v>
      </c>
    </row>
    <row r="14" spans="1:14" x14ac:dyDescent="0.3">
      <c r="A14" s="8" t="s">
        <v>5</v>
      </c>
      <c r="B14" s="7">
        <f t="shared" ref="B14:K14" si="4">-B13/B2</f>
        <v>0.11996982097606181</v>
      </c>
      <c r="C14" s="7">
        <f t="shared" si="4"/>
        <v>0.13020886165831491</v>
      </c>
      <c r="D14" s="7">
        <f t="shared" si="4"/>
        <v>0.1430971731218284</v>
      </c>
      <c r="E14" s="7">
        <f t="shared" si="4"/>
        <v>0.14696126945158361</v>
      </c>
      <c r="F14" s="7">
        <f t="shared" si="4"/>
        <v>0.14934364344568568</v>
      </c>
      <c r="G14" s="7">
        <f t="shared" si="4"/>
        <v>0.158</v>
      </c>
      <c r="H14" s="7">
        <f t="shared" si="4"/>
        <v>0.158</v>
      </c>
      <c r="I14" s="7">
        <f t="shared" si="4"/>
        <v>0.158</v>
      </c>
      <c r="J14" s="7">
        <f t="shared" si="4"/>
        <v>0.158</v>
      </c>
      <c r="K14" s="7">
        <f t="shared" si="4"/>
        <v>0.158</v>
      </c>
    </row>
    <row r="15" spans="1:14" x14ac:dyDescent="0.3">
      <c r="A15" s="4" t="s">
        <v>10</v>
      </c>
      <c r="B15" s="6">
        <f t="shared" ref="B15:K15" si="5">B6+B13</f>
        <v>108949</v>
      </c>
      <c r="C15" s="6">
        <f t="shared" si="5"/>
        <v>119437</v>
      </c>
      <c r="D15" s="6">
        <f t="shared" si="5"/>
        <v>114301</v>
      </c>
      <c r="E15" s="6">
        <f t="shared" si="5"/>
        <v>123216</v>
      </c>
      <c r="F15" s="6">
        <f t="shared" si="5"/>
        <v>133050</v>
      </c>
      <c r="G15" s="6">
        <f t="shared" si="5"/>
        <v>156429.92596799997</v>
      </c>
      <c r="H15" s="6">
        <f t="shared" si="5"/>
        <v>160254.82842611999</v>
      </c>
      <c r="I15" s="6">
        <f t="shared" si="5"/>
        <v>169068.84398955657</v>
      </c>
      <c r="J15" s="6">
        <f t="shared" si="5"/>
        <v>177522.28618903435</v>
      </c>
      <c r="K15" s="6">
        <f t="shared" si="5"/>
        <v>185510.7890675409</v>
      </c>
      <c r="N15" s="7">
        <f>IFERROR((F15/B15)^(1/4)-1,"")</f>
        <v>5.1230390527384095E-2</v>
      </c>
    </row>
    <row r="16" spans="1:14" x14ac:dyDescent="0.3">
      <c r="A16" s="8" t="s">
        <v>5</v>
      </c>
      <c r="B16" s="7">
        <f t="shared" ref="B16:K16" si="6">B15/B2</f>
        <v>0.29782377527561593</v>
      </c>
      <c r="C16" s="7">
        <f t="shared" si="6"/>
        <v>0.30288744395528594</v>
      </c>
      <c r="D16" s="7">
        <f t="shared" si="6"/>
        <v>0.29821412265024722</v>
      </c>
      <c r="E16" s="7">
        <f t="shared" si="6"/>
        <v>0.31510222870075566</v>
      </c>
      <c r="F16" s="7">
        <f t="shared" si="6"/>
        <v>0.31970799762591884</v>
      </c>
      <c r="G16" s="7">
        <f t="shared" si="6"/>
        <v>0.32799999999999996</v>
      </c>
      <c r="H16" s="7">
        <f t="shared" si="6"/>
        <v>0.317</v>
      </c>
      <c r="I16" s="7">
        <f t="shared" si="6"/>
        <v>0.317</v>
      </c>
      <c r="J16" s="7">
        <f t="shared" si="6"/>
        <v>0.31699999999999989</v>
      </c>
      <c r="K16" s="7">
        <f t="shared" si="6"/>
        <v>0.31699999999999995</v>
      </c>
    </row>
    <row r="18" spans="1:14" x14ac:dyDescent="0.3">
      <c r="A18" s="10" t="s">
        <v>11</v>
      </c>
      <c r="B18" s="13">
        <f>'C.S'!B4</f>
        <v>11284</v>
      </c>
      <c r="C18" s="13">
        <f>'C.S'!C4</f>
        <v>11104</v>
      </c>
      <c r="D18" s="13">
        <f>'C.S'!D4</f>
        <v>11519</v>
      </c>
      <c r="E18" s="13">
        <f>'C.S'!E4</f>
        <v>11445</v>
      </c>
      <c r="F18" s="13">
        <f>'C.S'!F4</f>
        <v>11698</v>
      </c>
      <c r="G18" s="13">
        <f>'C.S'!G4</f>
        <v>11450.552685333332</v>
      </c>
      <c r="H18" s="13">
        <f>'C.S'!H4</f>
        <v>13135.671806533332</v>
      </c>
      <c r="I18" s="13">
        <f>'C.S'!I4</f>
        <v>14913.472479399332</v>
      </c>
      <c r="J18" s="13">
        <f>'C.S'!J4</f>
        <v>16780.16318590863</v>
      </c>
      <c r="K18" s="13">
        <f>'C.S'!K4</f>
        <v>18730.854974210848</v>
      </c>
    </row>
    <row r="19" spans="1:14" x14ac:dyDescent="0.3">
      <c r="A19" s="8" t="s">
        <v>5</v>
      </c>
      <c r="B19" s="7">
        <f t="shared" ref="B19:K19" si="7">B18/B2</f>
        <v>3.084602410494865E-2</v>
      </c>
      <c r="C19" s="7">
        <f t="shared" si="7"/>
        <v>2.8159298857803657E-2</v>
      </c>
      <c r="D19" s="7">
        <f t="shared" si="7"/>
        <v>3.0053354553400212E-2</v>
      </c>
      <c r="E19" s="7">
        <f t="shared" si="7"/>
        <v>2.9268479803598143E-2</v>
      </c>
      <c r="F19" s="7">
        <f t="shared" si="7"/>
        <v>2.8109313462818475E-2</v>
      </c>
      <c r="G19" s="7">
        <f t="shared" si="7"/>
        <v>2.4009352798374607E-2</v>
      </c>
      <c r="H19" s="7">
        <f t="shared" si="7"/>
        <v>2.5983666161988619E-2</v>
      </c>
      <c r="I19" s="7">
        <f t="shared" si="7"/>
        <v>2.7962400785455251E-2</v>
      </c>
      <c r="J19" s="7">
        <f t="shared" si="7"/>
        <v>2.9964191224243094E-2</v>
      </c>
      <c r="K19" s="7">
        <f t="shared" si="7"/>
        <v>3.2007200533565962E-2</v>
      </c>
    </row>
    <row r="20" spans="1:14" x14ac:dyDescent="0.3">
      <c r="A20" s="4" t="s">
        <v>12</v>
      </c>
      <c r="B20" s="6">
        <f t="shared" ref="B20:K20" si="8">B15+B18</f>
        <v>120233</v>
      </c>
      <c r="C20" s="6">
        <f t="shared" si="8"/>
        <v>130541</v>
      </c>
      <c r="D20" s="6">
        <f t="shared" si="8"/>
        <v>125820</v>
      </c>
      <c r="E20" s="6">
        <f t="shared" si="8"/>
        <v>134661</v>
      </c>
      <c r="F20" s="6">
        <f t="shared" si="8"/>
        <v>144748</v>
      </c>
      <c r="G20" s="6">
        <f t="shared" si="8"/>
        <v>167880.4786533333</v>
      </c>
      <c r="H20" s="6">
        <f t="shared" si="8"/>
        <v>173390.50023265331</v>
      </c>
      <c r="I20" s="6">
        <f t="shared" si="8"/>
        <v>183982.31646895589</v>
      </c>
      <c r="J20" s="6">
        <f t="shared" si="8"/>
        <v>194302.44937494298</v>
      </c>
      <c r="K20" s="6">
        <f t="shared" si="8"/>
        <v>204241.64404175174</v>
      </c>
    </row>
    <row r="21" spans="1:14" x14ac:dyDescent="0.3">
      <c r="A21" s="8" t="s">
        <v>5</v>
      </c>
      <c r="B21" s="7">
        <f t="shared" ref="B21:K21" si="9">B20/B2</f>
        <v>0.32866979938056462</v>
      </c>
      <c r="C21" s="7">
        <f t="shared" si="9"/>
        <v>0.3310467428130896</v>
      </c>
      <c r="D21" s="7">
        <f t="shared" si="9"/>
        <v>0.32826747720364741</v>
      </c>
      <c r="E21" s="7">
        <f t="shared" si="9"/>
        <v>0.34437070850435381</v>
      </c>
      <c r="F21" s="7">
        <f t="shared" si="9"/>
        <v>0.34781731108873731</v>
      </c>
      <c r="G21" s="7">
        <f t="shared" si="9"/>
        <v>0.35200935279837459</v>
      </c>
      <c r="H21" s="7">
        <f t="shared" si="9"/>
        <v>0.34298366616198861</v>
      </c>
      <c r="I21" s="7">
        <f t="shared" si="9"/>
        <v>0.3449624007854552</v>
      </c>
      <c r="J21" s="7">
        <f t="shared" si="9"/>
        <v>0.34696419122424299</v>
      </c>
      <c r="K21" s="7">
        <f t="shared" si="9"/>
        <v>0.34900720053356588</v>
      </c>
    </row>
    <row r="23" spans="1:14" x14ac:dyDescent="0.3">
      <c r="A23" s="10" t="s">
        <v>13</v>
      </c>
      <c r="B23" s="11">
        <v>258</v>
      </c>
      <c r="C23" s="11">
        <v>-334</v>
      </c>
      <c r="D23" s="11">
        <v>-565</v>
      </c>
      <c r="E23" s="11">
        <v>269</v>
      </c>
      <c r="F23" s="11">
        <v>-321</v>
      </c>
      <c r="G23" s="13">
        <f>'Debt Schedule'!G30-'Debt Schedule'!G28</f>
        <v>1224.3135000000002</v>
      </c>
      <c r="H23" s="13">
        <f>'Debt Schedule'!H30-'Debt Schedule'!H28</f>
        <v>1572.3481002714821</v>
      </c>
      <c r="I23" s="13">
        <f>'Debt Schedule'!I30-'Debt Schedule'!I28</f>
        <v>2064.5731363776017</v>
      </c>
      <c r="J23" s="13">
        <f>'Debt Schedule'!J30-'Debt Schedule'!J28</f>
        <v>2585.2548147044995</v>
      </c>
      <c r="K23" s="13">
        <f>'Debt Schedule'!K30-'Debt Schedule'!K28</f>
        <v>3135.5173566349044</v>
      </c>
    </row>
    <row r="24" spans="1:14" x14ac:dyDescent="0.3">
      <c r="A24" s="4" t="s">
        <v>14</v>
      </c>
      <c r="B24" s="6">
        <f t="shared" ref="B24:K24" si="10">B15+B23</f>
        <v>109207</v>
      </c>
      <c r="C24" s="6">
        <f t="shared" si="10"/>
        <v>119103</v>
      </c>
      <c r="D24" s="6">
        <f t="shared" si="10"/>
        <v>113736</v>
      </c>
      <c r="E24" s="6">
        <f t="shared" si="10"/>
        <v>123485</v>
      </c>
      <c r="F24" s="6">
        <f t="shared" si="10"/>
        <v>132729</v>
      </c>
      <c r="G24" s="6">
        <f t="shared" si="10"/>
        <v>157654.23946799996</v>
      </c>
      <c r="H24" s="6">
        <f t="shared" si="10"/>
        <v>161827.17652639147</v>
      </c>
      <c r="I24" s="6">
        <f t="shared" si="10"/>
        <v>171133.41712593418</v>
      </c>
      <c r="J24" s="6">
        <f t="shared" si="10"/>
        <v>180107.54100373885</v>
      </c>
      <c r="K24" s="6">
        <f t="shared" si="10"/>
        <v>188646.3064241758</v>
      </c>
    </row>
    <row r="25" spans="1:14" x14ac:dyDescent="0.3">
      <c r="A25" s="8" t="s">
        <v>5</v>
      </c>
      <c r="B25" s="7">
        <f t="shared" ref="B25:K25" si="11">B24/B2</f>
        <v>0.29852904594373691</v>
      </c>
      <c r="C25" s="7">
        <f t="shared" si="11"/>
        <v>0.30204043334482966</v>
      </c>
      <c r="D25" s="7">
        <f t="shared" si="11"/>
        <v>0.29674002374212399</v>
      </c>
      <c r="E25" s="7">
        <f t="shared" si="11"/>
        <v>0.31579014666206351</v>
      </c>
      <c r="F25" s="7">
        <f t="shared" si="11"/>
        <v>0.31893666153243577</v>
      </c>
      <c r="G25" s="7">
        <f t="shared" si="11"/>
        <v>0.3305671227900609</v>
      </c>
      <c r="H25" s="7">
        <f t="shared" si="11"/>
        <v>0.32011026103039286</v>
      </c>
      <c r="I25" s="7">
        <f t="shared" si="11"/>
        <v>0.32087102477776525</v>
      </c>
      <c r="J25" s="7">
        <f t="shared" si="11"/>
        <v>0.32161646700171853</v>
      </c>
      <c r="K25" s="7">
        <f t="shared" si="11"/>
        <v>0.32235795792282124</v>
      </c>
    </row>
    <row r="27" spans="1:14" x14ac:dyDescent="0.3">
      <c r="A27" s="10" t="s">
        <v>15</v>
      </c>
      <c r="B27" s="11">
        <v>-14527</v>
      </c>
      <c r="C27" s="11">
        <v>-19300</v>
      </c>
      <c r="D27" s="11">
        <v>-16741</v>
      </c>
      <c r="E27" s="11">
        <v>-29749</v>
      </c>
      <c r="F27" s="11">
        <v>-20719</v>
      </c>
      <c r="G27" s="12">
        <f>-(G28*G24)</f>
        <v>-26801.220709559995</v>
      </c>
      <c r="H27" s="12">
        <f>-(H28*H24)</f>
        <v>-27510.620009486553</v>
      </c>
      <c r="I27" s="12">
        <f>-(I28*I24)</f>
        <v>-29092.680911408814</v>
      </c>
      <c r="J27" s="12">
        <f>-(J28*J24)</f>
        <v>-30618.281970635606</v>
      </c>
      <c r="K27" s="12">
        <f>-(K28*K24)</f>
        <v>-32069.872092109887</v>
      </c>
    </row>
    <row r="28" spans="1:14" x14ac:dyDescent="0.3">
      <c r="A28" s="10" t="s">
        <v>16</v>
      </c>
      <c r="B28" s="7">
        <f>-B27/B24</f>
        <v>0.13302260844085087</v>
      </c>
      <c r="C28" s="7">
        <f>-C27/C24</f>
        <v>0.16204461684424407</v>
      </c>
      <c r="D28" s="7">
        <f>-D27/D24</f>
        <v>0.14719174228036858</v>
      </c>
      <c r="E28" s="7">
        <f>-E27/E24</f>
        <v>0.24091185164189982</v>
      </c>
      <c r="F28" s="7">
        <f>-F27/F24</f>
        <v>0.15610002335586043</v>
      </c>
      <c r="G28" s="9">
        <v>0.17</v>
      </c>
      <c r="H28" s="9">
        <v>0.17</v>
      </c>
      <c r="I28" s="9">
        <v>0.17</v>
      </c>
      <c r="J28" s="9">
        <v>0.17</v>
      </c>
      <c r="K28" s="9">
        <v>0.17</v>
      </c>
    </row>
    <row r="29" spans="1:14" x14ac:dyDescent="0.3">
      <c r="A29" s="4" t="s">
        <v>17</v>
      </c>
      <c r="B29" s="6">
        <f t="shared" ref="B29:K29" si="12">B24+B27</f>
        <v>94680</v>
      </c>
      <c r="C29" s="6">
        <f t="shared" si="12"/>
        <v>99803</v>
      </c>
      <c r="D29" s="6">
        <f t="shared" si="12"/>
        <v>96995</v>
      </c>
      <c r="E29" s="6">
        <f t="shared" si="12"/>
        <v>93736</v>
      </c>
      <c r="F29" s="6">
        <f t="shared" si="12"/>
        <v>112010</v>
      </c>
      <c r="G29" s="6">
        <f t="shared" si="12"/>
        <v>130853.01875843995</v>
      </c>
      <c r="H29" s="6">
        <f t="shared" si="12"/>
        <v>134316.55651690491</v>
      </c>
      <c r="I29" s="6">
        <f t="shared" si="12"/>
        <v>142040.73621452536</v>
      </c>
      <c r="J29" s="6">
        <f t="shared" si="12"/>
        <v>149489.25903310324</v>
      </c>
      <c r="K29" s="6">
        <f t="shared" si="12"/>
        <v>156576.43433206592</v>
      </c>
      <c r="N29" s="7">
        <f>IFERROR((F29/B29)^(1/4)-1,"")</f>
        <v>4.2916736540760114E-2</v>
      </c>
    </row>
    <row r="30" spans="1:14" x14ac:dyDescent="0.3">
      <c r="A30" s="8" t="s">
        <v>5</v>
      </c>
      <c r="B30" s="7">
        <f t="shared" ref="B30:K30" si="13">B29/B2</f>
        <v>0.25881793355694238</v>
      </c>
      <c r="C30" s="7">
        <f t="shared" si="13"/>
        <v>0.25309640705199732</v>
      </c>
      <c r="D30" s="7">
        <f t="shared" si="13"/>
        <v>0.25306234264320282</v>
      </c>
      <c r="E30" s="7">
        <f t="shared" si="13"/>
        <v>0.23971255769943867</v>
      </c>
      <c r="F30" s="7">
        <f t="shared" si="13"/>
        <v>0.26915064121818238</v>
      </c>
      <c r="G30" s="7">
        <f t="shared" si="13"/>
        <v>0.27437071191575052</v>
      </c>
      <c r="H30" s="7">
        <f t="shared" si="13"/>
        <v>0.26569151665522606</v>
      </c>
      <c r="I30" s="7">
        <f t="shared" si="13"/>
        <v>0.26632295056554511</v>
      </c>
      <c r="J30" s="7">
        <f t="shared" si="13"/>
        <v>0.26694166761142635</v>
      </c>
      <c r="K30" s="7">
        <f t="shared" si="13"/>
        <v>0.26755710507594166</v>
      </c>
    </row>
    <row r="32" spans="1:14" x14ac:dyDescent="0.3">
      <c r="A32" s="4" t="s">
        <v>18</v>
      </c>
    </row>
    <row r="33" spans="1:11" x14ac:dyDescent="0.3">
      <c r="A33" s="10" t="s">
        <v>19</v>
      </c>
      <c r="B33" s="14">
        <f t="shared" ref="B33:K33" si="14">B29/B37</f>
        <v>5.6691216094844616</v>
      </c>
      <c r="C33" s="14">
        <f t="shared" si="14"/>
        <v>6.1546003946719292</v>
      </c>
      <c r="D33" s="14">
        <f t="shared" si="14"/>
        <v>6.1607596544715451</v>
      </c>
      <c r="E33" s="14">
        <f t="shared" si="14"/>
        <v>6.1089676746611055</v>
      </c>
      <c r="F33" s="14">
        <f t="shared" si="14"/>
        <v>7.4928088835373607</v>
      </c>
      <c r="G33" s="14">
        <f t="shared" si="14"/>
        <v>8.9502001938451645</v>
      </c>
      <c r="H33" s="14">
        <f t="shared" si="14"/>
        <v>9.3937651374300106</v>
      </c>
      <c r="I33" s="14">
        <f t="shared" si="14"/>
        <v>10.15743866113092</v>
      </c>
      <c r="J33" s="14">
        <f t="shared" si="14"/>
        <v>10.930560394927102</v>
      </c>
      <c r="K33" s="14">
        <f t="shared" si="14"/>
        <v>11.70630898325404</v>
      </c>
    </row>
    <row r="34" spans="1:11" x14ac:dyDescent="0.3">
      <c r="A34" s="10" t="s">
        <v>20</v>
      </c>
      <c r="B34" s="14">
        <f t="shared" ref="B34:K34" si="15">B29/B38</f>
        <v>5.6139934776163649</v>
      </c>
      <c r="C34" s="14">
        <f t="shared" si="15"/>
        <v>6.1131324268038707</v>
      </c>
      <c r="D34" s="14">
        <f t="shared" si="15"/>
        <v>6.1338771896540818</v>
      </c>
      <c r="E34" s="14">
        <f t="shared" si="15"/>
        <v>6.0835929387331253</v>
      </c>
      <c r="F34" s="14">
        <f t="shared" si="15"/>
        <v>7.4648450516494504</v>
      </c>
      <c r="G34" s="14">
        <f t="shared" si="15"/>
        <v>8.9167972474369463</v>
      </c>
      <c r="H34" s="14">
        <f t="shared" si="15"/>
        <v>9.3587067670404025</v>
      </c>
      <c r="I34" s="14">
        <f t="shared" si="15"/>
        <v>10.119530192952091</v>
      </c>
      <c r="J34" s="14">
        <f t="shared" si="15"/>
        <v>10.889766567395217</v>
      </c>
      <c r="K34" s="14">
        <f t="shared" si="15"/>
        <v>11.662619992713404</v>
      </c>
    </row>
    <row r="36" spans="1:11" x14ac:dyDescent="0.3">
      <c r="A36" s="4" t="s">
        <v>21</v>
      </c>
    </row>
    <row r="37" spans="1:11" x14ac:dyDescent="0.3">
      <c r="A37" s="10" t="s">
        <v>19</v>
      </c>
      <c r="B37" s="11">
        <v>16701</v>
      </c>
      <c r="C37" s="11">
        <v>16216</v>
      </c>
      <c r="D37" s="11">
        <v>15744</v>
      </c>
      <c r="E37" s="11">
        <v>15344</v>
      </c>
      <c r="F37" s="11">
        <v>14949</v>
      </c>
      <c r="G37" s="12">
        <f>F37*(1+G39)</f>
        <v>14620.121999999999</v>
      </c>
      <c r="H37" s="12">
        <f>G37*(1+H39)</f>
        <v>14298.479315999999</v>
      </c>
      <c r="I37" s="12">
        <f>H37*(1+I39)</f>
        <v>13983.912771047999</v>
      </c>
      <c r="J37" s="12">
        <f>I37*(1+J39)</f>
        <v>13676.266690084942</v>
      </c>
      <c r="K37" s="12">
        <f>J37*(1+K39)</f>
        <v>13375.388822903073</v>
      </c>
    </row>
    <row r="38" spans="1:11" x14ac:dyDescent="0.3">
      <c r="A38" s="10" t="s">
        <v>20</v>
      </c>
      <c r="B38" s="11">
        <v>16865</v>
      </c>
      <c r="C38" s="11">
        <v>16326</v>
      </c>
      <c r="D38" s="11">
        <v>15813</v>
      </c>
      <c r="E38" s="11">
        <v>15408</v>
      </c>
      <c r="F38" s="11">
        <v>15005</v>
      </c>
      <c r="G38" s="12">
        <f>F38*(1+G39)</f>
        <v>14674.89</v>
      </c>
      <c r="H38" s="12">
        <f>G38*(1+H39)</f>
        <v>14352.04242</v>
      </c>
      <c r="I38" s="12">
        <f>H38*(1+I39)</f>
        <v>14036.297486759999</v>
      </c>
      <c r="J38" s="12">
        <f>I38*(1+J39)</f>
        <v>13727.498942051279</v>
      </c>
      <c r="K38" s="12">
        <f>J38*(1+K39)</f>
        <v>13425.493965326152</v>
      </c>
    </row>
    <row r="39" spans="1:11" x14ac:dyDescent="0.3">
      <c r="A39" s="8" t="s">
        <v>22</v>
      </c>
      <c r="C39" s="7">
        <f>C38/B38-1</f>
        <v>-3.1959679810257935E-2</v>
      </c>
      <c r="D39" s="7">
        <f>D38/C38-1</f>
        <v>-3.1422271223814802E-2</v>
      </c>
      <c r="E39" s="7">
        <f>E38/D38-1</f>
        <v>-2.5611838360842354E-2</v>
      </c>
      <c r="F39" s="7">
        <f>F38/E38-1</f>
        <v>-2.6155244029075764E-2</v>
      </c>
      <c r="G39" s="9">
        <v>-2.1999999999999999E-2</v>
      </c>
      <c r="H39" s="9">
        <v>-2.1999999999999999E-2</v>
      </c>
      <c r="I39" s="9">
        <v>-2.1999999999999999E-2</v>
      </c>
      <c r="J39" s="9">
        <v>-2.1999999999999999E-2</v>
      </c>
      <c r="K39" s="9">
        <v>-2.1999999999999999E-2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showGridLines="0" zoomScaleNormal="100" workbookViewId="0">
      <pane xSplit="1" ySplit="1" topLeftCell="B17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62" customWidth="1"/>
    <col min="2" max="16" width="12.44140625" customWidth="1"/>
  </cols>
  <sheetData>
    <row r="1" spans="1:11" x14ac:dyDescent="0.3">
      <c r="A1" s="1" t="s">
        <v>23</v>
      </c>
      <c r="B1" s="2">
        <v>2021</v>
      </c>
      <c r="C1" s="2">
        <f t="shared" ref="C1:K1" si="0">B1+1</f>
        <v>2022</v>
      </c>
      <c r="D1" s="2">
        <f t="shared" si="0"/>
        <v>2023</v>
      </c>
      <c r="E1" s="2">
        <f t="shared" si="0"/>
        <v>2024</v>
      </c>
      <c r="F1" s="2">
        <f t="shared" si="0"/>
        <v>2025</v>
      </c>
      <c r="G1" s="3">
        <f t="shared" si="0"/>
        <v>2026</v>
      </c>
      <c r="H1" s="3">
        <f t="shared" si="0"/>
        <v>2027</v>
      </c>
      <c r="I1" s="3">
        <f t="shared" si="0"/>
        <v>2028</v>
      </c>
      <c r="J1" s="3">
        <f t="shared" si="0"/>
        <v>2029</v>
      </c>
      <c r="K1" s="3">
        <f t="shared" si="0"/>
        <v>2030</v>
      </c>
    </row>
    <row r="2" spans="1:11" x14ac:dyDescent="0.3">
      <c r="A2" s="4" t="s">
        <v>24</v>
      </c>
    </row>
    <row r="3" spans="1:11" x14ac:dyDescent="0.3">
      <c r="A3" s="10" t="s">
        <v>25</v>
      </c>
      <c r="B3" s="13">
        <f>I.S!B29</f>
        <v>94680</v>
      </c>
      <c r="C3" s="13">
        <f>I.S!C29</f>
        <v>99803</v>
      </c>
      <c r="D3" s="13">
        <f>I.S!D29</f>
        <v>96995</v>
      </c>
      <c r="E3" s="13">
        <f>I.S!E29</f>
        <v>93736</v>
      </c>
      <c r="F3" s="13">
        <f>I.S!F29</f>
        <v>112010</v>
      </c>
      <c r="G3" s="13">
        <f>I.S!G29</f>
        <v>130853.01875843995</v>
      </c>
      <c r="H3" s="13">
        <f>I.S!H29</f>
        <v>134316.55651690491</v>
      </c>
      <c r="I3" s="13">
        <f>I.S!I29</f>
        <v>142040.73621452536</v>
      </c>
      <c r="J3" s="13">
        <f>I.S!J29</f>
        <v>149489.25903310324</v>
      </c>
      <c r="K3" s="13">
        <f>I.S!K29</f>
        <v>156576.43433206592</v>
      </c>
    </row>
    <row r="4" spans="1:11" x14ac:dyDescent="0.3">
      <c r="A4" s="10" t="s">
        <v>26</v>
      </c>
      <c r="B4" s="11">
        <v>11284</v>
      </c>
      <c r="C4" s="11">
        <v>11104</v>
      </c>
      <c r="D4" s="11">
        <v>11519</v>
      </c>
      <c r="E4" s="11">
        <v>11445</v>
      </c>
      <c r="F4" s="11">
        <v>11698</v>
      </c>
      <c r="G4" s="13">
        <f>'Depreciation Schedule'!I19</f>
        <v>11450.552685333332</v>
      </c>
      <c r="H4" s="13">
        <f>'Depreciation Schedule'!J19</f>
        <v>13135.671806533332</v>
      </c>
      <c r="I4" s="13">
        <f>'Depreciation Schedule'!K19</f>
        <v>14913.472479399332</v>
      </c>
      <c r="J4" s="13">
        <f>'Depreciation Schedule'!L19</f>
        <v>16780.16318590863</v>
      </c>
      <c r="K4" s="13">
        <f>'Depreciation Schedule'!M19</f>
        <v>18730.854974210848</v>
      </c>
    </row>
    <row r="5" spans="1:11" x14ac:dyDescent="0.3">
      <c r="A5" s="10" t="s">
        <v>27</v>
      </c>
      <c r="B5" s="11">
        <v>7906</v>
      </c>
      <c r="C5" s="11">
        <v>9038</v>
      </c>
      <c r="D5" s="11">
        <v>10833</v>
      </c>
      <c r="E5" s="11">
        <v>11688</v>
      </c>
      <c r="F5" s="11">
        <v>12863</v>
      </c>
      <c r="G5" s="13">
        <f>G6*I.S!G2</f>
        <v>13830.694673999998</v>
      </c>
      <c r="H5" s="13">
        <f>H6*I.S!H2</f>
        <v>14660.536354440001</v>
      </c>
      <c r="I5" s="13">
        <f>I6*I.S!I2</f>
        <v>15466.865853934198</v>
      </c>
      <c r="J5" s="13">
        <f>J6*I.S!J2</f>
        <v>16240.209146630908</v>
      </c>
      <c r="K5" s="13">
        <f>K6*I.S!K2</f>
        <v>16971.018558229298</v>
      </c>
    </row>
    <row r="6" spans="1:11" x14ac:dyDescent="0.3">
      <c r="A6" s="8" t="s">
        <v>28</v>
      </c>
      <c r="B6" s="15">
        <f>B5/I.S!B2</f>
        <v>2.1611898845597662E-2</v>
      </c>
      <c r="C6" s="15">
        <f>C5/I.S!C2</f>
        <v>2.2920005680550203E-2</v>
      </c>
      <c r="D6" s="15">
        <f>D5/I.S!D2</f>
        <v>2.8263563666723196E-2</v>
      </c>
      <c r="E6" s="15">
        <f>E5/I.S!E2</f>
        <v>2.9889907553032339E-2</v>
      </c>
      <c r="F6" s="15">
        <f>F5/I.S!F2</f>
        <v>3.0908710811440764E-2</v>
      </c>
      <c r="G6" s="9">
        <v>2.9000000000000001E-2</v>
      </c>
      <c r="H6" s="9">
        <v>2.9000000000000001E-2</v>
      </c>
      <c r="I6" s="9">
        <v>2.9000000000000001E-2</v>
      </c>
      <c r="J6" s="9">
        <v>2.9000000000000001E-2</v>
      </c>
      <c r="K6" s="9">
        <v>2.9000000000000001E-2</v>
      </c>
    </row>
    <row r="7" spans="1:11" x14ac:dyDescent="0.3">
      <c r="A7" s="10" t="s">
        <v>29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3">
        <f>'Depreciation Schedule'!I40</f>
        <v>72.165279356557647</v>
      </c>
      <c r="H7" s="13">
        <f>'Depreciation Schedule'!J40</f>
        <v>385.67886212748215</v>
      </c>
      <c r="I7" s="13">
        <f>'Depreciation Schedule'!K40</f>
        <v>576.21553090893826</v>
      </c>
      <c r="J7" s="13">
        <f>'Depreciation Schedule'!L40</f>
        <v>650.46600150037875</v>
      </c>
      <c r="K7" s="13">
        <f>'Depreciation Schedule'!M40</f>
        <v>636.52644356539088</v>
      </c>
    </row>
    <row r="8" spans="1:11" x14ac:dyDescent="0.3">
      <c r="A8" s="10" t="s">
        <v>30</v>
      </c>
      <c r="B8" s="11">
        <v>-4921</v>
      </c>
      <c r="C8" s="11">
        <v>1006</v>
      </c>
      <c r="D8" s="11">
        <v>-2227</v>
      </c>
      <c r="E8" s="11">
        <v>-2266</v>
      </c>
      <c r="F8" s="11">
        <v>-89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</row>
    <row r="9" spans="1:11" x14ac:dyDescent="0.3">
      <c r="A9" s="4" t="s">
        <v>31</v>
      </c>
    </row>
    <row r="10" spans="1:11" x14ac:dyDescent="0.3">
      <c r="A10" s="10" t="s">
        <v>32</v>
      </c>
      <c r="B10" s="11">
        <v>-10125</v>
      </c>
      <c r="C10" s="11">
        <v>-1823</v>
      </c>
      <c r="D10" s="11">
        <v>-1688</v>
      </c>
      <c r="E10" s="11">
        <v>-3788</v>
      </c>
      <c r="F10" s="11">
        <v>-6682</v>
      </c>
      <c r="G10" s="13">
        <f>-('Working Capital Schedule'!G4-'Working Capital Schedule'!F4)</f>
        <v>-1239.4062891158974</v>
      </c>
      <c r="H10" s="13">
        <f>-('Working Capital Schedule'!H4-'Working Capital Schedule'!G4)</f>
        <v>-2460.984377346962</v>
      </c>
      <c r="I10" s="13">
        <f>-('Working Capital Schedule'!I4-'Working Capital Schedule'!H4)</f>
        <v>-2391.256486655453</v>
      </c>
      <c r="J10" s="13">
        <f>-('Working Capital Schedule'!J4-'Working Capital Schedule'!I4)</f>
        <v>-2293.4323576559182</v>
      </c>
      <c r="K10" s="13">
        <f>-('Working Capital Schedule'!K4-'Working Capital Schedule'!J4)</f>
        <v>-2167.293577984834</v>
      </c>
    </row>
    <row r="11" spans="1:11" x14ac:dyDescent="0.3">
      <c r="A11" s="10" t="s">
        <v>33</v>
      </c>
      <c r="B11" s="11">
        <v>-2642</v>
      </c>
      <c r="C11" s="11">
        <v>1484</v>
      </c>
      <c r="D11" s="11">
        <v>-1618</v>
      </c>
      <c r="E11" s="11">
        <v>-1046</v>
      </c>
      <c r="F11" s="11">
        <v>1400</v>
      </c>
      <c r="G11" s="13">
        <f>-('Working Capital Schedule'!G8-'Working Capital Schedule'!F8)</f>
        <v>-1642.6799112001663</v>
      </c>
      <c r="H11" s="13">
        <f>-('Working Capital Schedule'!H8-'Working Capital Schedule'!G8)</f>
        <v>-608.61652962258177</v>
      </c>
      <c r="I11" s="13">
        <f>-('Working Capital Schedule'!I8-'Working Capital Schedule'!H8)</f>
        <v>-438.31130424525054</v>
      </c>
      <c r="J11" s="13">
        <f>-('Working Capital Schedule'!J8-'Working Capital Schedule'!I8)</f>
        <v>-420.38038725340084</v>
      </c>
      <c r="K11" s="13">
        <f>-('Working Capital Schedule'!K8-'Working Capital Schedule'!J8)</f>
        <v>-397.25946595446112</v>
      </c>
    </row>
    <row r="12" spans="1:11" x14ac:dyDescent="0.3">
      <c r="A12" s="10" t="s">
        <v>34</v>
      </c>
      <c r="B12" s="11">
        <v>12326</v>
      </c>
      <c r="C12" s="11">
        <v>9448</v>
      </c>
      <c r="D12" s="11">
        <v>-1889</v>
      </c>
      <c r="E12" s="11">
        <v>6020</v>
      </c>
      <c r="F12" s="11">
        <v>902</v>
      </c>
      <c r="G12" s="13">
        <f>'Working Capital Schedule'!G14-'Working Capital Schedule'!F14</f>
        <v>6654.2347118967882</v>
      </c>
      <c r="H12" s="13">
        <f>'Working Capital Schedule'!H14-'Working Capital Schedule'!G14</f>
        <v>6326.5660997191007</v>
      </c>
      <c r="I12" s="13">
        <f>'Working Capital Schedule'!I14-'Working Capital Schedule'!H14</f>
        <v>4556.24404463885</v>
      </c>
      <c r="J12" s="13">
        <f>'Working Capital Schedule'!J14-'Working Capital Schedule'!I14</f>
        <v>4369.8522428127617</v>
      </c>
      <c r="K12" s="13">
        <f>'Working Capital Schedule'!K14-'Working Capital Schedule'!J14</f>
        <v>4129.5103694580175</v>
      </c>
    </row>
    <row r="13" spans="1:11" x14ac:dyDescent="0.3">
      <c r="A13" s="10" t="s">
        <v>35</v>
      </c>
      <c r="B13" s="11">
        <v>-4470</v>
      </c>
      <c r="C13" s="11">
        <v>-7909</v>
      </c>
      <c r="D13" s="11">
        <v>-1382</v>
      </c>
      <c r="E13" s="11">
        <v>2465</v>
      </c>
      <c r="F13" s="11">
        <v>-20620</v>
      </c>
      <c r="G13" s="13">
        <f>-('Working Capital Schedule'!G6-'Working Capital Schedule'!F6)-('Working Capital Schedule'!G10-'Working Capital Schedule'!F10)+('Working Capital Schedule'!G16-'Working Capital Schedule'!F16)+('Working Capital Schedule'!G18-'Working Capital Schedule'!F18)</f>
        <v>-6699.774405872402</v>
      </c>
      <c r="H13" s="13">
        <f>-('Working Capital Schedule'!H6-'Working Capital Schedule'!G6)-('Working Capital Schedule'!H10-'Working Capital Schedule'!G10)+('Working Capital Schedule'!H16-'Working Capital Schedule'!G16)+('Working Capital Schedule'!H18-'Working Capital Schedule'!G18)</f>
        <v>418.48714120722434</v>
      </c>
      <c r="I13" s="13">
        <f>-('Working Capital Schedule'!I6-'Working Capital Schedule'!H6)-('Working Capital Schedule'!I10-'Working Capital Schedule'!H10)+('Working Capital Schedule'!I16-'Working Capital Schedule'!H16)+('Working Capital Schedule'!I18-'Working Capital Schedule'!H18)</f>
        <v>1176.7642004434219</v>
      </c>
      <c r="J13" s="13">
        <f>-('Working Capital Schedule'!J6-'Working Capital Schedule'!I6)-('Working Capital Schedule'!J10-'Working Capital Schedule'!I10)+('Working Capital Schedule'!J16-'Working Capital Schedule'!I16)+('Working Capital Schedule'!J18-'Working Capital Schedule'!I18)</f>
        <v>1128.6238467889125</v>
      </c>
      <c r="K13" s="13">
        <f>-('Working Capital Schedule'!K6-'Working Capital Schedule'!J6)-('Working Capital Schedule'!K10-'Working Capital Schedule'!J10)+('Working Capital Schedule'!K16-'Working Capital Schedule'!J16)+('Working Capital Schedule'!K18-'Working Capital Schedule'!J18)</f>
        <v>1066.5495352155049</v>
      </c>
    </row>
    <row r="14" spans="1:11" x14ac:dyDescent="0.3">
      <c r="A14" s="4" t="s">
        <v>36</v>
      </c>
      <c r="B14" s="6">
        <f t="shared" ref="B14:K14" si="1">SUM(B10:B13)</f>
        <v>-4911</v>
      </c>
      <c r="C14" s="6">
        <f t="shared" si="1"/>
        <v>1200</v>
      </c>
      <c r="D14" s="6">
        <f t="shared" si="1"/>
        <v>-6577</v>
      </c>
      <c r="E14" s="6">
        <f t="shared" si="1"/>
        <v>3651</v>
      </c>
      <c r="F14" s="6">
        <f t="shared" si="1"/>
        <v>-25000</v>
      </c>
      <c r="G14" s="6">
        <f t="shared" si="1"/>
        <v>-2927.6258942916775</v>
      </c>
      <c r="H14" s="6">
        <f t="shared" si="1"/>
        <v>3675.4523339567813</v>
      </c>
      <c r="I14" s="6">
        <f t="shared" si="1"/>
        <v>2903.4404541815684</v>
      </c>
      <c r="J14" s="6">
        <f t="shared" si="1"/>
        <v>2784.6633446923552</v>
      </c>
      <c r="K14" s="6">
        <f t="shared" si="1"/>
        <v>2631.5068607342273</v>
      </c>
    </row>
    <row r="15" spans="1:11" x14ac:dyDescent="0.3">
      <c r="A15" s="4" t="s">
        <v>37</v>
      </c>
      <c r="B15" s="6">
        <f t="shared" ref="B15:K15" si="2">B3+B4+B5+B7+B8+B14</f>
        <v>104038</v>
      </c>
      <c r="C15" s="6">
        <f t="shared" si="2"/>
        <v>122151</v>
      </c>
      <c r="D15" s="6">
        <f t="shared" si="2"/>
        <v>110543</v>
      </c>
      <c r="E15" s="6">
        <f t="shared" si="2"/>
        <v>118254</v>
      </c>
      <c r="F15" s="6">
        <f t="shared" si="2"/>
        <v>111482</v>
      </c>
      <c r="G15" s="6">
        <f t="shared" si="2"/>
        <v>153278.80550283816</v>
      </c>
      <c r="H15" s="6">
        <f t="shared" si="2"/>
        <v>166173.89587396249</v>
      </c>
      <c r="I15" s="6">
        <f t="shared" si="2"/>
        <v>175900.73053294938</v>
      </c>
      <c r="J15" s="6">
        <f t="shared" si="2"/>
        <v>185944.76071183552</v>
      </c>
      <c r="K15" s="6">
        <f t="shared" si="2"/>
        <v>195546.34116880567</v>
      </c>
    </row>
    <row r="17" spans="1:11" x14ac:dyDescent="0.3">
      <c r="A17" s="4" t="s">
        <v>38</v>
      </c>
    </row>
    <row r="18" spans="1:11" x14ac:dyDescent="0.3">
      <c r="A18" s="10" t="s">
        <v>39</v>
      </c>
      <c r="B18" s="11">
        <v>-11085</v>
      </c>
      <c r="C18" s="11">
        <v>-10708</v>
      </c>
      <c r="D18" s="11">
        <v>-10959</v>
      </c>
      <c r="E18" s="11">
        <v>-9447</v>
      </c>
      <c r="F18" s="11">
        <v>-12715</v>
      </c>
      <c r="G18" s="13">
        <f>-G19*I.S!G2</f>
        <v>-13353.774167999998</v>
      </c>
      <c r="H18" s="13">
        <f>-H19*I.S!H2</f>
        <v>-15166.072090799998</v>
      </c>
      <c r="I18" s="13">
        <f>-I19*I.S!I2</f>
        <v>-16000.206055793997</v>
      </c>
      <c r="J18" s="13">
        <f>-J19*I.S!J2</f>
        <v>-16800.216358583697</v>
      </c>
      <c r="K18" s="13">
        <f>-K19*I.S!K2</f>
        <v>-17556.226094719961</v>
      </c>
    </row>
    <row r="19" spans="1:11" x14ac:dyDescent="0.3">
      <c r="A19" s="8" t="s">
        <v>28</v>
      </c>
      <c r="B19" s="15">
        <f>-B18/I.S!B2</f>
        <v>3.0302036264033657E-2</v>
      </c>
      <c r="C19" s="15">
        <f>-C18/I.S!C2</f>
        <v>2.7155058732831552E-2</v>
      </c>
      <c r="D19" s="15">
        <f>-D18/I.S!D2</f>
        <v>2.859230076835775E-2</v>
      </c>
      <c r="E19" s="15">
        <f>-E18/I.S!E2</f>
        <v>2.415896275269477E-2</v>
      </c>
      <c r="F19" s="15">
        <f>-F18/I.S!F2</f>
        <v>3.0553079216937677E-2</v>
      </c>
      <c r="G19" s="9">
        <v>2.8000000000000001E-2</v>
      </c>
      <c r="H19" s="9">
        <v>0.03</v>
      </c>
      <c r="I19" s="9">
        <v>0.03</v>
      </c>
      <c r="J19" s="9">
        <v>0.03</v>
      </c>
      <c r="K19" s="9">
        <v>0.03</v>
      </c>
    </row>
    <row r="20" spans="1:11" x14ac:dyDescent="0.3">
      <c r="A20" s="10" t="s">
        <v>40</v>
      </c>
      <c r="B20" s="11">
        <v>-3075</v>
      </c>
      <c r="C20" s="11">
        <v>-9560</v>
      </c>
      <c r="D20" s="11">
        <v>16001</v>
      </c>
      <c r="E20" s="11">
        <v>13690</v>
      </c>
      <c r="F20" s="11">
        <v>29390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</row>
    <row r="21" spans="1:11" x14ac:dyDescent="0.3">
      <c r="A21" s="10" t="s">
        <v>41</v>
      </c>
      <c r="B21" s="11">
        <v>-385</v>
      </c>
      <c r="C21" s="11">
        <v>-2086</v>
      </c>
      <c r="D21" s="11">
        <v>-1337</v>
      </c>
      <c r="E21" s="11">
        <v>-1308</v>
      </c>
      <c r="F21" s="11">
        <v>-1480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</row>
    <row r="22" spans="1:11" x14ac:dyDescent="0.3">
      <c r="A22" s="4" t="s">
        <v>42</v>
      </c>
      <c r="B22" s="6">
        <f t="shared" ref="B22:K22" si="3">B18+B20+B21</f>
        <v>-14545</v>
      </c>
      <c r="C22" s="6">
        <f t="shared" si="3"/>
        <v>-22354</v>
      </c>
      <c r="D22" s="6">
        <f t="shared" si="3"/>
        <v>3705</v>
      </c>
      <c r="E22" s="6">
        <f t="shared" si="3"/>
        <v>2935</v>
      </c>
      <c r="F22" s="6">
        <f t="shared" si="3"/>
        <v>15195</v>
      </c>
      <c r="G22" s="6">
        <f t="shared" si="3"/>
        <v>-13353.774167999998</v>
      </c>
      <c r="H22" s="6">
        <f t="shared" si="3"/>
        <v>-15166.072090799998</v>
      </c>
      <c r="I22" s="6">
        <f t="shared" si="3"/>
        <v>-16000.206055793997</v>
      </c>
      <c r="J22" s="6">
        <f t="shared" si="3"/>
        <v>-16800.216358583697</v>
      </c>
      <c r="K22" s="6">
        <f t="shared" si="3"/>
        <v>-17556.226094719961</v>
      </c>
    </row>
    <row r="24" spans="1:11" x14ac:dyDescent="0.3">
      <c r="A24" s="4" t="s">
        <v>43</v>
      </c>
    </row>
    <row r="25" spans="1:11" x14ac:dyDescent="0.3">
      <c r="A25" s="10" t="s">
        <v>44</v>
      </c>
      <c r="B25" s="11">
        <v>12665</v>
      </c>
      <c r="C25" s="11">
        <v>-123</v>
      </c>
      <c r="D25" s="11">
        <v>-9901</v>
      </c>
      <c r="E25" s="11">
        <v>-5998</v>
      </c>
      <c r="F25" s="11">
        <v>-8483</v>
      </c>
      <c r="G25" s="13">
        <f>'Debt Schedule'!G27</f>
        <v>-18329</v>
      </c>
      <c r="H25" s="13">
        <f>'Debt Schedule'!H27</f>
        <v>-9000</v>
      </c>
      <c r="I25" s="13">
        <f>'Debt Schedule'!I27</f>
        <v>-9000</v>
      </c>
      <c r="J25" s="13">
        <f>'Debt Schedule'!J27</f>
        <v>-9000</v>
      </c>
      <c r="K25" s="13">
        <f>'Debt Schedule'!K27</f>
        <v>-9000</v>
      </c>
    </row>
    <row r="26" spans="1:11" x14ac:dyDescent="0.3">
      <c r="A26" s="10" t="s">
        <v>45</v>
      </c>
      <c r="B26" s="11">
        <v>-92527</v>
      </c>
      <c r="C26" s="11">
        <v>-95625</v>
      </c>
      <c r="D26" s="11">
        <v>-82981</v>
      </c>
      <c r="E26" s="11">
        <v>-100390</v>
      </c>
      <c r="F26" s="11">
        <v>-96671</v>
      </c>
      <c r="G26" s="12">
        <f>-(G30*G40+G27)</f>
        <v>-110423.50278375435</v>
      </c>
      <c r="H26" s="12">
        <f>-(H30*H40+H27)</f>
        <v>-120132.50147209693</v>
      </c>
      <c r="I26" s="12">
        <f>-(I30*I40+I27)</f>
        <v>-127865.87197304187</v>
      </c>
      <c r="J26" s="12">
        <f>-(J30*J40+J27)</f>
        <v>-135910.80630856313</v>
      </c>
      <c r="K26" s="12">
        <f>-(K30*K40+K27)</f>
        <v>-143592.43382192132</v>
      </c>
    </row>
    <row r="27" spans="1:11" x14ac:dyDescent="0.3">
      <c r="A27" s="10" t="s">
        <v>46</v>
      </c>
      <c r="B27" s="11">
        <v>-14467</v>
      </c>
      <c r="C27" s="11">
        <v>-14841</v>
      </c>
      <c r="D27" s="11">
        <v>-15025</v>
      </c>
      <c r="E27" s="11">
        <v>-15234</v>
      </c>
      <c r="F27" s="11">
        <v>-15421</v>
      </c>
      <c r="G27" s="13">
        <f>-(G28*I.S!G37)</f>
        <v>-15509.025417599998</v>
      </c>
      <c r="H27" s="13">
        <f>-(H28*I.S!H37)</f>
        <v>-15774.539932749311</v>
      </c>
      <c r="I27" s="13">
        <f>-(I28*I.S!I37)</f>
        <v>-16044.600056397978</v>
      </c>
      <c r="J27" s="13">
        <f>-(J28*I.S!J37)</f>
        <v>-16319.283609363512</v>
      </c>
      <c r="K27" s="13">
        <f>-(K28*I.S!K37)</f>
        <v>-16598.669744755814</v>
      </c>
    </row>
    <row r="28" spans="1:11" x14ac:dyDescent="0.3">
      <c r="A28" s="10" t="s">
        <v>47</v>
      </c>
      <c r="B28" s="16">
        <v>0.85</v>
      </c>
      <c r="C28" s="16">
        <v>0.9</v>
      </c>
      <c r="D28" s="16">
        <v>0.94</v>
      </c>
      <c r="E28" s="16">
        <v>0.98</v>
      </c>
      <c r="F28" s="16">
        <v>1.02</v>
      </c>
      <c r="G28" s="14">
        <f>F28*(1+G29)</f>
        <v>1.0608</v>
      </c>
      <c r="H28" s="14">
        <f>G28*(1+H29)</f>
        <v>1.103232</v>
      </c>
      <c r="I28" s="14">
        <f>H28*(1+I29)</f>
        <v>1.1473612799999999</v>
      </c>
      <c r="J28" s="14">
        <f>I28*(1+J29)</f>
        <v>1.1932557312000001</v>
      </c>
      <c r="K28" s="14">
        <f>J28*(1+K29)</f>
        <v>1.240985960448</v>
      </c>
    </row>
    <row r="29" spans="1:11" x14ac:dyDescent="0.3">
      <c r="A29" s="8" t="s">
        <v>48</v>
      </c>
      <c r="C29" s="7">
        <f>C28/B28-1</f>
        <v>5.8823529411764719E-2</v>
      </c>
      <c r="D29" s="7">
        <f>D28/C28-1</f>
        <v>4.4444444444444287E-2</v>
      </c>
      <c r="E29" s="7">
        <f>E28/D28-1</f>
        <v>4.2553191489361764E-2</v>
      </c>
      <c r="F29" s="7">
        <f>F28/E28-1</f>
        <v>4.081632653061229E-2</v>
      </c>
      <c r="G29" s="17">
        <v>0.04</v>
      </c>
      <c r="H29" s="17">
        <v>0.04</v>
      </c>
      <c r="I29" s="17">
        <v>0.04</v>
      </c>
      <c r="J29" s="17">
        <v>0.04</v>
      </c>
      <c r="K29" s="17">
        <v>0.04</v>
      </c>
    </row>
    <row r="30" spans="1:11" x14ac:dyDescent="0.3">
      <c r="A30" s="10" t="s">
        <v>49</v>
      </c>
      <c r="B30" s="7">
        <f>-(B26+B27)/B40</f>
        <v>1.1510548341635021</v>
      </c>
      <c r="C30" s="7">
        <f>-(C26+C27)/C40</f>
        <v>0.99123318647200809</v>
      </c>
      <c r="D30" s="7">
        <f>-(D26+D27)/D40</f>
        <v>0.98415408097686374</v>
      </c>
      <c r="E30" s="7">
        <f>-(E26+E27)/E40</f>
        <v>1.062652219066788</v>
      </c>
      <c r="F30" s="7">
        <f>-(F26+F27)/F40</f>
        <v>1.1349134832484535</v>
      </c>
      <c r="G30" s="9">
        <v>0.9</v>
      </c>
      <c r="H30" s="9">
        <v>0.9</v>
      </c>
      <c r="I30" s="9">
        <v>0.9</v>
      </c>
      <c r="J30" s="9">
        <v>0.9</v>
      </c>
      <c r="K30" s="9">
        <v>0.9</v>
      </c>
    </row>
    <row r="31" spans="1:11" x14ac:dyDescent="0.3">
      <c r="A31" s="10" t="s">
        <v>50</v>
      </c>
      <c r="B31" s="11">
        <v>976</v>
      </c>
      <c r="C31" s="11">
        <v>-160</v>
      </c>
      <c r="D31" s="11">
        <v>-581</v>
      </c>
      <c r="E31" s="11">
        <v>-361</v>
      </c>
      <c r="F31" s="11">
        <v>-111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</row>
    <row r="32" spans="1:11" x14ac:dyDescent="0.3">
      <c r="A32" s="4" t="s">
        <v>51</v>
      </c>
      <c r="B32" s="6">
        <f t="shared" ref="B32:K32" si="4">B25+B26+B27+B31</f>
        <v>-93353</v>
      </c>
      <c r="C32" s="6">
        <f t="shared" si="4"/>
        <v>-110749</v>
      </c>
      <c r="D32" s="6">
        <f t="shared" si="4"/>
        <v>-108488</v>
      </c>
      <c r="E32" s="6">
        <f t="shared" si="4"/>
        <v>-121983</v>
      </c>
      <c r="F32" s="6">
        <f t="shared" si="4"/>
        <v>-120686</v>
      </c>
      <c r="G32" s="6">
        <f t="shared" si="4"/>
        <v>-144261.52820135435</v>
      </c>
      <c r="H32" s="6">
        <f t="shared" si="4"/>
        <v>-144907.04140484624</v>
      </c>
      <c r="I32" s="6">
        <f t="shared" si="4"/>
        <v>-152910.47202943984</v>
      </c>
      <c r="J32" s="6">
        <f t="shared" si="4"/>
        <v>-161230.08991792664</v>
      </c>
      <c r="K32" s="6">
        <f t="shared" si="4"/>
        <v>-169191.10356667713</v>
      </c>
    </row>
    <row r="34" spans="1:11" x14ac:dyDescent="0.3">
      <c r="A34" s="4" t="s">
        <v>52</v>
      </c>
      <c r="B34" s="6">
        <f t="shared" ref="B34:K34" si="5">B15+B22+B32</f>
        <v>-3860</v>
      </c>
      <c r="C34" s="6">
        <f t="shared" si="5"/>
        <v>-10952</v>
      </c>
      <c r="D34" s="6">
        <f t="shared" si="5"/>
        <v>5760</v>
      </c>
      <c r="E34" s="6">
        <f t="shared" si="5"/>
        <v>-794</v>
      </c>
      <c r="F34" s="6">
        <f t="shared" si="5"/>
        <v>5991</v>
      </c>
      <c r="G34" s="6">
        <f t="shared" si="5"/>
        <v>-4336.4968665161869</v>
      </c>
      <c r="H34" s="6">
        <f t="shared" si="5"/>
        <v>6100.7823783162457</v>
      </c>
      <c r="I34" s="6">
        <f t="shared" si="5"/>
        <v>6990.0524477155413</v>
      </c>
      <c r="J34" s="6">
        <f t="shared" si="5"/>
        <v>7914.4544353251695</v>
      </c>
      <c r="K34" s="6">
        <f t="shared" si="5"/>
        <v>8799.011507408577</v>
      </c>
    </row>
    <row r="36" spans="1:11" x14ac:dyDescent="0.3">
      <c r="A36" s="10" t="s">
        <v>53</v>
      </c>
      <c r="B36" s="11">
        <v>39789</v>
      </c>
      <c r="C36" s="12">
        <f t="shared" ref="C36:K36" si="6">B37</f>
        <v>35929</v>
      </c>
      <c r="D36" s="12">
        <f t="shared" si="6"/>
        <v>24977</v>
      </c>
      <c r="E36" s="12">
        <f t="shared" si="6"/>
        <v>30737</v>
      </c>
      <c r="F36" s="12">
        <f t="shared" si="6"/>
        <v>29943</v>
      </c>
      <c r="G36" s="12">
        <f t="shared" si="6"/>
        <v>35934</v>
      </c>
      <c r="H36" s="12">
        <f t="shared" si="6"/>
        <v>31597.503133483813</v>
      </c>
      <c r="I36" s="12">
        <f t="shared" si="6"/>
        <v>37698.285511800059</v>
      </c>
      <c r="J36" s="12">
        <f t="shared" si="6"/>
        <v>44688.3379595156</v>
      </c>
      <c r="K36" s="12">
        <f t="shared" si="6"/>
        <v>52602.79239484077</v>
      </c>
    </row>
    <row r="37" spans="1:11" x14ac:dyDescent="0.3">
      <c r="A37" s="10" t="s">
        <v>54</v>
      </c>
      <c r="B37" s="12">
        <f t="shared" ref="B37:K37" si="7">B36+B34</f>
        <v>35929</v>
      </c>
      <c r="C37" s="12">
        <f t="shared" si="7"/>
        <v>24977</v>
      </c>
      <c r="D37" s="12">
        <f t="shared" si="7"/>
        <v>30737</v>
      </c>
      <c r="E37" s="12">
        <f t="shared" si="7"/>
        <v>29943</v>
      </c>
      <c r="F37" s="12">
        <f t="shared" si="7"/>
        <v>35934</v>
      </c>
      <c r="G37" s="12">
        <f t="shared" si="7"/>
        <v>31597.503133483813</v>
      </c>
      <c r="H37" s="12">
        <f t="shared" si="7"/>
        <v>37698.285511800059</v>
      </c>
      <c r="I37" s="12">
        <f t="shared" si="7"/>
        <v>44688.3379595156</v>
      </c>
      <c r="J37" s="12">
        <f t="shared" si="7"/>
        <v>52602.79239484077</v>
      </c>
      <c r="K37" s="12">
        <f t="shared" si="7"/>
        <v>61401.803902249347</v>
      </c>
    </row>
    <row r="39" spans="1:11" x14ac:dyDescent="0.3">
      <c r="A39" s="4" t="s">
        <v>55</v>
      </c>
    </row>
    <row r="40" spans="1:11" x14ac:dyDescent="0.3">
      <c r="A40" s="10" t="s">
        <v>56</v>
      </c>
      <c r="B40" s="12">
        <f t="shared" ref="B40:K40" si="8">B15+B18</f>
        <v>92953</v>
      </c>
      <c r="C40" s="12">
        <f t="shared" si="8"/>
        <v>111443</v>
      </c>
      <c r="D40" s="12">
        <f t="shared" si="8"/>
        <v>99584</v>
      </c>
      <c r="E40" s="12">
        <f t="shared" si="8"/>
        <v>108807</v>
      </c>
      <c r="F40" s="12">
        <f t="shared" si="8"/>
        <v>98767</v>
      </c>
      <c r="G40" s="12">
        <f t="shared" si="8"/>
        <v>139925.03133483816</v>
      </c>
      <c r="H40" s="12">
        <f t="shared" si="8"/>
        <v>151007.82378316249</v>
      </c>
      <c r="I40" s="12">
        <f t="shared" si="8"/>
        <v>159900.52447715538</v>
      </c>
      <c r="J40" s="12">
        <f t="shared" si="8"/>
        <v>169144.54435325181</v>
      </c>
      <c r="K40" s="12">
        <f t="shared" si="8"/>
        <v>177990.11507408571</v>
      </c>
    </row>
    <row r="41" spans="1:11" x14ac:dyDescent="0.3">
      <c r="A41" s="10" t="s">
        <v>57</v>
      </c>
      <c r="B41" s="12">
        <f t="shared" ref="B41:K41" si="9">B34-B25</f>
        <v>-16525</v>
      </c>
      <c r="C41" s="12">
        <f t="shared" si="9"/>
        <v>-10829</v>
      </c>
      <c r="D41" s="12">
        <f t="shared" si="9"/>
        <v>15661</v>
      </c>
      <c r="E41" s="12">
        <f t="shared" si="9"/>
        <v>5204</v>
      </c>
      <c r="F41" s="12">
        <f t="shared" si="9"/>
        <v>14474</v>
      </c>
      <c r="G41" s="12">
        <f t="shared" si="9"/>
        <v>13992.503133483813</v>
      </c>
      <c r="H41" s="12">
        <f t="shared" si="9"/>
        <v>15100.782378316246</v>
      </c>
      <c r="I41" s="12">
        <f t="shared" si="9"/>
        <v>15990.052447715541</v>
      </c>
      <c r="J41" s="12">
        <f t="shared" si="9"/>
        <v>16914.454435325169</v>
      </c>
      <c r="K41" s="12">
        <f t="shared" si="9"/>
        <v>17799.011507408577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showGridLines="0" zoomScaleNormal="10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defaultColWidth="8.6640625" defaultRowHeight="14.4" x14ac:dyDescent="0.3"/>
  <cols>
    <col min="1" max="1" width="52" customWidth="1"/>
    <col min="2" max="16" width="12.44140625" customWidth="1"/>
  </cols>
  <sheetData>
    <row r="1" spans="1:10" x14ac:dyDescent="0.3">
      <c r="A1" s="1" t="s">
        <v>23</v>
      </c>
      <c r="B1" s="2">
        <v>2022</v>
      </c>
      <c r="C1" s="2">
        <f t="shared" ref="C1:J1" si="0">B1+1</f>
        <v>2023</v>
      </c>
      <c r="D1" s="2">
        <f t="shared" si="0"/>
        <v>2024</v>
      </c>
      <c r="E1" s="2">
        <f t="shared" si="0"/>
        <v>2025</v>
      </c>
      <c r="F1" s="3">
        <f t="shared" si="0"/>
        <v>2026</v>
      </c>
      <c r="G1" s="3">
        <f t="shared" si="0"/>
        <v>2027</v>
      </c>
      <c r="H1" s="3">
        <f t="shared" si="0"/>
        <v>2028</v>
      </c>
      <c r="I1" s="3">
        <f t="shared" si="0"/>
        <v>2029</v>
      </c>
      <c r="J1" s="3">
        <f t="shared" si="0"/>
        <v>2030</v>
      </c>
    </row>
    <row r="2" spans="1:10" x14ac:dyDescent="0.3">
      <c r="A2" s="4" t="s">
        <v>58</v>
      </c>
    </row>
    <row r="3" spans="1:10" x14ac:dyDescent="0.3">
      <c r="A3" s="10" t="s">
        <v>59</v>
      </c>
      <c r="B3" s="11">
        <v>23646</v>
      </c>
      <c r="C3" s="11">
        <v>29965</v>
      </c>
      <c r="D3" s="11">
        <v>29943</v>
      </c>
      <c r="E3" s="11">
        <v>35934</v>
      </c>
      <c r="F3" s="13">
        <f>E3+'C.S'!G34</f>
        <v>31597.503133483813</v>
      </c>
      <c r="G3" s="13">
        <f>F3+'C.S'!H34</f>
        <v>37698.285511800059</v>
      </c>
      <c r="H3" s="13">
        <f>G3+'C.S'!I34</f>
        <v>44688.3379595156</v>
      </c>
      <c r="I3" s="13">
        <f>H3+'C.S'!J34</f>
        <v>52602.79239484077</v>
      </c>
      <c r="J3" s="13">
        <f>I3+'C.S'!K34</f>
        <v>61401.803902249347</v>
      </c>
    </row>
    <row r="4" spans="1:10" x14ac:dyDescent="0.3">
      <c r="A4" s="10" t="s">
        <v>60</v>
      </c>
      <c r="B4" s="11">
        <v>24658</v>
      </c>
      <c r="C4" s="11">
        <v>31590</v>
      </c>
      <c r="D4" s="11">
        <v>35228</v>
      </c>
      <c r="E4" s="11">
        <v>18763</v>
      </c>
      <c r="F4" s="12">
        <f>E4</f>
        <v>18763</v>
      </c>
      <c r="G4" s="12">
        <f>F4</f>
        <v>18763</v>
      </c>
      <c r="H4" s="12">
        <f>G4</f>
        <v>18763</v>
      </c>
      <c r="I4" s="12">
        <f>H4</f>
        <v>18763</v>
      </c>
      <c r="J4" s="12">
        <f>I4</f>
        <v>18763</v>
      </c>
    </row>
    <row r="5" spans="1:10" x14ac:dyDescent="0.3">
      <c r="A5" s="10" t="s">
        <v>61</v>
      </c>
      <c r="B5" s="11">
        <v>28184</v>
      </c>
      <c r="C5" s="11">
        <v>29508</v>
      </c>
      <c r="D5" s="11">
        <v>33410</v>
      </c>
      <c r="E5" s="11">
        <v>39777</v>
      </c>
      <c r="F5" s="13">
        <f>'Working Capital Schedule'!G4</f>
        <v>41016.406289115897</v>
      </c>
      <c r="G5" s="13">
        <f>'Working Capital Schedule'!H4</f>
        <v>43477.390666462859</v>
      </c>
      <c r="H5" s="13">
        <f>'Working Capital Schedule'!I4</f>
        <v>45868.647153118312</v>
      </c>
      <c r="I5" s="13">
        <f>'Working Capital Schedule'!J4</f>
        <v>48162.079510774231</v>
      </c>
      <c r="J5" s="13">
        <f>'Working Capital Schedule'!K4</f>
        <v>50329.373088759065</v>
      </c>
    </row>
    <row r="6" spans="1:10" x14ac:dyDescent="0.3">
      <c r="A6" s="10" t="s">
        <v>62</v>
      </c>
      <c r="B6" s="11">
        <v>32748</v>
      </c>
      <c r="C6" s="11">
        <v>31477</v>
      </c>
      <c r="D6" s="11">
        <v>32833</v>
      </c>
      <c r="E6" s="11">
        <v>33180</v>
      </c>
      <c r="F6" s="13">
        <f>'Working Capital Schedule'!G6</f>
        <v>37035.612928163217</v>
      </c>
      <c r="G6" s="13">
        <f>'Working Capital Schedule'!H6</f>
        <v>40097.896098293444</v>
      </c>
      <c r="H6" s="13">
        <f>'Working Capital Schedule'!I6</f>
        <v>42303.280383699574</v>
      </c>
      <c r="I6" s="13">
        <f>'Working Capital Schedule'!J6</f>
        <v>44418.444402884561</v>
      </c>
      <c r="J6" s="13">
        <f>'Working Capital Schedule'!K6</f>
        <v>46417.274401014358</v>
      </c>
    </row>
    <row r="7" spans="1:10" x14ac:dyDescent="0.3">
      <c r="A7" s="10" t="s">
        <v>33</v>
      </c>
      <c r="B7" s="11">
        <v>4946</v>
      </c>
      <c r="C7" s="11">
        <v>6331</v>
      </c>
      <c r="D7" s="11">
        <v>7286</v>
      </c>
      <c r="E7" s="11">
        <v>5718</v>
      </c>
      <c r="F7" s="13">
        <f>'Working Capital Schedule'!G8</f>
        <v>7360.6799112001663</v>
      </c>
      <c r="G7" s="13">
        <f>'Working Capital Schedule'!H8</f>
        <v>7969.2964408227481</v>
      </c>
      <c r="H7" s="13">
        <f>'Working Capital Schedule'!I8</f>
        <v>8407.6077450679986</v>
      </c>
      <c r="I7" s="13">
        <f>'Working Capital Schedule'!J8</f>
        <v>8827.9881323213995</v>
      </c>
      <c r="J7" s="13">
        <f>'Working Capital Schedule'!K8</f>
        <v>9225.2475982758606</v>
      </c>
    </row>
    <row r="8" spans="1:10" x14ac:dyDescent="0.3">
      <c r="A8" s="10" t="s">
        <v>63</v>
      </c>
      <c r="B8" s="11">
        <v>21223</v>
      </c>
      <c r="C8" s="11">
        <v>14695</v>
      </c>
      <c r="D8" s="11">
        <v>14287</v>
      </c>
      <c r="E8" s="11">
        <v>14585</v>
      </c>
      <c r="F8" s="13">
        <f>'Working Capital Schedule'!G10</f>
        <v>17474.768053320797</v>
      </c>
      <c r="G8" s="13">
        <f>'Working Capital Schedule'!H10</f>
        <v>18523.254136520049</v>
      </c>
      <c r="H8" s="13">
        <f>'Working Capital Schedule'!I10</f>
        <v>19542.033114028647</v>
      </c>
      <c r="I8" s="13">
        <f>'Working Capital Schedule'!J10</f>
        <v>20519.134769730077</v>
      </c>
      <c r="J8" s="13">
        <f>'Working Capital Schedule'!K10</f>
        <v>21442.495834367932</v>
      </c>
    </row>
    <row r="9" spans="1:10" x14ac:dyDescent="0.3">
      <c r="A9" s="4" t="s">
        <v>64</v>
      </c>
      <c r="B9" s="6">
        <f t="shared" ref="B9:J9" si="1">SUM(B3:B8)</f>
        <v>135405</v>
      </c>
      <c r="C9" s="6">
        <f t="shared" si="1"/>
        <v>143566</v>
      </c>
      <c r="D9" s="6">
        <f t="shared" si="1"/>
        <v>152987</v>
      </c>
      <c r="E9" s="6">
        <f t="shared" si="1"/>
        <v>147957</v>
      </c>
      <c r="F9" s="6">
        <f t="shared" si="1"/>
        <v>153247.97031528389</v>
      </c>
      <c r="G9" s="6">
        <f t="shared" si="1"/>
        <v>166529.12285389917</v>
      </c>
      <c r="H9" s="6">
        <f t="shared" si="1"/>
        <v>179572.90635543014</v>
      </c>
      <c r="I9" s="6">
        <f t="shared" si="1"/>
        <v>193293.43921055101</v>
      </c>
      <c r="J9" s="6">
        <f t="shared" si="1"/>
        <v>207579.19482466657</v>
      </c>
    </row>
    <row r="11" spans="1:10" x14ac:dyDescent="0.3">
      <c r="A11" s="4" t="s">
        <v>65</v>
      </c>
    </row>
    <row r="12" spans="1:10" x14ac:dyDescent="0.3">
      <c r="A12" s="10" t="s">
        <v>66</v>
      </c>
      <c r="B12" s="11">
        <v>120805</v>
      </c>
      <c r="C12" s="11">
        <v>100544</v>
      </c>
      <c r="D12" s="11">
        <v>91479</v>
      </c>
      <c r="E12" s="11">
        <v>77723</v>
      </c>
      <c r="F12" s="13">
        <f>E12-'C.S'!G20</f>
        <v>77723</v>
      </c>
      <c r="G12" s="13">
        <f>F12-'C.S'!H20</f>
        <v>77723</v>
      </c>
      <c r="H12" s="13">
        <f>G12-'C.S'!I20</f>
        <v>77723</v>
      </c>
      <c r="I12" s="13">
        <f>H12-'C.S'!J20</f>
        <v>77723</v>
      </c>
      <c r="J12" s="13">
        <f>I12-'C.S'!K20</f>
        <v>77723</v>
      </c>
    </row>
    <row r="13" spans="1:10" x14ac:dyDescent="0.3">
      <c r="A13" s="10" t="s">
        <v>67</v>
      </c>
      <c r="B13" s="11">
        <v>52534</v>
      </c>
      <c r="C13" s="11">
        <v>43715</v>
      </c>
      <c r="D13" s="11">
        <v>45680</v>
      </c>
      <c r="E13" s="11">
        <v>49834</v>
      </c>
      <c r="F13" s="13">
        <f>E13-'C.S'!G18-'C.S'!G4</f>
        <v>51737.22148266666</v>
      </c>
      <c r="G13" s="13">
        <f>F13-'C.S'!H18-'C.S'!H4</f>
        <v>53767.62176693332</v>
      </c>
      <c r="H13" s="13">
        <f>G13-'C.S'!I18-'C.S'!I4</f>
        <v>54854.355343327981</v>
      </c>
      <c r="I13" s="13">
        <f>H13-'C.S'!J18-'C.S'!J4</f>
        <v>54874.408516003052</v>
      </c>
      <c r="J13" s="13">
        <f>I13-'C.S'!K18-'C.S'!K4</f>
        <v>53699.779636512161</v>
      </c>
    </row>
    <row r="14" spans="1:10" x14ac:dyDescent="0.3">
      <c r="A14" s="10" t="s">
        <v>68</v>
      </c>
      <c r="B14" s="11">
        <v>44011</v>
      </c>
      <c r="C14" s="11">
        <v>64758</v>
      </c>
      <c r="D14" s="11">
        <v>74834</v>
      </c>
      <c r="E14" s="11">
        <v>83727</v>
      </c>
      <c r="F14" s="13">
        <f>E14-'C.S'!G21-'C.S'!G8</f>
        <v>83727</v>
      </c>
      <c r="G14" s="13">
        <f>F14-'C.S'!H21-'C.S'!H8</f>
        <v>83727</v>
      </c>
      <c r="H14" s="13">
        <f>G14-'C.S'!I21-'C.S'!I8</f>
        <v>83727</v>
      </c>
      <c r="I14" s="13">
        <f>H14-'C.S'!J21-'C.S'!J8</f>
        <v>83727</v>
      </c>
      <c r="J14" s="13">
        <f>I14-'C.S'!K21-'C.S'!K8</f>
        <v>83727</v>
      </c>
    </row>
    <row r="15" spans="1:10" x14ac:dyDescent="0.3">
      <c r="A15" s="4" t="s">
        <v>69</v>
      </c>
      <c r="B15" s="6">
        <f t="shared" ref="B15:J15" si="2">SUM(B12:B14)</f>
        <v>217350</v>
      </c>
      <c r="C15" s="6">
        <f t="shared" si="2"/>
        <v>209017</v>
      </c>
      <c r="D15" s="6">
        <f t="shared" si="2"/>
        <v>211993</v>
      </c>
      <c r="E15" s="6">
        <f t="shared" si="2"/>
        <v>211284</v>
      </c>
      <c r="F15" s="6">
        <f t="shared" si="2"/>
        <v>213187.22148266668</v>
      </c>
      <c r="G15" s="6">
        <f t="shared" si="2"/>
        <v>215217.62176693333</v>
      </c>
      <c r="H15" s="6">
        <f t="shared" si="2"/>
        <v>216304.35534332797</v>
      </c>
      <c r="I15" s="6">
        <f t="shared" si="2"/>
        <v>216324.40851600305</v>
      </c>
      <c r="J15" s="6">
        <f t="shared" si="2"/>
        <v>215149.77963651216</v>
      </c>
    </row>
    <row r="16" spans="1:10" x14ac:dyDescent="0.3">
      <c r="A16" s="4" t="s">
        <v>70</v>
      </c>
      <c r="B16" s="6">
        <f t="shared" ref="B16:J16" si="3">B9+B15</f>
        <v>352755</v>
      </c>
      <c r="C16" s="6">
        <f t="shared" si="3"/>
        <v>352583</v>
      </c>
      <c r="D16" s="6">
        <f t="shared" si="3"/>
        <v>364980</v>
      </c>
      <c r="E16" s="6">
        <f t="shared" si="3"/>
        <v>359241</v>
      </c>
      <c r="F16" s="6">
        <f t="shared" si="3"/>
        <v>366435.19179795054</v>
      </c>
      <c r="G16" s="6">
        <f t="shared" si="3"/>
        <v>381746.7446208325</v>
      </c>
      <c r="H16" s="6">
        <f t="shared" si="3"/>
        <v>395877.26169875811</v>
      </c>
      <c r="I16" s="6">
        <f t="shared" si="3"/>
        <v>409617.84772655403</v>
      </c>
      <c r="J16" s="6">
        <f t="shared" si="3"/>
        <v>422728.97446117876</v>
      </c>
    </row>
    <row r="18" spans="1:10" x14ac:dyDescent="0.3">
      <c r="A18" s="4" t="s">
        <v>71</v>
      </c>
    </row>
    <row r="19" spans="1:10" x14ac:dyDescent="0.3">
      <c r="A19" s="10" t="s">
        <v>34</v>
      </c>
      <c r="B19" s="11">
        <v>64115</v>
      </c>
      <c r="C19" s="11">
        <v>62611</v>
      </c>
      <c r="D19" s="11">
        <v>68960</v>
      </c>
      <c r="E19" s="11">
        <v>69860</v>
      </c>
      <c r="F19" s="13">
        <f>'Working Capital Schedule'!G14</f>
        <v>76514.234711896788</v>
      </c>
      <c r="G19" s="13">
        <f>'Working Capital Schedule'!H14</f>
        <v>82840.800811615889</v>
      </c>
      <c r="H19" s="13">
        <f>'Working Capital Schedule'!I14</f>
        <v>87397.044856254739</v>
      </c>
      <c r="I19" s="13">
        <f>'Working Capital Schedule'!J14</f>
        <v>91766.897099067501</v>
      </c>
      <c r="J19" s="13">
        <f>'Working Capital Schedule'!K14</f>
        <v>95896.407468525518</v>
      </c>
    </row>
    <row r="20" spans="1:10" x14ac:dyDescent="0.3">
      <c r="A20" s="10" t="s">
        <v>72</v>
      </c>
      <c r="B20" s="11">
        <v>60845</v>
      </c>
      <c r="C20" s="11">
        <v>58829</v>
      </c>
      <c r="D20" s="11">
        <v>78304</v>
      </c>
      <c r="E20" s="11">
        <v>66387</v>
      </c>
      <c r="F20" s="13">
        <f>'Working Capital Schedule'!G16</f>
        <v>65331.57616438355</v>
      </c>
      <c r="G20" s="13">
        <f>'Working Capital Schedule'!H16</f>
        <v>69251.47073424657</v>
      </c>
      <c r="H20" s="13">
        <f>'Working Capital Schedule'!I16</f>
        <v>73060.301624630127</v>
      </c>
      <c r="I20" s="13">
        <f>'Working Capital Schedule'!J16</f>
        <v>76713.316705861638</v>
      </c>
      <c r="J20" s="13">
        <f>'Working Capital Schedule'!K16</f>
        <v>80165.415957625388</v>
      </c>
    </row>
    <row r="21" spans="1:10" x14ac:dyDescent="0.3">
      <c r="A21" s="10" t="s">
        <v>73</v>
      </c>
      <c r="B21" s="11">
        <v>7912</v>
      </c>
      <c r="C21" s="11">
        <v>8061</v>
      </c>
      <c r="D21" s="11">
        <v>8249</v>
      </c>
      <c r="E21" s="11">
        <v>9055</v>
      </c>
      <c r="F21" s="13">
        <f>'Working Capital Schedule'!G18</f>
        <v>10156.030411228061</v>
      </c>
      <c r="G21" s="13">
        <f>'Working Capital Schedule'!H18</f>
        <v>10765.392235901745</v>
      </c>
      <c r="H21" s="13">
        <f>'Working Capital Schedule'!I18</f>
        <v>11357.488808876338</v>
      </c>
      <c r="I21" s="13">
        <f>'Working Capital Schedule'!J18</f>
        <v>11925.363249320157</v>
      </c>
      <c r="J21" s="13">
        <f>'Working Capital Schedule'!K18</f>
        <v>12462.004595539564</v>
      </c>
    </row>
    <row r="22" spans="1:10" x14ac:dyDescent="0.3">
      <c r="A22" s="10" t="s">
        <v>76</v>
      </c>
      <c r="B22" s="11">
        <v>9982</v>
      </c>
      <c r="C22" s="11">
        <v>5985</v>
      </c>
      <c r="D22" s="11">
        <v>9967</v>
      </c>
      <c r="E22" s="11">
        <v>7979</v>
      </c>
      <c r="F22" s="13">
        <f>'Debt Schedule'!G15</f>
        <v>2000</v>
      </c>
      <c r="G22" s="13">
        <f>'Debt Schedule'!H15</f>
        <v>2000</v>
      </c>
      <c r="H22" s="13">
        <f>'Debt Schedule'!I15</f>
        <v>2000</v>
      </c>
      <c r="I22" s="13">
        <f>'Debt Schedule'!J15</f>
        <v>2000</v>
      </c>
      <c r="J22" s="13">
        <f>'Debt Schedule'!K15</f>
        <v>2000</v>
      </c>
    </row>
    <row r="23" spans="1:10" x14ac:dyDescent="0.3">
      <c r="A23" s="4" t="s">
        <v>74</v>
      </c>
      <c r="B23" s="6">
        <f>B22+B21+B20+B19</f>
        <v>142854</v>
      </c>
      <c r="C23" s="6">
        <f t="shared" ref="C23:J23" si="4">C22+C21+C20+C19</f>
        <v>135486</v>
      </c>
      <c r="D23" s="6">
        <f t="shared" si="4"/>
        <v>165480</v>
      </c>
      <c r="E23" s="6">
        <f t="shared" si="4"/>
        <v>153281</v>
      </c>
      <c r="F23" s="6">
        <f t="shared" si="4"/>
        <v>154001.8412875084</v>
      </c>
      <c r="G23" s="6">
        <f t="shared" si="4"/>
        <v>164857.66378176422</v>
      </c>
      <c r="H23" s="6">
        <f t="shared" si="4"/>
        <v>173814.83528976119</v>
      </c>
      <c r="I23" s="6">
        <f t="shared" si="4"/>
        <v>182405.5770542493</v>
      </c>
      <c r="J23" s="6">
        <f t="shared" si="4"/>
        <v>190523.82802169048</v>
      </c>
    </row>
    <row r="25" spans="1:10" x14ac:dyDescent="0.3">
      <c r="A25" s="4" t="s">
        <v>75</v>
      </c>
    </row>
    <row r="26" spans="1:10" x14ac:dyDescent="0.3">
      <c r="A26" s="10" t="s">
        <v>77</v>
      </c>
      <c r="B26" s="11">
        <v>110087</v>
      </c>
      <c r="C26" s="11">
        <v>105103</v>
      </c>
      <c r="D26" s="11">
        <v>96662</v>
      </c>
      <c r="E26" s="11">
        <v>90678</v>
      </c>
      <c r="F26" s="13">
        <f>'Debt Schedule'!G23</f>
        <v>78328</v>
      </c>
      <c r="G26" s="13">
        <f>'Debt Schedule'!H23</f>
        <v>69328</v>
      </c>
      <c r="H26" s="13">
        <f>'Debt Schedule'!I23</f>
        <v>60328</v>
      </c>
      <c r="I26" s="13">
        <f>'Debt Schedule'!J23</f>
        <v>51328</v>
      </c>
      <c r="J26" s="13">
        <f>'Debt Schedule'!K23</f>
        <v>42328</v>
      </c>
    </row>
    <row r="27" spans="1:10" x14ac:dyDescent="0.3">
      <c r="A27" s="10" t="s">
        <v>78</v>
      </c>
      <c r="B27" s="11">
        <v>49142</v>
      </c>
      <c r="C27" s="11">
        <v>49848</v>
      </c>
      <c r="D27" s="11">
        <v>45888</v>
      </c>
      <c r="E27" s="11">
        <v>41549</v>
      </c>
      <c r="F27" s="13">
        <f>E27+'C.S'!G7</f>
        <v>41621.165279356559</v>
      </c>
      <c r="G27" s="13">
        <f>F27+'C.S'!H7</f>
        <v>42006.844141484042</v>
      </c>
      <c r="H27" s="13">
        <f>G27+'C.S'!I7</f>
        <v>42583.059672392978</v>
      </c>
      <c r="I27" s="13">
        <f>H27+'C.S'!J7</f>
        <v>43233.525673893353</v>
      </c>
      <c r="J27" s="13">
        <f>I27+'C.S'!K7</f>
        <v>43870.052117458741</v>
      </c>
    </row>
    <row r="28" spans="1:10" x14ac:dyDescent="0.3">
      <c r="A28" s="4" t="s">
        <v>210</v>
      </c>
      <c r="B28" s="6">
        <f>B27+B26</f>
        <v>159229</v>
      </c>
      <c r="C28" s="6">
        <f t="shared" ref="C28:J28" si="5">C27+C26</f>
        <v>154951</v>
      </c>
      <c r="D28" s="6">
        <f t="shared" si="5"/>
        <v>142550</v>
      </c>
      <c r="E28" s="6">
        <f t="shared" si="5"/>
        <v>132227</v>
      </c>
      <c r="F28" s="6">
        <f t="shared" si="5"/>
        <v>119949.16527935656</v>
      </c>
      <c r="G28" s="6">
        <f t="shared" si="5"/>
        <v>111334.84414148403</v>
      </c>
      <c r="H28" s="6">
        <f t="shared" si="5"/>
        <v>102911.05967239298</v>
      </c>
      <c r="I28" s="6">
        <f t="shared" si="5"/>
        <v>94561.525673893353</v>
      </c>
      <c r="J28" s="6">
        <f t="shared" si="5"/>
        <v>86198.052117458748</v>
      </c>
    </row>
    <row r="29" spans="1:10" x14ac:dyDescent="0.3">
      <c r="A29" s="4" t="s">
        <v>79</v>
      </c>
      <c r="B29" s="6">
        <f>B28+B23</f>
        <v>302083</v>
      </c>
      <c r="C29" s="6">
        <f t="shared" ref="C29:J29" si="6">C28+C23</f>
        <v>290437</v>
      </c>
      <c r="D29" s="6">
        <f t="shared" si="6"/>
        <v>308030</v>
      </c>
      <c r="E29" s="6">
        <f t="shared" si="6"/>
        <v>285508</v>
      </c>
      <c r="F29" s="6">
        <f t="shared" si="6"/>
        <v>273951.00656686496</v>
      </c>
      <c r="G29" s="6">
        <f t="shared" si="6"/>
        <v>276192.50792324822</v>
      </c>
      <c r="H29" s="6">
        <f t="shared" si="6"/>
        <v>276725.89496215415</v>
      </c>
      <c r="I29" s="6">
        <f t="shared" si="6"/>
        <v>276967.10272814264</v>
      </c>
      <c r="J29" s="6">
        <f t="shared" si="6"/>
        <v>276721.88013914926</v>
      </c>
    </row>
    <row r="31" spans="1:10" x14ac:dyDescent="0.3">
      <c r="A31" s="4" t="s">
        <v>80</v>
      </c>
    </row>
    <row r="32" spans="1:10" x14ac:dyDescent="0.3">
      <c r="A32" s="10" t="s">
        <v>81</v>
      </c>
      <c r="B32" s="11">
        <v>64849</v>
      </c>
      <c r="C32" s="11">
        <v>73812</v>
      </c>
      <c r="D32" s="11">
        <v>83276</v>
      </c>
      <c r="E32" s="11">
        <v>93568</v>
      </c>
      <c r="F32" s="13">
        <f>E32+'C.S'!G5+'C.S'!G31</f>
        <v>107398.694674</v>
      </c>
      <c r="G32" s="13">
        <f>F32+'C.S'!H5+'C.S'!H31</f>
        <v>122059.23102844</v>
      </c>
      <c r="H32" s="13">
        <f>G32+'C.S'!I5+'C.S'!I31</f>
        <v>137526.0968823742</v>
      </c>
      <c r="I32" s="13">
        <f>H32+'C.S'!J5+'C.S'!J31</f>
        <v>153766.30602900512</v>
      </c>
      <c r="J32" s="13">
        <f>I32+'C.S'!K5+'C.S'!K31</f>
        <v>170737.32458723441</v>
      </c>
    </row>
    <row r="33" spans="1:10" x14ac:dyDescent="0.3">
      <c r="A33" s="10" t="s">
        <v>82</v>
      </c>
      <c r="B33" s="11">
        <v>-3068</v>
      </c>
      <c r="C33" s="11">
        <v>-214</v>
      </c>
      <c r="D33" s="11">
        <v>-19154</v>
      </c>
      <c r="E33" s="11">
        <v>-14264</v>
      </c>
      <c r="F33" s="13">
        <f>E33+I.S!G29+'C.S'!G26+'C.S'!G27</f>
        <v>-9343.5094429143901</v>
      </c>
      <c r="G33" s="13">
        <f>F33+I.S!H29+'C.S'!H26+'C.S'!H27</f>
        <v>-10933.99433085573</v>
      </c>
      <c r="H33" s="13">
        <f>G33+I.S!I29+'C.S'!I26+'C.S'!I27</f>
        <v>-12803.730145770214</v>
      </c>
      <c r="I33" s="13">
        <f>H33+I.S!J29+'C.S'!J26+'C.S'!J27</f>
        <v>-15544.561030593613</v>
      </c>
      <c r="J33" s="13">
        <f>I33+I.S!K29+'C.S'!K26+'C.S'!K27</f>
        <v>-19159.230265204827</v>
      </c>
    </row>
    <row r="34" spans="1:10" x14ac:dyDescent="0.3">
      <c r="A34" s="10" t="s">
        <v>83</v>
      </c>
      <c r="B34" s="11">
        <v>-11109</v>
      </c>
      <c r="C34" s="11">
        <v>-11452</v>
      </c>
      <c r="D34" s="11">
        <v>-7172</v>
      </c>
      <c r="E34" s="11">
        <v>-5571</v>
      </c>
      <c r="F34" s="12">
        <f>E34</f>
        <v>-5571</v>
      </c>
      <c r="G34" s="12">
        <f>F34</f>
        <v>-5571</v>
      </c>
      <c r="H34" s="12">
        <f>G34</f>
        <v>-5571</v>
      </c>
      <c r="I34" s="12">
        <f>H34</f>
        <v>-5571</v>
      </c>
      <c r="J34" s="12">
        <f>I34</f>
        <v>-5571</v>
      </c>
    </row>
    <row r="35" spans="1:10" x14ac:dyDescent="0.3">
      <c r="A35" s="4" t="s">
        <v>84</v>
      </c>
      <c r="B35" s="6">
        <f t="shared" ref="B35:J35" si="7">SUM(B32:B34)</f>
        <v>50672</v>
      </c>
      <c r="C35" s="6">
        <f t="shared" si="7"/>
        <v>62146</v>
      </c>
      <c r="D35" s="6">
        <f t="shared" si="7"/>
        <v>56950</v>
      </c>
      <c r="E35" s="6">
        <f t="shared" si="7"/>
        <v>73733</v>
      </c>
      <c r="F35" s="6">
        <f t="shared" si="7"/>
        <v>92484.185231085605</v>
      </c>
      <c r="G35" s="6">
        <f t="shared" si="7"/>
        <v>105554.23669758427</v>
      </c>
      <c r="H35" s="6">
        <f t="shared" si="7"/>
        <v>119151.36673660399</v>
      </c>
      <c r="I35" s="6">
        <f t="shared" si="7"/>
        <v>132650.74499841151</v>
      </c>
      <c r="J35" s="6">
        <f t="shared" si="7"/>
        <v>146007.09432202959</v>
      </c>
    </row>
    <row r="36" spans="1:10" x14ac:dyDescent="0.3">
      <c r="A36" s="4" t="s">
        <v>85</v>
      </c>
      <c r="B36" s="6">
        <f>B29+B35</f>
        <v>352755</v>
      </c>
      <c r="C36" s="6">
        <f t="shared" ref="C36:J36" si="8">C29+C35</f>
        <v>352583</v>
      </c>
      <c r="D36" s="6">
        <f t="shared" si="8"/>
        <v>364980</v>
      </c>
      <c r="E36" s="6">
        <f t="shared" si="8"/>
        <v>359241</v>
      </c>
      <c r="F36" s="6">
        <f t="shared" si="8"/>
        <v>366435.19179795054</v>
      </c>
      <c r="G36" s="6">
        <f t="shared" si="8"/>
        <v>381746.7446208325</v>
      </c>
      <c r="H36" s="6">
        <f t="shared" si="8"/>
        <v>395877.26169875811</v>
      </c>
      <c r="I36" s="6">
        <f t="shared" si="8"/>
        <v>409617.84772655414</v>
      </c>
      <c r="J36" s="6">
        <f t="shared" si="8"/>
        <v>422728.97446117888</v>
      </c>
    </row>
    <row r="38" spans="1:10" x14ac:dyDescent="0.3">
      <c r="A38" s="10" t="s">
        <v>86</v>
      </c>
      <c r="B38" s="12">
        <f t="shared" ref="B38:J38" si="9">B16-B36</f>
        <v>0</v>
      </c>
      <c r="C38" s="12">
        <f t="shared" si="9"/>
        <v>0</v>
      </c>
      <c r="D38" s="12">
        <f t="shared" si="9"/>
        <v>0</v>
      </c>
      <c r="E38" s="12">
        <f t="shared" si="9"/>
        <v>0</v>
      </c>
      <c r="F38" s="12">
        <f t="shared" si="9"/>
        <v>0</v>
      </c>
      <c r="G38" s="12">
        <f t="shared" si="9"/>
        <v>0</v>
      </c>
      <c r="H38" s="12">
        <f t="shared" si="9"/>
        <v>0</v>
      </c>
      <c r="I38" s="12">
        <f t="shared" si="9"/>
        <v>0</v>
      </c>
      <c r="J38" s="12">
        <f t="shared" si="9"/>
        <v>0</v>
      </c>
    </row>
    <row r="39" spans="1:10" x14ac:dyDescent="0.3">
      <c r="A39" s="10" t="s">
        <v>87</v>
      </c>
      <c r="B39" s="18" t="str">
        <f t="shared" ref="B39:J39" si="10">IF(ABS(B38)&lt;0.5,"Y","N")</f>
        <v>Y</v>
      </c>
      <c r="C39" s="18" t="str">
        <f t="shared" si="10"/>
        <v>Y</v>
      </c>
      <c r="D39" s="18" t="str">
        <f t="shared" si="10"/>
        <v>Y</v>
      </c>
      <c r="E39" s="18" t="str">
        <f t="shared" si="10"/>
        <v>Y</v>
      </c>
      <c r="F39" s="18" t="str">
        <f t="shared" si="10"/>
        <v>Y</v>
      </c>
      <c r="G39" s="18" t="str">
        <f t="shared" si="10"/>
        <v>Y</v>
      </c>
      <c r="H39" s="18" t="str">
        <f t="shared" si="10"/>
        <v>Y</v>
      </c>
      <c r="I39" s="18" t="str">
        <f t="shared" si="10"/>
        <v>Y</v>
      </c>
      <c r="J39" s="18" t="str">
        <f t="shared" si="10"/>
        <v>Y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1"/>
  <sheetViews>
    <sheetView showGridLines="0" tabSelected="1" zoomScaleNormal="100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G52" sqref="G52"/>
    </sheetView>
  </sheetViews>
  <sheetFormatPr defaultColWidth="8.6640625" defaultRowHeight="14.4" x14ac:dyDescent="0.3"/>
  <cols>
    <col min="1" max="1" width="46" customWidth="1"/>
    <col min="2" max="7" width="13" customWidth="1"/>
    <col min="8" max="8" width="26" customWidth="1"/>
    <col min="9" max="10" width="13" customWidth="1"/>
    <col min="11" max="11" width="38" customWidth="1"/>
    <col min="12" max="12" width="13" customWidth="1"/>
    <col min="13" max="13" width="14" customWidth="1"/>
    <col min="14" max="16" width="13" customWidth="1"/>
  </cols>
  <sheetData>
    <row r="1" spans="1:9" x14ac:dyDescent="0.3">
      <c r="A1" s="4" t="s">
        <v>88</v>
      </c>
    </row>
    <row r="2" spans="1:9" x14ac:dyDescent="0.3">
      <c r="A2" s="1" t="s">
        <v>0</v>
      </c>
      <c r="B2" s="2">
        <v>2023</v>
      </c>
      <c r="C2" s="2">
        <f t="shared" ref="C2:I2" si="0">B2+1</f>
        <v>2024</v>
      </c>
      <c r="D2" s="2">
        <f t="shared" si="0"/>
        <v>2025</v>
      </c>
      <c r="E2" s="3">
        <f t="shared" si="0"/>
        <v>2026</v>
      </c>
      <c r="F2" s="3">
        <f t="shared" si="0"/>
        <v>2027</v>
      </c>
      <c r="G2" s="3">
        <f t="shared" si="0"/>
        <v>2028</v>
      </c>
      <c r="H2" s="3">
        <f t="shared" si="0"/>
        <v>2029</v>
      </c>
      <c r="I2" s="3">
        <f t="shared" si="0"/>
        <v>2030</v>
      </c>
    </row>
    <row r="4" spans="1:9" x14ac:dyDescent="0.3">
      <c r="A4" s="4" t="s">
        <v>89</v>
      </c>
    </row>
    <row r="5" spans="1:9" x14ac:dyDescent="0.3">
      <c r="A5" s="10" t="s">
        <v>90</v>
      </c>
      <c r="E5" s="13">
        <f>I.S!G15</f>
        <v>156429.92596799997</v>
      </c>
      <c r="F5" s="13">
        <f>I.S!H15</f>
        <v>160254.82842611999</v>
      </c>
      <c r="G5" s="13">
        <f>I.S!I15</f>
        <v>169068.84398955657</v>
      </c>
      <c r="H5" s="13">
        <f>I.S!J15</f>
        <v>177522.28618903435</v>
      </c>
      <c r="I5" s="13">
        <f>I.S!K15</f>
        <v>185510.7890675409</v>
      </c>
    </row>
    <row r="6" spans="1:9" x14ac:dyDescent="0.3">
      <c r="A6" s="10" t="s">
        <v>91</v>
      </c>
      <c r="E6" s="13">
        <f>'C.S'!G4</f>
        <v>11450.552685333332</v>
      </c>
      <c r="F6" s="13">
        <f>'C.S'!H4</f>
        <v>13135.671806533332</v>
      </c>
      <c r="G6" s="13">
        <f>'C.S'!I4</f>
        <v>14913.472479399332</v>
      </c>
      <c r="H6" s="13">
        <f>'C.S'!J4</f>
        <v>16780.16318590863</v>
      </c>
      <c r="I6" s="13">
        <f>'C.S'!K4</f>
        <v>18730.854974210848</v>
      </c>
    </row>
    <row r="7" spans="1:9" x14ac:dyDescent="0.3">
      <c r="A7" s="10" t="s">
        <v>92</v>
      </c>
      <c r="E7" s="13">
        <f>'C.S'!G14</f>
        <v>-2927.6258942916775</v>
      </c>
      <c r="F7" s="13">
        <f>'C.S'!H14</f>
        <v>3675.4523339567813</v>
      </c>
      <c r="G7" s="13">
        <f>'C.S'!I14</f>
        <v>2903.4404541815684</v>
      </c>
      <c r="H7" s="13">
        <f>'C.S'!J14</f>
        <v>2784.6633446923552</v>
      </c>
      <c r="I7" s="13">
        <f>'C.S'!K14</f>
        <v>2631.5068607342273</v>
      </c>
    </row>
    <row r="8" spans="1:9" x14ac:dyDescent="0.3">
      <c r="A8" s="10" t="s">
        <v>93</v>
      </c>
      <c r="E8" s="13">
        <f>'C.S'!G18</f>
        <v>-13353.774167999998</v>
      </c>
      <c r="F8" s="13">
        <f>'C.S'!H18</f>
        <v>-15166.072090799998</v>
      </c>
      <c r="G8" s="13">
        <f>'C.S'!I18</f>
        <v>-16000.206055793997</v>
      </c>
      <c r="H8" s="13">
        <f>'C.S'!J18</f>
        <v>-16800.216358583697</v>
      </c>
      <c r="I8" s="13">
        <f>'C.S'!K18</f>
        <v>-17556.226094719961</v>
      </c>
    </row>
    <row r="9" spans="1:9" x14ac:dyDescent="0.3">
      <c r="A9" s="10" t="s">
        <v>94</v>
      </c>
      <c r="E9" s="13">
        <f>-(I.S!G28*E5)</f>
        <v>-26593.087414559996</v>
      </c>
      <c r="F9" s="13">
        <f>-(I.S!H28*F5)</f>
        <v>-27243.3208324404</v>
      </c>
      <c r="G9" s="13">
        <f>-(I.S!I28*G5)</f>
        <v>-28741.703478224619</v>
      </c>
      <c r="H9" s="13">
        <f>-(I.S!J28*H5)</f>
        <v>-30178.788652135841</v>
      </c>
      <c r="I9" s="13">
        <f>-(I.S!K28*I5)</f>
        <v>-31536.834141481955</v>
      </c>
    </row>
    <row r="10" spans="1:9" x14ac:dyDescent="0.3">
      <c r="A10" s="10" t="s">
        <v>95</v>
      </c>
      <c r="E10" s="13">
        <f>'C.S'!G7</f>
        <v>72.165279356557647</v>
      </c>
      <c r="F10" s="13">
        <f>'C.S'!H7</f>
        <v>385.67886212748215</v>
      </c>
      <c r="G10" s="13">
        <f>'C.S'!I7</f>
        <v>576.21553090893826</v>
      </c>
      <c r="H10" s="13">
        <f>'C.S'!J7</f>
        <v>650.46600150037875</v>
      </c>
      <c r="I10" s="13">
        <f>'C.S'!K7</f>
        <v>636.52644356539088</v>
      </c>
    </row>
    <row r="11" spans="1:9" x14ac:dyDescent="0.3">
      <c r="A11" s="4" t="s">
        <v>96</v>
      </c>
      <c r="E11" s="6">
        <f>SUM(E5:E10)</f>
        <v>125078.15645583818</v>
      </c>
      <c r="F11" s="6">
        <f>SUM(F5:F10)</f>
        <v>135042.23850549717</v>
      </c>
      <c r="G11" s="6">
        <f>SUM(G5:G10)</f>
        <v>142720.06292002779</v>
      </c>
      <c r="H11" s="6">
        <f>SUM(H5:H10)</f>
        <v>150758.57371041618</v>
      </c>
      <c r="I11" s="6">
        <f>SUM(I5:I10)</f>
        <v>158416.61710984944</v>
      </c>
    </row>
    <row r="13" spans="1:9" x14ac:dyDescent="0.3">
      <c r="A13" s="4" t="s">
        <v>97</v>
      </c>
    </row>
    <row r="14" spans="1:9" x14ac:dyDescent="0.3">
      <c r="A14" s="10" t="s">
        <v>98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</row>
    <row r="15" spans="1:9" x14ac:dyDescent="0.3">
      <c r="A15" s="10" t="s">
        <v>99</v>
      </c>
      <c r="D15" s="20">
        <f>J26</f>
        <v>0.10080095510442827</v>
      </c>
      <c r="E15" s="12">
        <f>E11/(1+$D$15)^E14</f>
        <v>113624.68017115098</v>
      </c>
      <c r="F15" s="12">
        <f>F11/(1+$D$15)^F14</f>
        <v>111442.80455268527</v>
      </c>
      <c r="G15" s="12">
        <f>G11/(1+$D$15)^G14</f>
        <v>106993.80570386705</v>
      </c>
      <c r="H15" s="12">
        <f>H11/(1+$D$15)^H14</f>
        <v>102670.77239043404</v>
      </c>
      <c r="I15" s="12">
        <f>I11/(1+$D$15)^I14</f>
        <v>98006.92119965762</v>
      </c>
    </row>
    <row r="16" spans="1:9" x14ac:dyDescent="0.3">
      <c r="A16" s="4" t="s">
        <v>100</v>
      </c>
      <c r="D16" s="6">
        <f>SUM(E15:I15)</f>
        <v>532738.98401779495</v>
      </c>
    </row>
    <row r="18" spans="1:13" x14ac:dyDescent="0.3">
      <c r="A18" s="4" t="s">
        <v>101</v>
      </c>
    </row>
    <row r="19" spans="1:13" x14ac:dyDescent="0.3">
      <c r="A19" s="4" t="s">
        <v>102</v>
      </c>
      <c r="H19" s="21" t="s">
        <v>103</v>
      </c>
      <c r="I19" s="22"/>
      <c r="J19" s="22"/>
      <c r="K19" s="21" t="s">
        <v>104</v>
      </c>
      <c r="L19" s="22"/>
      <c r="M19" s="22"/>
    </row>
    <row r="20" spans="1:13" x14ac:dyDescent="0.3">
      <c r="A20" s="10" t="s">
        <v>105</v>
      </c>
      <c r="C20" s="13">
        <f>I.S!K20</f>
        <v>204241.64404175174</v>
      </c>
      <c r="H20" s="23" t="s">
        <v>106</v>
      </c>
      <c r="I20" s="22"/>
      <c r="J20" s="24">
        <v>5.28E-2</v>
      </c>
      <c r="K20" s="10" t="s">
        <v>107</v>
      </c>
      <c r="M20" s="13">
        <f>B.S!E22+B.S!E26</f>
        <v>98657</v>
      </c>
    </row>
    <row r="21" spans="1:13" x14ac:dyDescent="0.3">
      <c r="A21" s="10" t="s">
        <v>108</v>
      </c>
      <c r="C21" s="25">
        <f>M27</f>
        <v>29.378160622532882</v>
      </c>
      <c r="H21" s="23" t="s">
        <v>109</v>
      </c>
      <c r="I21" s="22"/>
      <c r="J21" s="24">
        <v>4.4999999999999998E-2</v>
      </c>
      <c r="K21" s="10" t="s">
        <v>110</v>
      </c>
      <c r="M21" s="26">
        <v>340.42</v>
      </c>
    </row>
    <row r="22" spans="1:13" x14ac:dyDescent="0.3">
      <c r="A22" s="10" t="s">
        <v>101</v>
      </c>
      <c r="C22" s="12">
        <f>C21*C20</f>
        <v>6000243.8244687682</v>
      </c>
      <c r="H22" s="23" t="s">
        <v>111</v>
      </c>
      <c r="I22" s="22"/>
      <c r="J22" s="27">
        <v>1.0900000000000001</v>
      </c>
      <c r="K22" s="10" t="s">
        <v>112</v>
      </c>
      <c r="M22" s="11">
        <v>14594</v>
      </c>
    </row>
    <row r="23" spans="1:13" x14ac:dyDescent="0.3">
      <c r="A23" s="10" t="s">
        <v>113</v>
      </c>
      <c r="C23" s="12">
        <f>C22/(1+D15)^I14</f>
        <v>3712144.8141748025</v>
      </c>
      <c r="H23" s="23" t="s">
        <v>114</v>
      </c>
      <c r="I23" s="22"/>
      <c r="J23" s="28">
        <f>J20+(J22*J21)</f>
        <v>0.10185</v>
      </c>
      <c r="K23" s="10" t="s">
        <v>115</v>
      </c>
      <c r="M23" s="12">
        <f>M22*M21</f>
        <v>4968089.4800000004</v>
      </c>
    </row>
    <row r="24" spans="1:13" x14ac:dyDescent="0.3">
      <c r="A24" s="4" t="s">
        <v>116</v>
      </c>
      <c r="H24" s="23" t="s">
        <v>117</v>
      </c>
      <c r="I24" s="22"/>
      <c r="J24" s="28">
        <f>J20+0.005</f>
        <v>5.7799999999999997E-2</v>
      </c>
      <c r="K24" s="10" t="s">
        <v>118</v>
      </c>
      <c r="M24" s="13">
        <f>M20-(B.S!E3+B.S!E4+B.S!E12)</f>
        <v>-33763</v>
      </c>
    </row>
    <row r="25" spans="1:13" x14ac:dyDescent="0.3">
      <c r="A25" s="10" t="s">
        <v>119</v>
      </c>
      <c r="C25" s="12">
        <f>I11</f>
        <v>158416.61710984944</v>
      </c>
      <c r="H25" s="23" t="s">
        <v>120</v>
      </c>
      <c r="I25" s="22"/>
      <c r="J25" s="29">
        <f>I.S!G28</f>
        <v>0.17</v>
      </c>
      <c r="K25" s="10" t="s">
        <v>121</v>
      </c>
      <c r="M25" s="12">
        <f>M23+M24</f>
        <v>4934326.4800000004</v>
      </c>
    </row>
    <row r="26" spans="1:13" x14ac:dyDescent="0.3">
      <c r="A26" s="10" t="s">
        <v>122</v>
      </c>
      <c r="C26" s="9">
        <v>0.03</v>
      </c>
      <c r="H26" s="21" t="s">
        <v>123</v>
      </c>
      <c r="I26" s="22"/>
      <c r="J26" s="30">
        <f>((M23/(M23+M20))*J23)+((M20/(M23+M20))*(J24*(1-J25)))</f>
        <v>0.10080095510442827</v>
      </c>
      <c r="K26" s="10" t="s">
        <v>124</v>
      </c>
      <c r="M26" s="11">
        <v>167959</v>
      </c>
    </row>
    <row r="27" spans="1:13" x14ac:dyDescent="0.3">
      <c r="A27" s="10" t="s">
        <v>101</v>
      </c>
      <c r="C27" s="12">
        <f>C25*(1+C26)/(D15-C26)</f>
        <v>2304617.4360568682</v>
      </c>
      <c r="K27" s="10" t="s">
        <v>125</v>
      </c>
      <c r="M27" s="31">
        <f>M25/M26</f>
        <v>29.378160622532882</v>
      </c>
    </row>
    <row r="28" spans="1:13" x14ac:dyDescent="0.3">
      <c r="A28" s="10" t="s">
        <v>113</v>
      </c>
      <c r="C28" s="12">
        <f>C27/(1+D15)^I14</f>
        <v>1425787.6703323396</v>
      </c>
      <c r="K28" s="10" t="s">
        <v>126</v>
      </c>
      <c r="M28" s="11">
        <v>14773</v>
      </c>
    </row>
    <row r="29" spans="1:13" x14ac:dyDescent="0.3">
      <c r="A29" s="32" t="s">
        <v>127</v>
      </c>
      <c r="C29" s="31">
        <f>C27/C20</f>
        <v>11.283778324785471</v>
      </c>
      <c r="K29" s="10" t="s">
        <v>128</v>
      </c>
      <c r="M29" s="13">
        <f>I.S!F38-I.S!F37</f>
        <v>56</v>
      </c>
    </row>
    <row r="30" spans="1:13" x14ac:dyDescent="0.3">
      <c r="A30" s="32" t="s">
        <v>129</v>
      </c>
      <c r="C30" s="7">
        <f>(C22*D15-C25)/(C22+C25)</f>
        <v>7.2485517831475527E-2</v>
      </c>
      <c r="K30" s="10" t="s">
        <v>130</v>
      </c>
      <c r="M30" s="12">
        <f>M28+M29</f>
        <v>14829</v>
      </c>
    </row>
    <row r="31" spans="1:13" x14ac:dyDescent="0.3">
      <c r="K31" s="10" t="s">
        <v>131</v>
      </c>
      <c r="M31" s="33">
        <f>DATE(2025,9,27)</f>
        <v>45927</v>
      </c>
    </row>
    <row r="32" spans="1:13" x14ac:dyDescent="0.3">
      <c r="A32" s="34" t="s">
        <v>132</v>
      </c>
      <c r="B32" s="35" t="s">
        <v>102</v>
      </c>
      <c r="C32" s="35" t="s">
        <v>116</v>
      </c>
      <c r="K32" s="10" t="s">
        <v>133</v>
      </c>
      <c r="M32" s="33">
        <f>DATE(2026,10,8)</f>
        <v>46303</v>
      </c>
    </row>
    <row r="33" spans="1:8" x14ac:dyDescent="0.3">
      <c r="A33" s="10" t="s">
        <v>134</v>
      </c>
      <c r="B33" s="12">
        <f>D16</f>
        <v>532738.98401779495</v>
      </c>
      <c r="C33" s="12">
        <f>D16</f>
        <v>532738.98401779495</v>
      </c>
    </row>
    <row r="34" spans="1:8" x14ac:dyDescent="0.3">
      <c r="A34" s="10" t="s">
        <v>135</v>
      </c>
      <c r="B34" s="12">
        <f>C23</f>
        <v>3712144.8141748025</v>
      </c>
      <c r="C34" s="12">
        <f>C28</f>
        <v>1425787.6703323396</v>
      </c>
    </row>
    <row r="35" spans="1:8" x14ac:dyDescent="0.3">
      <c r="A35" s="4" t="s">
        <v>136</v>
      </c>
      <c r="B35" s="6">
        <f>SUM(B33:B34)</f>
        <v>4244883.7981925979</v>
      </c>
      <c r="C35" s="6">
        <f>SUM(C33:C34)</f>
        <v>1958526.6543501345</v>
      </c>
    </row>
    <row r="36" spans="1:8" x14ac:dyDescent="0.3">
      <c r="A36" s="10" t="s">
        <v>137</v>
      </c>
      <c r="B36" s="12">
        <f>M24</f>
        <v>-33763</v>
      </c>
      <c r="C36" s="12">
        <f>B36</f>
        <v>-33763</v>
      </c>
    </row>
    <row r="37" spans="1:8" x14ac:dyDescent="0.3">
      <c r="A37" s="4" t="s">
        <v>138</v>
      </c>
      <c r="B37" s="6">
        <f>B35-B36</f>
        <v>4278646.7981925979</v>
      </c>
      <c r="C37" s="6">
        <f>C35-C36</f>
        <v>1992289.6543501345</v>
      </c>
    </row>
    <row r="38" spans="1:8" x14ac:dyDescent="0.3">
      <c r="A38" s="10" t="s">
        <v>139</v>
      </c>
      <c r="B38" s="12">
        <f>M30</f>
        <v>14829</v>
      </c>
      <c r="C38" s="12">
        <f>B38</f>
        <v>14829</v>
      </c>
    </row>
    <row r="39" spans="1:8" x14ac:dyDescent="0.3">
      <c r="A39" s="10" t="s">
        <v>140</v>
      </c>
      <c r="B39" s="14">
        <f>B37/B38</f>
        <v>288.53238911542235</v>
      </c>
      <c r="C39" s="14">
        <f>C37/C38</f>
        <v>134.35091067166596</v>
      </c>
    </row>
    <row r="40" spans="1:8" x14ac:dyDescent="0.3">
      <c r="A40" s="10" t="s">
        <v>141</v>
      </c>
      <c r="B40" s="36">
        <f>(M32-M31)/365</f>
        <v>1.0301369863013699</v>
      </c>
      <c r="C40" s="36">
        <f>B40</f>
        <v>1.0301369863013699</v>
      </c>
    </row>
    <row r="41" spans="1:8" x14ac:dyDescent="0.3">
      <c r="A41" s="10" t="s">
        <v>142</v>
      </c>
      <c r="B41" s="37">
        <f>'C.S'!G28</f>
        <v>1.0608</v>
      </c>
      <c r="C41" s="14">
        <f>B41</f>
        <v>1.0608</v>
      </c>
    </row>
    <row r="42" spans="1:8" x14ac:dyDescent="0.3">
      <c r="A42" s="4" t="s">
        <v>143</v>
      </c>
      <c r="B42" s="38">
        <f>B39*(1+$J$23)^B40-B41</f>
        <v>317.78925211214164</v>
      </c>
      <c r="C42" s="38">
        <f>C39*(1+$J$23)^C40-C41</f>
        <v>147.40708951599419</v>
      </c>
    </row>
    <row r="43" spans="1:8" x14ac:dyDescent="0.3">
      <c r="A43" s="10" t="s">
        <v>144</v>
      </c>
      <c r="B43" s="14">
        <f>M21</f>
        <v>340.42</v>
      </c>
      <c r="C43" s="14">
        <f>M21</f>
        <v>340.42</v>
      </c>
    </row>
    <row r="44" spans="1:8" x14ac:dyDescent="0.3">
      <c r="A44" s="10" t="s">
        <v>145</v>
      </c>
      <c r="B44" s="7">
        <f>B42/B43-1</f>
        <v>-6.6478902202744772E-2</v>
      </c>
      <c r="C44" s="7">
        <f>C42/C43-1</f>
        <v>-0.56698463804713528</v>
      </c>
    </row>
    <row r="46" spans="1:8" x14ac:dyDescent="0.3">
      <c r="A46" s="4" t="s">
        <v>146</v>
      </c>
    </row>
    <row r="47" spans="1:8" x14ac:dyDescent="0.3">
      <c r="B47" s="39">
        <f>B42</f>
        <v>317.78925211214164</v>
      </c>
      <c r="C47" s="31">
        <f>D47-5</f>
        <v>19.378</v>
      </c>
      <c r="D47" s="31">
        <f>E47-5</f>
        <v>24.378</v>
      </c>
      <c r="E47" s="31">
        <v>29.378</v>
      </c>
      <c r="F47" s="31">
        <f>E47+5</f>
        <v>34.378</v>
      </c>
      <c r="G47" s="31">
        <f>F47+5</f>
        <v>39.378</v>
      </c>
      <c r="H47" s="32" t="s">
        <v>147</v>
      </c>
    </row>
    <row r="48" spans="1:8" x14ac:dyDescent="0.3">
      <c r="A48" s="32" t="s">
        <v>148</v>
      </c>
      <c r="B48" s="20">
        <f>B49-1%</f>
        <v>8.0801000000000012E-2</v>
      </c>
      <c r="C48" s="48">
        <f t="dataTable" ref="C48:G52" dt2D="1" dtr="1" r1="C21" r2="J26" ca="1"/>
        <v>243.34518321355654</v>
      </c>
      <c r="D48" s="46">
        <v>294.94708027842711</v>
      </c>
      <c r="E48" s="46">
        <v>346.54897734329757</v>
      </c>
      <c r="F48" s="46">
        <v>398.15087440816808</v>
      </c>
      <c r="G48" s="46">
        <v>449.75277147303859</v>
      </c>
    </row>
    <row r="49" spans="1:8" x14ac:dyDescent="0.3">
      <c r="B49" s="20">
        <f>B50-1%</f>
        <v>9.0801000000000007E-2</v>
      </c>
      <c r="C49" s="49">
        <v>233.22076901888886</v>
      </c>
      <c r="D49" s="14">
        <v>282.50031752712567</v>
      </c>
      <c r="E49" s="14">
        <v>331.77986603536249</v>
      </c>
      <c r="F49" s="14">
        <v>381.0594145435993</v>
      </c>
      <c r="G49" s="14">
        <v>430.33896305183612</v>
      </c>
    </row>
    <row r="50" spans="1:8" x14ac:dyDescent="0.3">
      <c r="B50" s="20">
        <v>0.100801</v>
      </c>
      <c r="C50" s="49">
        <v>223.62468080406023</v>
      </c>
      <c r="D50" s="14">
        <v>270.70617964932364</v>
      </c>
      <c r="E50" s="47">
        <v>317.78767849458706</v>
      </c>
      <c r="F50" s="14">
        <v>364.86917733985041</v>
      </c>
      <c r="G50" s="14">
        <v>411.95067618511376</v>
      </c>
    </row>
    <row r="51" spans="1:8" x14ac:dyDescent="0.3">
      <c r="B51" s="20">
        <f>B50+1%</f>
        <v>0.110801</v>
      </c>
      <c r="C51" s="49">
        <v>214.52463945734041</v>
      </c>
      <c r="D51" s="14">
        <v>259.5246947116832</v>
      </c>
      <c r="E51" s="14">
        <v>304.52474996602598</v>
      </c>
      <c r="F51" s="14">
        <v>349.52480522036865</v>
      </c>
      <c r="G51" s="14">
        <v>394.52486047471132</v>
      </c>
    </row>
    <row r="52" spans="1:8" x14ac:dyDescent="0.3">
      <c r="B52" s="20">
        <f>B51+1%</f>
        <v>0.12080099999999999</v>
      </c>
      <c r="C52" s="49">
        <v>205.89061134747857</v>
      </c>
      <c r="D52" s="14">
        <v>248.91867560056889</v>
      </c>
      <c r="E52" s="14">
        <v>291.94673985365944</v>
      </c>
      <c r="F52" s="14">
        <v>334.97480410674967</v>
      </c>
      <c r="G52" s="14">
        <v>378.00286835984002</v>
      </c>
    </row>
    <row r="55" spans="1:8" x14ac:dyDescent="0.3">
      <c r="A55" s="4" t="s">
        <v>149</v>
      </c>
    </row>
    <row r="56" spans="1:8" x14ac:dyDescent="0.3">
      <c r="B56" s="39">
        <f>C42</f>
        <v>147.40708951599419</v>
      </c>
      <c r="C56" s="7">
        <f>D56-0.5%</f>
        <v>1.9999999999999997E-2</v>
      </c>
      <c r="D56" s="7">
        <f>E56-0.5%</f>
        <v>2.4999999999999998E-2</v>
      </c>
      <c r="E56" s="7">
        <v>0.03</v>
      </c>
      <c r="F56" s="7">
        <f>E56+0.5%</f>
        <v>3.4999999999999996E-2</v>
      </c>
      <c r="G56" s="7">
        <f>F56+0.5%</f>
        <v>3.9999999999999994E-2</v>
      </c>
      <c r="H56" s="32" t="s">
        <v>150</v>
      </c>
    </row>
    <row r="57" spans="1:8" x14ac:dyDescent="0.3">
      <c r="A57" s="32" t="s">
        <v>151</v>
      </c>
      <c r="B57" s="20">
        <f>B58-1%</f>
        <v>8.0801000000000012E-2</v>
      </c>
      <c r="C57" s="48">
        <f t="dataTable" ref="C57:G61" dt2D="1" dtr="1" r1="C26" r2="D15"/>
        <v>177.64621441966722</v>
      </c>
      <c r="D57" s="46">
        <v>190.39635986934999</v>
      </c>
      <c r="E57" s="46">
        <v>205.65632706460525</v>
      </c>
      <c r="F57" s="46">
        <v>224.24809207983284</v>
      </c>
      <c r="G57" s="46">
        <v>247.39655056218805</v>
      </c>
    </row>
    <row r="58" spans="1:8" x14ac:dyDescent="0.3">
      <c r="B58" s="20">
        <f>B59-1%</f>
        <v>9.0801000000000007E-2</v>
      </c>
      <c r="C58" s="49">
        <v>152.36505406000927</v>
      </c>
      <c r="D58" s="14">
        <v>161.3145134032508</v>
      </c>
      <c r="E58" s="14">
        <v>171.73589908705279</v>
      </c>
      <c r="F58" s="14">
        <v>184.02488314432512</v>
      </c>
      <c r="G58" s="14">
        <v>198.73291093248315</v>
      </c>
    </row>
    <row r="59" spans="1:8" x14ac:dyDescent="0.3">
      <c r="B59" s="20">
        <v>0.100801</v>
      </c>
      <c r="C59" s="49">
        <v>133.35333707389498</v>
      </c>
      <c r="D59" s="14">
        <v>139.91666135115372</v>
      </c>
      <c r="E59" s="47">
        <v>147.40699573805202</v>
      </c>
      <c r="F59" s="14">
        <v>156.03566151609908</v>
      </c>
      <c r="G59" s="14">
        <v>166.08349240295144</v>
      </c>
    </row>
    <row r="60" spans="1:8" x14ac:dyDescent="0.3">
      <c r="B60" s="20">
        <f>B59+1%</f>
        <v>0.110801</v>
      </c>
      <c r="C60" s="49">
        <v>118.5392080639939</v>
      </c>
      <c r="D60" s="14">
        <v>123.51569382047359</v>
      </c>
      <c r="E60" s="14">
        <v>129.10807365703641</v>
      </c>
      <c r="F60" s="14">
        <v>135.43822474154618</v>
      </c>
      <c r="G60" s="14">
        <v>142.66245233408691</v>
      </c>
    </row>
    <row r="61" spans="1:8" x14ac:dyDescent="0.3">
      <c r="B61" s="20">
        <f>B60+1%</f>
        <v>0.12080099999999999</v>
      </c>
      <c r="C61" s="49">
        <v>106.67299205456925</v>
      </c>
      <c r="D61" s="14">
        <v>110.54647700164904</v>
      </c>
      <c r="E61" s="14">
        <v>114.84655250908392</v>
      </c>
      <c r="F61" s="14">
        <v>119.64779647696037</v>
      </c>
      <c r="G61" s="14">
        <v>125.04324645316298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5" sqref="D5"/>
    </sheetView>
  </sheetViews>
  <sheetFormatPr defaultColWidth="8.6640625" defaultRowHeight="14.4" x14ac:dyDescent="0.3"/>
  <cols>
    <col min="1" max="1" width="52" customWidth="1"/>
    <col min="2" max="16" width="12.44140625" customWidth="1"/>
  </cols>
  <sheetData>
    <row r="1" spans="1:11" x14ac:dyDescent="0.3">
      <c r="A1" s="4" t="s">
        <v>152</v>
      </c>
    </row>
    <row r="2" spans="1:11" x14ac:dyDescent="0.3">
      <c r="A2" s="10" t="s">
        <v>153</v>
      </c>
      <c r="B2" s="19">
        <v>365</v>
      </c>
    </row>
    <row r="3" spans="1:11" x14ac:dyDescent="0.3">
      <c r="A3" s="1" t="s">
        <v>154</v>
      </c>
      <c r="B3" s="2">
        <v>2021</v>
      </c>
      <c r="C3" s="2">
        <f t="shared" ref="C3:K3" si="0">B3+1</f>
        <v>2022</v>
      </c>
      <c r="D3" s="2">
        <f t="shared" si="0"/>
        <v>2023</v>
      </c>
      <c r="E3" s="2">
        <f t="shared" si="0"/>
        <v>2024</v>
      </c>
      <c r="F3" s="2">
        <f t="shared" si="0"/>
        <v>2025</v>
      </c>
      <c r="G3" s="3">
        <f t="shared" si="0"/>
        <v>2026</v>
      </c>
      <c r="H3" s="3">
        <f t="shared" si="0"/>
        <v>2027</v>
      </c>
      <c r="I3" s="3">
        <f t="shared" si="0"/>
        <v>2028</v>
      </c>
      <c r="J3" s="3">
        <f t="shared" si="0"/>
        <v>2029</v>
      </c>
      <c r="K3" s="3">
        <f t="shared" si="0"/>
        <v>2030</v>
      </c>
    </row>
    <row r="4" spans="1:11" x14ac:dyDescent="0.3">
      <c r="A4" s="10" t="s">
        <v>32</v>
      </c>
      <c r="C4" s="13">
        <f>B.S!B5</f>
        <v>28184</v>
      </c>
      <c r="D4" s="13">
        <f>B.S!C5</f>
        <v>29508</v>
      </c>
      <c r="E4" s="13">
        <f>B.S!D5</f>
        <v>33410</v>
      </c>
      <c r="F4" s="13">
        <f>B.S!E5</f>
        <v>39777</v>
      </c>
      <c r="G4" s="13">
        <f>G5*I.S!G2/$B$2</f>
        <v>41016.406289115897</v>
      </c>
      <c r="H4" s="13">
        <f>H5*I.S!H2/$B$2</f>
        <v>43477.390666462859</v>
      </c>
      <c r="I4" s="13">
        <f>I5*I.S!I2/$B$2</f>
        <v>45868.647153118312</v>
      </c>
      <c r="J4" s="13">
        <f>J5*I.S!J2/$B$2</f>
        <v>48162.079510774231</v>
      </c>
      <c r="K4" s="13">
        <f>K5*I.S!K2/$B$2</f>
        <v>50329.373088759065</v>
      </c>
    </row>
    <row r="5" spans="1:11" x14ac:dyDescent="0.3">
      <c r="A5" s="8" t="s">
        <v>155</v>
      </c>
      <c r="C5" s="40">
        <f>C4/I.S!C2*$B$2</f>
        <v>26.087825363656648</v>
      </c>
      <c r="D5" s="40">
        <f>D4/I.S!D2*$B$2</f>
        <v>28.100290906244702</v>
      </c>
      <c r="E5" s="40">
        <f>E4/I.S!E2*$B$2</f>
        <v>31.185571624023428</v>
      </c>
      <c r="F5" s="40">
        <f>F4/I.S!F2*$B$2</f>
        <v>34.886990852098108</v>
      </c>
      <c r="G5" s="41">
        <f>AVERAGE(D5:F5)</f>
        <v>31.390951127455413</v>
      </c>
      <c r="H5" s="41">
        <f>G5</f>
        <v>31.390951127455413</v>
      </c>
      <c r="I5" s="41">
        <f>H5</f>
        <v>31.390951127455413</v>
      </c>
      <c r="J5" s="41">
        <f>I5</f>
        <v>31.390951127455413</v>
      </c>
      <c r="K5" s="41">
        <f>J5</f>
        <v>31.390951127455413</v>
      </c>
    </row>
    <row r="6" spans="1:11" x14ac:dyDescent="0.3">
      <c r="A6" s="10" t="s">
        <v>62</v>
      </c>
      <c r="C6" s="13">
        <f>B.S!B6</f>
        <v>32748</v>
      </c>
      <c r="D6" s="13">
        <f>B.S!C6</f>
        <v>31477</v>
      </c>
      <c r="E6" s="13">
        <f>B.S!D6</f>
        <v>32833</v>
      </c>
      <c r="F6" s="13">
        <f>B.S!E6</f>
        <v>33180</v>
      </c>
      <c r="G6" s="13">
        <f>G7*-I.S!G4/$B$2</f>
        <v>37035.612928163217</v>
      </c>
      <c r="H6" s="13">
        <f>H7*-I.S!H4/$B$2</f>
        <v>40097.896098293444</v>
      </c>
      <c r="I6" s="13">
        <f>I7*-I.S!I4/$B$2</f>
        <v>42303.280383699574</v>
      </c>
      <c r="J6" s="13">
        <f>J7*-I.S!J4/$B$2</f>
        <v>44418.444402884561</v>
      </c>
      <c r="K6" s="13">
        <f>K7*-I.S!K4/$B$2</f>
        <v>46417.274401014358</v>
      </c>
    </row>
    <row r="7" spans="1:11" x14ac:dyDescent="0.3">
      <c r="A7" s="8" t="s">
        <v>156</v>
      </c>
      <c r="C7" s="40">
        <f>C6/-I.S!C4*$B$2</f>
        <v>53.470068800157463</v>
      </c>
      <c r="D7" s="40">
        <f>D6/-I.S!D4*$B$2</f>
        <v>53.653058555971178</v>
      </c>
      <c r="E7" s="40">
        <f>E6/-I.S!E4*$B$2</f>
        <v>56.971386057655735</v>
      </c>
      <c r="F7" s="40">
        <f>F6/-I.S!F4*$B$2</f>
        <v>54.809467776973207</v>
      </c>
      <c r="G7" s="41">
        <f>AVERAGE(D7:F7)</f>
        <v>55.144637463533371</v>
      </c>
      <c r="H7" s="41">
        <f>G7</f>
        <v>55.144637463533371</v>
      </c>
      <c r="I7" s="41">
        <f>H7</f>
        <v>55.144637463533371</v>
      </c>
      <c r="J7" s="41">
        <f>I7</f>
        <v>55.144637463533371</v>
      </c>
      <c r="K7" s="41">
        <f>J7</f>
        <v>55.144637463533371</v>
      </c>
    </row>
    <row r="8" spans="1:11" x14ac:dyDescent="0.3">
      <c r="A8" s="10" t="s">
        <v>33</v>
      </c>
      <c r="C8" s="13">
        <f>B.S!B7</f>
        <v>4946</v>
      </c>
      <c r="D8" s="13">
        <f>B.S!C7</f>
        <v>6331</v>
      </c>
      <c r="E8" s="13">
        <f>B.S!D7</f>
        <v>7286</v>
      </c>
      <c r="F8" s="13">
        <f>B.S!E7</f>
        <v>5718</v>
      </c>
      <c r="G8" s="13">
        <f>G9*-I.S!G4/$B$2</f>
        <v>7360.6799112001663</v>
      </c>
      <c r="H8" s="13">
        <f>H9*-I.S!H4/$B$2</f>
        <v>7969.2964408227481</v>
      </c>
      <c r="I8" s="13">
        <f>I9*-I.S!I4/$B$2</f>
        <v>8407.6077450679986</v>
      </c>
      <c r="J8" s="13">
        <f>J9*-I.S!J4/$B$2</f>
        <v>8827.9881323213995</v>
      </c>
      <c r="K8" s="13">
        <f>K9*-I.S!K4/$B$2</f>
        <v>9225.2475982758606</v>
      </c>
    </row>
    <row r="9" spans="1:11" x14ac:dyDescent="0.3">
      <c r="A9" s="8" t="s">
        <v>157</v>
      </c>
      <c r="C9" s="40">
        <f>C8/-I.S!C4*$B$2</f>
        <v>8.0756980666171607</v>
      </c>
      <c r="D9" s="40">
        <f>D8/-I.S!D4*$B$2</f>
        <v>10.791292490321617</v>
      </c>
      <c r="E9" s="40">
        <f>E8/-I.S!E4*$B$2</f>
        <v>12.642570548414087</v>
      </c>
      <c r="F9" s="40">
        <f>F8/-I.S!F4*$B$2</f>
        <v>9.4454652425778427</v>
      </c>
      <c r="G9" s="41">
        <f>AVERAGE(D9:F9)</f>
        <v>10.959776093771183</v>
      </c>
      <c r="H9" s="41">
        <f>G9</f>
        <v>10.959776093771183</v>
      </c>
      <c r="I9" s="41">
        <f>H9</f>
        <v>10.959776093771183</v>
      </c>
      <c r="J9" s="41">
        <f>I9</f>
        <v>10.959776093771183</v>
      </c>
      <c r="K9" s="41">
        <f>J9</f>
        <v>10.959776093771183</v>
      </c>
    </row>
    <row r="10" spans="1:11" x14ac:dyDescent="0.3">
      <c r="A10" s="10" t="s">
        <v>63</v>
      </c>
      <c r="C10" s="13">
        <f>B.S!B8</f>
        <v>21223</v>
      </c>
      <c r="D10" s="13">
        <f>B.S!C8</f>
        <v>14695</v>
      </c>
      <c r="E10" s="13">
        <f>B.S!D8</f>
        <v>14287</v>
      </c>
      <c r="F10" s="13">
        <f>B.S!E8</f>
        <v>14585</v>
      </c>
      <c r="G10" s="13">
        <f>G11*I.S!G2/$B$2</f>
        <v>17474.768053320797</v>
      </c>
      <c r="H10" s="13">
        <f>H11*I.S!H2/$B$2</f>
        <v>18523.254136520049</v>
      </c>
      <c r="I10" s="13">
        <f>I11*I.S!I2/$B$2</f>
        <v>19542.033114028647</v>
      </c>
      <c r="J10" s="13">
        <f>J11*I.S!J2/$B$2</f>
        <v>20519.134769730077</v>
      </c>
      <c r="K10" s="13">
        <f>K11*I.S!K2/$B$2</f>
        <v>21442.495834367932</v>
      </c>
    </row>
    <row r="11" spans="1:11" x14ac:dyDescent="0.3">
      <c r="A11" s="8" t="s">
        <v>158</v>
      </c>
      <c r="C11" s="40">
        <f>C10/I.S!C2*$B$2</f>
        <v>19.644547178998195</v>
      </c>
      <c r="D11" s="40">
        <f>D10/I.S!D2*$B$2</f>
        <v>13.993960108013621</v>
      </c>
      <c r="E11" s="40">
        <f>E10/I.S!E2*$B$2</f>
        <v>13.335775569961767</v>
      </c>
      <c r="F11" s="40">
        <f>F10/I.S!F2*$B$2</f>
        <v>12.791984352209841</v>
      </c>
      <c r="G11" s="41">
        <f>AVERAGE(D11:F11)</f>
        <v>13.37390667672841</v>
      </c>
      <c r="H11" s="41">
        <f>G11</f>
        <v>13.37390667672841</v>
      </c>
      <c r="I11" s="41">
        <f>H11</f>
        <v>13.37390667672841</v>
      </c>
      <c r="J11" s="41">
        <f>I11</f>
        <v>13.37390667672841</v>
      </c>
      <c r="K11" s="41">
        <f>J11</f>
        <v>13.37390667672841</v>
      </c>
    </row>
    <row r="12" spans="1:11" x14ac:dyDescent="0.3">
      <c r="A12" s="4" t="s">
        <v>159</v>
      </c>
      <c r="C12" s="6">
        <f t="shared" ref="C12:K12" si="1">C4+C6+C8+C10</f>
        <v>87101</v>
      </c>
      <c r="D12" s="6">
        <f t="shared" si="1"/>
        <v>82011</v>
      </c>
      <c r="E12" s="6">
        <f t="shared" si="1"/>
        <v>87816</v>
      </c>
      <c r="F12" s="6">
        <f t="shared" si="1"/>
        <v>93260</v>
      </c>
      <c r="G12" s="6">
        <f t="shared" si="1"/>
        <v>102887.46718180008</v>
      </c>
      <c r="H12" s="6">
        <f t="shared" si="1"/>
        <v>110067.8373420991</v>
      </c>
      <c r="I12" s="6">
        <f t="shared" si="1"/>
        <v>116121.56839591452</v>
      </c>
      <c r="J12" s="6">
        <f t="shared" si="1"/>
        <v>121927.64681571028</v>
      </c>
      <c r="K12" s="6">
        <f t="shared" si="1"/>
        <v>127414.39092241722</v>
      </c>
    </row>
    <row r="14" spans="1:11" x14ac:dyDescent="0.3">
      <c r="A14" s="10" t="s">
        <v>34</v>
      </c>
      <c r="C14" s="13">
        <f>B.S!B19</f>
        <v>64115</v>
      </c>
      <c r="D14" s="13">
        <f>B.S!C19</f>
        <v>62611</v>
      </c>
      <c r="E14" s="13">
        <f>B.S!D19</f>
        <v>68960</v>
      </c>
      <c r="F14" s="13">
        <f>B.S!E19</f>
        <v>69860</v>
      </c>
      <c r="G14" s="13">
        <f>G15*-I.S!G4/$B$2</f>
        <v>76514.234711896788</v>
      </c>
      <c r="H14" s="13">
        <f>H15*-I.S!H4/$B$2</f>
        <v>82840.800811615889</v>
      </c>
      <c r="I14" s="13">
        <f>I15*-I.S!I4/$B$2</f>
        <v>87397.044856254739</v>
      </c>
      <c r="J14" s="13">
        <f>J15*-I.S!J4/$B$2</f>
        <v>91766.897099067501</v>
      </c>
      <c r="K14" s="13">
        <f>K15*-I.S!K4/$B$2</f>
        <v>95896.407468525518</v>
      </c>
    </row>
    <row r="15" spans="1:11" x14ac:dyDescent="0.3">
      <c r="A15" s="8" t="s">
        <v>160</v>
      </c>
      <c r="C15" s="40">
        <f>C14/-I.S!C4*$B$2</f>
        <v>104.68527730310539</v>
      </c>
      <c r="D15" s="40">
        <f>D14/-I.S!D4*$B$2</f>
        <v>106.72146803214764</v>
      </c>
      <c r="E15" s="40">
        <f>E14/-I.S!E4*$B$2</f>
        <v>119.65847721913744</v>
      </c>
      <c r="F15" s="40">
        <f>F14/-I.S!F4*$B$2</f>
        <v>115.40052498189718</v>
      </c>
      <c r="G15" s="41">
        <f>AVERAGE(D15:F15)</f>
        <v>113.92682341106075</v>
      </c>
      <c r="H15" s="41">
        <f>G15</f>
        <v>113.92682341106075</v>
      </c>
      <c r="I15" s="41">
        <f>H15</f>
        <v>113.92682341106075</v>
      </c>
      <c r="J15" s="41">
        <f>I15</f>
        <v>113.92682341106075</v>
      </c>
      <c r="K15" s="41">
        <f>J15</f>
        <v>113.92682341106075</v>
      </c>
    </row>
    <row r="16" spans="1:11" x14ac:dyDescent="0.3">
      <c r="A16" s="10" t="s">
        <v>72</v>
      </c>
      <c r="C16" s="13">
        <f>B.S!B20</f>
        <v>60845</v>
      </c>
      <c r="D16" s="13">
        <f>B.S!C20</f>
        <v>58829</v>
      </c>
      <c r="E16" s="13">
        <f>B.S!D20</f>
        <v>78304</v>
      </c>
      <c r="F16" s="13">
        <f>B.S!E20</f>
        <v>66387</v>
      </c>
      <c r="G16" s="13">
        <f>G17*I.S!G2/$B$2</f>
        <v>65331.57616438355</v>
      </c>
      <c r="H16" s="13">
        <f>H17*I.S!H2/$B$2</f>
        <v>69251.47073424657</v>
      </c>
      <c r="I16" s="13">
        <f>I17*I.S!I2/$B$2</f>
        <v>73060.301624630127</v>
      </c>
      <c r="J16" s="13">
        <f>J17*I.S!J2/$B$2</f>
        <v>76713.316705861638</v>
      </c>
      <c r="K16" s="13">
        <f>K17*I.S!K2/$B$2</f>
        <v>80165.415957625388</v>
      </c>
    </row>
    <row r="17" spans="1:11" x14ac:dyDescent="0.3">
      <c r="A17" s="8" t="s">
        <v>158</v>
      </c>
      <c r="C17" s="40">
        <f>C16/I.S!C2*$B$2</f>
        <v>56.319675498569723</v>
      </c>
      <c r="D17" s="40">
        <f>D16/I.S!D2*$B$2</f>
        <v>56.022502837314264</v>
      </c>
      <c r="E17" s="40">
        <f>E16/I.S!E2*$B$2</f>
        <v>73.090541767360975</v>
      </c>
      <c r="F17" s="40">
        <f>F16/I.S!F2*$B$2</f>
        <v>58.225674678790178</v>
      </c>
      <c r="G17" s="42">
        <v>50</v>
      </c>
      <c r="H17" s="41">
        <f>G17</f>
        <v>50</v>
      </c>
      <c r="I17" s="41">
        <f>H17</f>
        <v>50</v>
      </c>
      <c r="J17" s="41">
        <f>I17</f>
        <v>50</v>
      </c>
      <c r="K17" s="41">
        <f>J17</f>
        <v>50</v>
      </c>
    </row>
    <row r="18" spans="1:11" x14ac:dyDescent="0.3">
      <c r="A18" s="10" t="s">
        <v>73</v>
      </c>
      <c r="C18" s="13">
        <f>B.S!B21</f>
        <v>7912</v>
      </c>
      <c r="D18" s="13">
        <f>B.S!C21</f>
        <v>8061</v>
      </c>
      <c r="E18" s="13">
        <f>B.S!D21</f>
        <v>8249</v>
      </c>
      <c r="F18" s="13">
        <f>B.S!E21</f>
        <v>9055</v>
      </c>
      <c r="G18" s="13">
        <f>G19*I.S!G2/$B$2</f>
        <v>10156.030411228061</v>
      </c>
      <c r="H18" s="13">
        <f>H19*I.S!H2/$B$2</f>
        <v>10765.392235901745</v>
      </c>
      <c r="I18" s="13">
        <f>I19*I.S!I2/$B$2</f>
        <v>11357.488808876338</v>
      </c>
      <c r="J18" s="13">
        <f>J19*I.S!J2/$B$2</f>
        <v>11925.363249320157</v>
      </c>
      <c r="K18" s="13">
        <f>K19*I.S!K2/$B$2</f>
        <v>12462.004595539564</v>
      </c>
    </row>
    <row r="19" spans="1:11" x14ac:dyDescent="0.3">
      <c r="A19" s="8" t="s">
        <v>158</v>
      </c>
      <c r="C19" s="40">
        <f>C18/I.S!C2*$B$2</f>
        <v>7.3235479093546498</v>
      </c>
      <c r="D19" s="40">
        <f>D18/I.S!D2*$B$2</f>
        <v>7.6764418122284992</v>
      </c>
      <c r="E19" s="40">
        <f>E18/I.S!E2*$B$2</f>
        <v>7.6997839068114109</v>
      </c>
      <c r="F19" s="40">
        <f>F18/I.S!F2*$B$2</f>
        <v>7.9418181905560585</v>
      </c>
      <c r="G19" s="41">
        <f>AVERAGE(D19:F19)</f>
        <v>7.7726813031986559</v>
      </c>
      <c r="H19" s="41">
        <f>G19</f>
        <v>7.7726813031986559</v>
      </c>
      <c r="I19" s="41">
        <f>H19</f>
        <v>7.7726813031986559</v>
      </c>
      <c r="J19" s="41">
        <f>I19</f>
        <v>7.7726813031986559</v>
      </c>
      <c r="K19" s="41">
        <f>J19</f>
        <v>7.7726813031986559</v>
      </c>
    </row>
    <row r="20" spans="1:11" x14ac:dyDescent="0.3">
      <c r="A20" s="4" t="s">
        <v>161</v>
      </c>
      <c r="C20" s="6">
        <f t="shared" ref="C20:K20" si="2">C14+C16+C18</f>
        <v>132872</v>
      </c>
      <c r="D20" s="6">
        <f t="shared" si="2"/>
        <v>129501</v>
      </c>
      <c r="E20" s="6">
        <f t="shared" si="2"/>
        <v>155513</v>
      </c>
      <c r="F20" s="6">
        <f t="shared" si="2"/>
        <v>145302</v>
      </c>
      <c r="G20" s="6">
        <f t="shared" si="2"/>
        <v>152001.8412875084</v>
      </c>
      <c r="H20" s="6">
        <f t="shared" si="2"/>
        <v>162857.66378176422</v>
      </c>
      <c r="I20" s="6">
        <f t="shared" si="2"/>
        <v>171814.83528976122</v>
      </c>
      <c r="J20" s="6">
        <f t="shared" si="2"/>
        <v>180405.5770542493</v>
      </c>
      <c r="K20" s="6">
        <f t="shared" si="2"/>
        <v>188523.82802169045</v>
      </c>
    </row>
    <row r="22" spans="1:11" x14ac:dyDescent="0.3">
      <c r="A22" s="4" t="s">
        <v>162</v>
      </c>
      <c r="C22" s="6">
        <f t="shared" ref="C22:K22" si="3">C12-C20</f>
        <v>-45771</v>
      </c>
      <c r="D22" s="6">
        <f t="shared" si="3"/>
        <v>-47490</v>
      </c>
      <c r="E22" s="6">
        <f t="shared" si="3"/>
        <v>-67697</v>
      </c>
      <c r="F22" s="6">
        <f t="shared" si="3"/>
        <v>-52042</v>
      </c>
      <c r="G22" s="6">
        <f t="shared" si="3"/>
        <v>-49114.374105708324</v>
      </c>
      <c r="H22" s="6">
        <f t="shared" si="3"/>
        <v>-52789.826439665121</v>
      </c>
      <c r="I22" s="6">
        <f t="shared" si="3"/>
        <v>-55693.266893846696</v>
      </c>
      <c r="J22" s="6">
        <f t="shared" si="3"/>
        <v>-58477.930238539018</v>
      </c>
      <c r="K22" s="6">
        <f t="shared" si="3"/>
        <v>-61109.437099273229</v>
      </c>
    </row>
    <row r="23" spans="1:11" x14ac:dyDescent="0.3">
      <c r="A23" s="10" t="s">
        <v>163</v>
      </c>
      <c r="D23" s="12">
        <f t="shared" ref="D23:K23" si="4">-(D22-C22)</f>
        <v>1719</v>
      </c>
      <c r="E23" s="12">
        <f t="shared" si="4"/>
        <v>20207</v>
      </c>
      <c r="F23" s="12">
        <f t="shared" si="4"/>
        <v>-15655</v>
      </c>
      <c r="G23" s="12">
        <f t="shared" si="4"/>
        <v>-2927.6258942916756</v>
      </c>
      <c r="H23" s="12">
        <f t="shared" si="4"/>
        <v>3675.4523339567968</v>
      </c>
      <c r="I23" s="12">
        <f t="shared" si="4"/>
        <v>2903.4404541815748</v>
      </c>
      <c r="J23" s="12">
        <f t="shared" si="4"/>
        <v>2784.6633446923224</v>
      </c>
      <c r="K23" s="12">
        <f t="shared" si="4"/>
        <v>2631.5068607342109</v>
      </c>
    </row>
    <row r="25" spans="1:11" x14ac:dyDescent="0.3">
      <c r="A25" s="10" t="s">
        <v>164</v>
      </c>
      <c r="G25" s="43" t="str">
        <f>IF(ABS(G23-'C.S'!G14)&lt;0.5,"Y","N")</f>
        <v>Y</v>
      </c>
      <c r="H25" s="43" t="str">
        <f>IF(ABS(H23-'C.S'!H14)&lt;0.5,"Y","N")</f>
        <v>Y</v>
      </c>
      <c r="I25" s="43" t="str">
        <f>IF(ABS(I23-'C.S'!I14)&lt;0.5,"Y","N")</f>
        <v>Y</v>
      </c>
      <c r="J25" s="43" t="str">
        <f>IF(ABS(J23-'C.S'!J14)&lt;0.5,"Y","N")</f>
        <v>Y</v>
      </c>
      <c r="K25" s="43" t="str">
        <f>IF(ABS(K23-'C.S'!K14)&lt;0.5,"Y","N")</f>
        <v>Y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9" sqref="I19"/>
    </sheetView>
  </sheetViews>
  <sheetFormatPr defaultColWidth="8.6640625" defaultRowHeight="14.4" x14ac:dyDescent="0.3"/>
  <cols>
    <col min="1" max="1" width="44" customWidth="1"/>
    <col min="2" max="16" width="12.44140625" customWidth="1"/>
  </cols>
  <sheetData>
    <row r="1" spans="1:13" x14ac:dyDescent="0.3">
      <c r="A1" s="4" t="s">
        <v>165</v>
      </c>
    </row>
    <row r="2" spans="1:13" x14ac:dyDescent="0.3">
      <c r="D2" s="4" t="s">
        <v>166</v>
      </c>
      <c r="I2" s="4" t="s">
        <v>167</v>
      </c>
    </row>
    <row r="3" spans="1:13" x14ac:dyDescent="0.3">
      <c r="A3" s="1" t="s">
        <v>168</v>
      </c>
      <c r="D3" s="2">
        <v>2021</v>
      </c>
      <c r="E3" s="2">
        <f t="shared" ref="E3:M3" si="0">D3+1</f>
        <v>2022</v>
      </c>
      <c r="F3" s="2">
        <f t="shared" si="0"/>
        <v>2023</v>
      </c>
      <c r="G3" s="2">
        <f t="shared" si="0"/>
        <v>2024</v>
      </c>
      <c r="H3" s="2">
        <f t="shared" si="0"/>
        <v>2025</v>
      </c>
      <c r="I3" s="3">
        <f t="shared" si="0"/>
        <v>2026</v>
      </c>
      <c r="J3" s="3">
        <f t="shared" si="0"/>
        <v>2027</v>
      </c>
      <c r="K3" s="3">
        <f t="shared" si="0"/>
        <v>2028</v>
      </c>
      <c r="L3" s="3">
        <f t="shared" si="0"/>
        <v>2029</v>
      </c>
      <c r="M3" s="3">
        <f t="shared" si="0"/>
        <v>2030</v>
      </c>
    </row>
    <row r="4" spans="1:13" x14ac:dyDescent="0.3">
      <c r="A4" s="10" t="s">
        <v>169</v>
      </c>
      <c r="I4" s="13">
        <f>B.S!E13</f>
        <v>49834</v>
      </c>
    </row>
    <row r="5" spans="1:13" x14ac:dyDescent="0.3">
      <c r="A5" s="10" t="s">
        <v>93</v>
      </c>
      <c r="I5" s="13">
        <f>-'C.S'!G18</f>
        <v>13353.774167999998</v>
      </c>
      <c r="J5" s="13">
        <f>-'C.S'!H18</f>
        <v>15166.072090799998</v>
      </c>
      <c r="K5" s="13">
        <f>-'C.S'!I18</f>
        <v>16000.206055793997</v>
      </c>
      <c r="L5" s="13">
        <f>-'C.S'!J18</f>
        <v>16800.216358583697</v>
      </c>
      <c r="M5" s="13">
        <f>-'C.S'!K18</f>
        <v>17556.226094719961</v>
      </c>
    </row>
    <row r="6" spans="1:13" x14ac:dyDescent="0.3">
      <c r="A6" s="10" t="s">
        <v>3</v>
      </c>
      <c r="J6" s="7">
        <f>J5/I5-1</f>
        <v>0.13571428571428568</v>
      </c>
      <c r="K6" s="7">
        <f>K5/J5-1</f>
        <v>5.4999999999999938E-2</v>
      </c>
      <c r="L6" s="7">
        <f>L5/K5-1</f>
        <v>5.0000000000000044E-2</v>
      </c>
      <c r="M6" s="7">
        <f>M5/L5-1</f>
        <v>4.4999999999999929E-2</v>
      </c>
    </row>
    <row r="8" spans="1:13" x14ac:dyDescent="0.3">
      <c r="A8" s="4" t="s">
        <v>170</v>
      </c>
    </row>
    <row r="9" spans="1:13" x14ac:dyDescent="0.3">
      <c r="A9" s="10" t="s">
        <v>171</v>
      </c>
    </row>
    <row r="10" spans="1:13" x14ac:dyDescent="0.3">
      <c r="A10" s="10" t="s">
        <v>172</v>
      </c>
      <c r="I10" s="42">
        <v>5</v>
      </c>
    </row>
    <row r="11" spans="1:13" x14ac:dyDescent="0.3">
      <c r="A11" s="10" t="s">
        <v>173</v>
      </c>
      <c r="I11" s="42">
        <v>9</v>
      </c>
      <c r="J11" s="44">
        <v>9</v>
      </c>
      <c r="K11" s="44">
        <v>9</v>
      </c>
      <c r="L11" s="44">
        <v>9</v>
      </c>
      <c r="M11" s="44">
        <v>9</v>
      </c>
    </row>
    <row r="12" spans="1:13" x14ac:dyDescent="0.3">
      <c r="A12" s="4" t="s">
        <v>174</v>
      </c>
    </row>
    <row r="13" spans="1:13" x14ac:dyDescent="0.3">
      <c r="A13" s="10" t="s">
        <v>175</v>
      </c>
      <c r="I13" s="12">
        <f>$I$4/$I$10</f>
        <v>9966.7999999999993</v>
      </c>
      <c r="J13" s="12">
        <f>$I$4/$I$10</f>
        <v>9966.7999999999993</v>
      </c>
      <c r="K13" s="12">
        <f>$I$4/$I$10</f>
        <v>9966.7999999999993</v>
      </c>
      <c r="L13" s="12">
        <f>$I$4/$I$10</f>
        <v>9966.7999999999993</v>
      </c>
      <c r="M13" s="12">
        <f>$I$4/$I$10</f>
        <v>9966.7999999999993</v>
      </c>
    </row>
    <row r="14" spans="1:13" x14ac:dyDescent="0.3">
      <c r="A14" s="10" t="s">
        <v>176</v>
      </c>
      <c r="I14" s="12">
        <f>$I$5/$I$11</f>
        <v>1483.7526853333331</v>
      </c>
      <c r="J14" s="12">
        <f>$I$5/$I$11</f>
        <v>1483.7526853333331</v>
      </c>
      <c r="K14" s="12">
        <f>$I$5/$I$11</f>
        <v>1483.7526853333331</v>
      </c>
      <c r="L14" s="12">
        <f>$I$5/$I$11</f>
        <v>1483.7526853333331</v>
      </c>
      <c r="M14" s="12">
        <f>$I$5/$I$11</f>
        <v>1483.7526853333331</v>
      </c>
    </row>
    <row r="15" spans="1:13" x14ac:dyDescent="0.3">
      <c r="A15" s="10" t="s">
        <v>177</v>
      </c>
      <c r="J15" s="12">
        <f>$J$5/$J$11</f>
        <v>1685.1191211999999</v>
      </c>
      <c r="K15" s="12">
        <f>$J$5/$J$11</f>
        <v>1685.1191211999999</v>
      </c>
      <c r="L15" s="12">
        <f>$J$5/$J$11</f>
        <v>1685.1191211999999</v>
      </c>
      <c r="M15" s="12">
        <f>$J$5/$J$11</f>
        <v>1685.1191211999999</v>
      </c>
    </row>
    <row r="16" spans="1:13" x14ac:dyDescent="0.3">
      <c r="A16" s="10" t="s">
        <v>178</v>
      </c>
      <c r="K16" s="12">
        <f>$K$5/$K$11</f>
        <v>1777.8006728659996</v>
      </c>
      <c r="L16" s="12">
        <f>$K$5/$K$11</f>
        <v>1777.8006728659996</v>
      </c>
      <c r="M16" s="12">
        <f>$K$5/$K$11</f>
        <v>1777.8006728659996</v>
      </c>
    </row>
    <row r="17" spans="1:13" x14ac:dyDescent="0.3">
      <c r="A17" s="10" t="s">
        <v>179</v>
      </c>
      <c r="L17" s="12">
        <f>$L$5/$L$11</f>
        <v>1866.6907065092996</v>
      </c>
      <c r="M17" s="12">
        <f>$L$5/$L$11</f>
        <v>1866.6907065092996</v>
      </c>
    </row>
    <row r="18" spans="1:13" x14ac:dyDescent="0.3">
      <c r="A18" s="10" t="s">
        <v>180</v>
      </c>
      <c r="M18" s="12">
        <f>$M$5/$M$11</f>
        <v>1950.6917883022179</v>
      </c>
    </row>
    <row r="19" spans="1:13" x14ac:dyDescent="0.3">
      <c r="A19" s="4" t="s">
        <v>181</v>
      </c>
      <c r="D19" s="13">
        <f>'C.S'!B4</f>
        <v>11284</v>
      </c>
      <c r="E19" s="13">
        <f>'C.S'!C4</f>
        <v>11104</v>
      </c>
      <c r="F19" s="13">
        <f>'C.S'!D4</f>
        <v>11519</v>
      </c>
      <c r="G19" s="13">
        <f>'C.S'!E4</f>
        <v>11445</v>
      </c>
      <c r="H19" s="13">
        <f>'C.S'!F4</f>
        <v>11698</v>
      </c>
      <c r="I19" s="6">
        <f>SUM(I13:I18)</f>
        <v>11450.552685333332</v>
      </c>
      <c r="J19" s="6">
        <f>SUM(J13:J18)</f>
        <v>13135.671806533332</v>
      </c>
      <c r="K19" s="6">
        <f>SUM(K13:K18)</f>
        <v>14913.472479399332</v>
      </c>
      <c r="L19" s="6">
        <f>SUM(L13:L18)</f>
        <v>16780.16318590863</v>
      </c>
      <c r="M19" s="6">
        <f>SUM(M13:M18)</f>
        <v>18730.854974210848</v>
      </c>
    </row>
    <row r="20" spans="1:13" x14ac:dyDescent="0.3">
      <c r="A20" s="8" t="s">
        <v>3</v>
      </c>
      <c r="E20" s="7">
        <f t="shared" ref="E20:M20" si="1">E19/D19-1</f>
        <v>-1.595179014533854E-2</v>
      </c>
      <c r="F20" s="7">
        <f t="shared" si="1"/>
        <v>3.7373919308357317E-2</v>
      </c>
      <c r="G20" s="7">
        <f t="shared" si="1"/>
        <v>-6.4241687646496848E-3</v>
      </c>
      <c r="H20" s="7">
        <f t="shared" si="1"/>
        <v>2.2105723023154278E-2</v>
      </c>
      <c r="I20" s="7">
        <f t="shared" si="1"/>
        <v>-2.1152959024334783E-2</v>
      </c>
      <c r="J20" s="7">
        <f t="shared" si="1"/>
        <v>0.14716487208153861</v>
      </c>
      <c r="K20" s="7">
        <f t="shared" si="1"/>
        <v>0.13534143506704921</v>
      </c>
      <c r="L20" s="7">
        <f t="shared" si="1"/>
        <v>0.1251680793381853</v>
      </c>
      <c r="M20" s="7">
        <f t="shared" si="1"/>
        <v>0.1162498699619523</v>
      </c>
    </row>
    <row r="22" spans="1:13" x14ac:dyDescent="0.3">
      <c r="A22" s="4" t="s">
        <v>182</v>
      </c>
    </row>
    <row r="23" spans="1:13" x14ac:dyDescent="0.3">
      <c r="A23" s="10" t="s">
        <v>175</v>
      </c>
      <c r="I23" s="45">
        <v>0.2</v>
      </c>
      <c r="J23" s="45">
        <v>0.2</v>
      </c>
      <c r="K23" s="45">
        <v>0.2</v>
      </c>
      <c r="L23" s="45">
        <v>0.2</v>
      </c>
      <c r="M23" s="45">
        <v>0.2</v>
      </c>
    </row>
    <row r="24" spans="1:13" x14ac:dyDescent="0.3">
      <c r="A24" s="10" t="s">
        <v>176</v>
      </c>
      <c r="I24" s="45">
        <v>0.1429</v>
      </c>
      <c r="J24" s="45">
        <v>0.24490000000000001</v>
      </c>
      <c r="K24" s="45">
        <v>0.1749</v>
      </c>
      <c r="L24" s="45">
        <v>0.1249</v>
      </c>
      <c r="M24" s="45">
        <v>8.9300000000000004E-2</v>
      </c>
    </row>
    <row r="25" spans="1:13" x14ac:dyDescent="0.3">
      <c r="A25" s="10" t="s">
        <v>177</v>
      </c>
      <c r="J25" s="45">
        <v>0.1429</v>
      </c>
      <c r="K25" s="45">
        <v>0.24490000000000001</v>
      </c>
      <c r="L25" s="45">
        <v>0.1749</v>
      </c>
      <c r="M25" s="45">
        <v>0.1249</v>
      </c>
    </row>
    <row r="26" spans="1:13" x14ac:dyDescent="0.3">
      <c r="A26" s="10" t="s">
        <v>178</v>
      </c>
      <c r="K26" s="45">
        <v>0.1429</v>
      </c>
      <c r="L26" s="45">
        <v>0.24490000000000001</v>
      </c>
      <c r="M26" s="45">
        <v>0.1749</v>
      </c>
    </row>
    <row r="27" spans="1:13" x14ac:dyDescent="0.3">
      <c r="A27" s="10" t="s">
        <v>179</v>
      </c>
      <c r="L27" s="45">
        <v>0.1429</v>
      </c>
      <c r="M27" s="45">
        <v>0.24490000000000001</v>
      </c>
    </row>
    <row r="28" spans="1:13" x14ac:dyDescent="0.3">
      <c r="A28" s="10" t="s">
        <v>180</v>
      </c>
      <c r="M28" s="45">
        <v>0.1429</v>
      </c>
    </row>
    <row r="30" spans="1:13" x14ac:dyDescent="0.3">
      <c r="A30" s="4" t="s">
        <v>183</v>
      </c>
    </row>
    <row r="31" spans="1:13" x14ac:dyDescent="0.3">
      <c r="A31" s="10" t="s">
        <v>175</v>
      </c>
      <c r="I31" s="12">
        <f>$I$4*I23</f>
        <v>9966.8000000000011</v>
      </c>
      <c r="J31" s="12">
        <f>$I$4*J23</f>
        <v>9966.8000000000011</v>
      </c>
      <c r="K31" s="12">
        <f>$I$4*K23</f>
        <v>9966.8000000000011</v>
      </c>
      <c r="L31" s="12">
        <f>$I$4*L23</f>
        <v>9966.8000000000011</v>
      </c>
      <c r="M31" s="12">
        <f>$I$4*M23</f>
        <v>9966.8000000000011</v>
      </c>
    </row>
    <row r="32" spans="1:13" x14ac:dyDescent="0.3">
      <c r="A32" s="10" t="s">
        <v>176</v>
      </c>
      <c r="I32" s="12">
        <f>$I$5*I24</f>
        <v>1908.2543286071998</v>
      </c>
      <c r="J32" s="12">
        <f>$I$5*J24</f>
        <v>3270.3392937431995</v>
      </c>
      <c r="K32" s="12">
        <f>$I$5*K24</f>
        <v>2335.5751019831996</v>
      </c>
      <c r="L32" s="12">
        <f>$I$5*L24</f>
        <v>1667.8863935831998</v>
      </c>
      <c r="M32" s="12">
        <f>$I$5*M24</f>
        <v>1192.4920332023999</v>
      </c>
    </row>
    <row r="33" spans="1:13" x14ac:dyDescent="0.3">
      <c r="A33" s="10" t="s">
        <v>177</v>
      </c>
      <c r="J33" s="12">
        <f>$J$5*J25</f>
        <v>2167.2317017753198</v>
      </c>
      <c r="K33" s="12">
        <f>$J$5*K25</f>
        <v>3714.1710550369198</v>
      </c>
      <c r="L33" s="12">
        <f>$J$5*L25</f>
        <v>2652.5460086809198</v>
      </c>
      <c r="M33" s="12">
        <f>$J$5*M25</f>
        <v>1894.2424041409197</v>
      </c>
    </row>
    <row r="34" spans="1:13" x14ac:dyDescent="0.3">
      <c r="A34" s="10" t="s">
        <v>178</v>
      </c>
      <c r="K34" s="12">
        <f>$K$5*K26</f>
        <v>2286.4294453729622</v>
      </c>
      <c r="L34" s="12">
        <f>$K$5*L26</f>
        <v>3918.4504630639499</v>
      </c>
      <c r="M34" s="12">
        <f>$K$5*M26</f>
        <v>2798.43603915837</v>
      </c>
    </row>
    <row r="35" spans="1:13" x14ac:dyDescent="0.3">
      <c r="A35" s="10" t="s">
        <v>179</v>
      </c>
      <c r="L35" s="12">
        <f>$L$5*L27</f>
        <v>2400.7509176416102</v>
      </c>
      <c r="M35" s="12">
        <f>$L$5*M27</f>
        <v>4114.3729862171476</v>
      </c>
    </row>
    <row r="36" spans="1:13" x14ac:dyDescent="0.3">
      <c r="A36" s="10" t="s">
        <v>180</v>
      </c>
      <c r="M36" s="12">
        <f>$M$5*M28</f>
        <v>2508.7847089354823</v>
      </c>
    </row>
    <row r="37" spans="1:13" x14ac:dyDescent="0.3">
      <c r="A37" s="4" t="s">
        <v>184</v>
      </c>
      <c r="I37" s="6">
        <f>SUM(I31:I36)</f>
        <v>11875.054328607201</v>
      </c>
      <c r="J37" s="6">
        <f>SUM(J31:J36)</f>
        <v>15404.37099551852</v>
      </c>
      <c r="K37" s="6">
        <f>SUM(K31:K36)</f>
        <v>18302.975602393086</v>
      </c>
      <c r="L37" s="6">
        <f>SUM(L31:L36)</f>
        <v>20606.433782969681</v>
      </c>
      <c r="M37" s="6">
        <f>SUM(M31:M36)</f>
        <v>22475.128171654324</v>
      </c>
    </row>
    <row r="38" spans="1:13" x14ac:dyDescent="0.3">
      <c r="A38" s="10" t="s">
        <v>185</v>
      </c>
      <c r="I38" s="12">
        <f>I37-I19</f>
        <v>424.50164327386847</v>
      </c>
      <c r="J38" s="12">
        <f>J37-J19</f>
        <v>2268.6991889851888</v>
      </c>
      <c r="K38" s="12">
        <f>K37-K19</f>
        <v>3389.503122993754</v>
      </c>
      <c r="L38" s="12">
        <f>L37-L19</f>
        <v>3826.2705970610514</v>
      </c>
      <c r="M38" s="12">
        <f>M37-M19</f>
        <v>3744.2731974434755</v>
      </c>
    </row>
    <row r="39" spans="1:13" x14ac:dyDescent="0.3">
      <c r="A39" s="10" t="s">
        <v>186</v>
      </c>
      <c r="I39" s="15">
        <f>I.S!G28</f>
        <v>0.17</v>
      </c>
      <c r="J39" s="15">
        <f>I.S!H28</f>
        <v>0.17</v>
      </c>
      <c r="K39" s="15">
        <f>I.S!I28</f>
        <v>0.17</v>
      </c>
      <c r="L39" s="15">
        <f>I.S!J28</f>
        <v>0.17</v>
      </c>
      <c r="M39" s="15">
        <f>I.S!K28</f>
        <v>0.17</v>
      </c>
    </row>
    <row r="40" spans="1:13" x14ac:dyDescent="0.3">
      <c r="A40" s="4" t="s">
        <v>187</v>
      </c>
      <c r="I40" s="6">
        <f>I38*I39</f>
        <v>72.165279356557647</v>
      </c>
      <c r="J40" s="6">
        <f>J38*J39</f>
        <v>385.67886212748215</v>
      </c>
      <c r="K40" s="6">
        <f>K38*K39</f>
        <v>576.21553090893826</v>
      </c>
      <c r="L40" s="6">
        <f>L38*L39</f>
        <v>650.46600150037875</v>
      </c>
      <c r="M40" s="6">
        <f>M38*M39</f>
        <v>636.52644356539088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3"/>
  <sheetViews>
    <sheetView showGridLines="0" zoomScaleNormal="100" workbookViewId="0">
      <pane xSplit="1" ySplit="3" topLeftCell="B16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58" customWidth="1"/>
    <col min="2" max="16" width="12.44140625" customWidth="1"/>
  </cols>
  <sheetData>
    <row r="1" spans="1:11" x14ac:dyDescent="0.3">
      <c r="A1" s="4" t="s">
        <v>188</v>
      </c>
    </row>
    <row r="2" spans="1:11" x14ac:dyDescent="0.3">
      <c r="B2" s="4" t="s">
        <v>189</v>
      </c>
      <c r="G2" s="4" t="s">
        <v>167</v>
      </c>
    </row>
    <row r="3" spans="1:11" x14ac:dyDescent="0.3">
      <c r="A3" s="1" t="s">
        <v>154</v>
      </c>
      <c r="B3" s="2">
        <v>2021</v>
      </c>
      <c r="C3" s="2">
        <f t="shared" ref="C3:K3" si="0">B3+1</f>
        <v>2022</v>
      </c>
      <c r="D3" s="2">
        <f t="shared" si="0"/>
        <v>2023</v>
      </c>
      <c r="E3" s="2">
        <f t="shared" si="0"/>
        <v>2024</v>
      </c>
      <c r="F3" s="2">
        <f t="shared" si="0"/>
        <v>2025</v>
      </c>
      <c r="G3" s="3">
        <f t="shared" si="0"/>
        <v>2026</v>
      </c>
      <c r="H3" s="3">
        <f t="shared" si="0"/>
        <v>2027</v>
      </c>
      <c r="I3" s="3">
        <f t="shared" si="0"/>
        <v>2028</v>
      </c>
      <c r="J3" s="3">
        <f t="shared" si="0"/>
        <v>2029</v>
      </c>
      <c r="K3" s="3">
        <f t="shared" si="0"/>
        <v>2030</v>
      </c>
    </row>
    <row r="5" spans="1:11" x14ac:dyDescent="0.3">
      <c r="A5" s="4" t="s">
        <v>190</v>
      </c>
    </row>
    <row r="6" spans="1:11" x14ac:dyDescent="0.3">
      <c r="A6" s="10" t="s">
        <v>191</v>
      </c>
      <c r="G6" s="12">
        <f>F29</f>
        <v>35934</v>
      </c>
      <c r="H6" s="12">
        <f>G29</f>
        <v>31597.503133483813</v>
      </c>
      <c r="I6" s="12">
        <f>H29</f>
        <v>37698.285511800059</v>
      </c>
      <c r="J6" s="12">
        <f>I29</f>
        <v>44688.3379595156</v>
      </c>
      <c r="K6" s="12">
        <f>J29</f>
        <v>52602.79239484077</v>
      </c>
    </row>
    <row r="7" spans="1:11" x14ac:dyDescent="0.3">
      <c r="A7" s="10" t="s">
        <v>57</v>
      </c>
      <c r="G7" s="13">
        <f>'C.S'!G41</f>
        <v>13992.503133483813</v>
      </c>
      <c r="H7" s="13">
        <f>'C.S'!H41</f>
        <v>15100.782378316246</v>
      </c>
      <c r="I7" s="13">
        <f>'C.S'!I41</f>
        <v>15990.052447715541</v>
      </c>
      <c r="J7" s="13">
        <f>'C.S'!J41</f>
        <v>16914.454435325169</v>
      </c>
      <c r="K7" s="13">
        <f>'C.S'!K41</f>
        <v>17799.011507408577</v>
      </c>
    </row>
    <row r="8" spans="1:11" x14ac:dyDescent="0.3">
      <c r="A8" s="10" t="s">
        <v>192</v>
      </c>
      <c r="G8" s="11">
        <v>-20000</v>
      </c>
      <c r="H8" s="11">
        <v>-20000</v>
      </c>
      <c r="I8" s="11">
        <v>-20000</v>
      </c>
      <c r="J8" s="11">
        <v>-20000</v>
      </c>
      <c r="K8" s="11">
        <v>-20000</v>
      </c>
    </row>
    <row r="9" spans="1:11" x14ac:dyDescent="0.3">
      <c r="A9" s="4" t="s">
        <v>193</v>
      </c>
      <c r="G9" s="6">
        <f>SUM(G6:G8)</f>
        <v>29926.503133483813</v>
      </c>
      <c r="H9" s="6">
        <f>SUM(H6:H8)</f>
        <v>26698.285511800059</v>
      </c>
      <c r="I9" s="6">
        <f>SUM(I6:I8)</f>
        <v>33688.3379595156</v>
      </c>
      <c r="J9" s="6">
        <f>SUM(J6:J8)</f>
        <v>41602.79239484077</v>
      </c>
      <c r="K9" s="6">
        <f>SUM(K6:K8)</f>
        <v>50401.803902249347</v>
      </c>
    </row>
    <row r="11" spans="1:11" x14ac:dyDescent="0.3">
      <c r="A11" s="4" t="s">
        <v>76</v>
      </c>
    </row>
    <row r="12" spans="1:11" x14ac:dyDescent="0.3">
      <c r="A12" s="10" t="s">
        <v>194</v>
      </c>
      <c r="G12" s="12">
        <f>F15</f>
        <v>7979</v>
      </c>
      <c r="H12" s="12">
        <f>G15</f>
        <v>2000</v>
      </c>
      <c r="I12" s="12">
        <f>H15</f>
        <v>2000</v>
      </c>
      <c r="J12" s="12">
        <f>I15</f>
        <v>2000</v>
      </c>
      <c r="K12" s="12">
        <f>J15</f>
        <v>2000</v>
      </c>
    </row>
    <row r="13" spans="1:11" x14ac:dyDescent="0.3">
      <c r="A13" s="10" t="s">
        <v>195</v>
      </c>
      <c r="G13" s="11">
        <v>-5979</v>
      </c>
      <c r="H13" s="11">
        <v>0</v>
      </c>
      <c r="I13" s="11">
        <v>0</v>
      </c>
      <c r="J13" s="11">
        <v>0</v>
      </c>
      <c r="K13" s="11">
        <v>0</v>
      </c>
    </row>
    <row r="14" spans="1:11" x14ac:dyDescent="0.3">
      <c r="A14" s="10" t="s">
        <v>196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</row>
    <row r="15" spans="1:11" x14ac:dyDescent="0.3">
      <c r="A15" s="4" t="s">
        <v>197</v>
      </c>
      <c r="F15" s="13">
        <f>B.S!E22</f>
        <v>7979</v>
      </c>
      <c r="G15" s="6">
        <f>SUM(G12:G14)</f>
        <v>2000</v>
      </c>
      <c r="H15" s="6">
        <f>SUM(H12:H14)</f>
        <v>2000</v>
      </c>
      <c r="I15" s="6">
        <f>SUM(I12:I14)</f>
        <v>2000</v>
      </c>
      <c r="J15" s="6">
        <f>SUM(J12:J14)</f>
        <v>2000</v>
      </c>
      <c r="K15" s="6">
        <f>SUM(K12:K14)</f>
        <v>2000</v>
      </c>
    </row>
    <row r="16" spans="1:11" x14ac:dyDescent="0.3">
      <c r="A16" s="10" t="s">
        <v>198</v>
      </c>
      <c r="G16" s="12">
        <f>AVERAGE(F15:G15)*G17</f>
        <v>224.5275</v>
      </c>
      <c r="H16" s="12">
        <f>AVERAGE(G15:H15)*H17</f>
        <v>90</v>
      </c>
      <c r="I16" s="12">
        <f>AVERAGE(H15:I15)*I17</f>
        <v>90</v>
      </c>
      <c r="J16" s="12">
        <f>AVERAGE(I15:J15)*J17</f>
        <v>90</v>
      </c>
      <c r="K16" s="12">
        <f>AVERAGE(J15:K15)*K17</f>
        <v>90</v>
      </c>
    </row>
    <row r="17" spans="1:11" x14ac:dyDescent="0.3">
      <c r="A17" s="10" t="s">
        <v>199</v>
      </c>
      <c r="G17" s="45">
        <v>4.4999999999999998E-2</v>
      </c>
      <c r="H17" s="45">
        <v>4.4999999999999998E-2</v>
      </c>
      <c r="I17" s="45">
        <v>4.4999999999999998E-2</v>
      </c>
      <c r="J17" s="45">
        <v>4.4999999999999998E-2</v>
      </c>
      <c r="K17" s="45">
        <v>4.4999999999999998E-2</v>
      </c>
    </row>
    <row r="19" spans="1:11" x14ac:dyDescent="0.3">
      <c r="A19" s="4" t="s">
        <v>77</v>
      </c>
    </row>
    <row r="20" spans="1:11" x14ac:dyDescent="0.3">
      <c r="A20" s="10" t="s">
        <v>200</v>
      </c>
      <c r="G20" s="12">
        <f>F23</f>
        <v>90678</v>
      </c>
      <c r="H20" s="12">
        <f>G23</f>
        <v>78328</v>
      </c>
      <c r="I20" s="12">
        <f>H23</f>
        <v>69328</v>
      </c>
      <c r="J20" s="12">
        <f>I23</f>
        <v>60328</v>
      </c>
      <c r="K20" s="12">
        <f>J23</f>
        <v>51328</v>
      </c>
    </row>
    <row r="21" spans="1:11" x14ac:dyDescent="0.3">
      <c r="A21" s="10" t="s">
        <v>195</v>
      </c>
      <c r="G21" s="11">
        <v>-12350</v>
      </c>
      <c r="H21" s="11">
        <v>-9000</v>
      </c>
      <c r="I21" s="11">
        <v>-9000</v>
      </c>
      <c r="J21" s="11">
        <v>-9000</v>
      </c>
      <c r="K21" s="11">
        <v>-9000</v>
      </c>
    </row>
    <row r="22" spans="1:11" x14ac:dyDescent="0.3">
      <c r="A22" s="10" t="s">
        <v>196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</row>
    <row r="23" spans="1:11" x14ac:dyDescent="0.3">
      <c r="A23" s="4" t="s">
        <v>201</v>
      </c>
      <c r="F23" s="13">
        <f>B.S!E26</f>
        <v>90678</v>
      </c>
      <c r="G23" s="6">
        <f>SUM(G20:G22)</f>
        <v>78328</v>
      </c>
      <c r="H23" s="6">
        <f>SUM(H20:H22)</f>
        <v>69328</v>
      </c>
      <c r="I23" s="6">
        <f>SUM(I20:I22)</f>
        <v>60328</v>
      </c>
      <c r="J23" s="6">
        <f>SUM(J20:J22)</f>
        <v>51328</v>
      </c>
      <c r="K23" s="6">
        <f>SUM(K20:K22)</f>
        <v>42328</v>
      </c>
    </row>
    <row r="24" spans="1:11" x14ac:dyDescent="0.3">
      <c r="A24" s="10" t="s">
        <v>202</v>
      </c>
      <c r="G24" s="12">
        <f>AVERAGE(F23:G23)*G25</f>
        <v>2788.5990000000002</v>
      </c>
      <c r="H24" s="12">
        <f>AVERAGE(G23:H23)*H25</f>
        <v>2436.3240000000001</v>
      </c>
      <c r="I24" s="12">
        <f>AVERAGE(H23:I23)*I25</f>
        <v>2139.3240000000001</v>
      </c>
      <c r="J24" s="12">
        <f>AVERAGE(I23:J23)*J25</f>
        <v>1842.3240000000001</v>
      </c>
      <c r="K24" s="12">
        <f>AVERAGE(J23:K23)*K25</f>
        <v>1545.3240000000001</v>
      </c>
    </row>
    <row r="25" spans="1:11" x14ac:dyDescent="0.3">
      <c r="A25" s="10" t="s">
        <v>203</v>
      </c>
      <c r="G25" s="45">
        <v>3.3000000000000002E-2</v>
      </c>
      <c r="H25" s="45">
        <v>3.3000000000000002E-2</v>
      </c>
      <c r="I25" s="45">
        <v>3.3000000000000002E-2</v>
      </c>
      <c r="J25" s="45">
        <v>3.3000000000000002E-2</v>
      </c>
      <c r="K25" s="45">
        <v>3.3000000000000002E-2</v>
      </c>
    </row>
    <row r="27" spans="1:11" x14ac:dyDescent="0.3">
      <c r="A27" s="10" t="s">
        <v>204</v>
      </c>
      <c r="G27" s="12">
        <f>G13+G14+G21+G22</f>
        <v>-18329</v>
      </c>
      <c r="H27" s="12">
        <f>H13+H14+H21+H22</f>
        <v>-9000</v>
      </c>
      <c r="I27" s="12">
        <f>I13+I14+I21+I22</f>
        <v>-9000</v>
      </c>
      <c r="J27" s="12">
        <f>J13+J14+J21+J22</f>
        <v>-9000</v>
      </c>
      <c r="K27" s="12">
        <f>K13+K14+K21+K22</f>
        <v>-9000</v>
      </c>
    </row>
    <row r="28" spans="1:11" x14ac:dyDescent="0.3">
      <c r="A28" s="10" t="s">
        <v>205</v>
      </c>
      <c r="G28" s="12">
        <f>G16+G24</f>
        <v>3013.1265000000003</v>
      </c>
      <c r="H28" s="12">
        <f>H16+H24</f>
        <v>2526.3240000000001</v>
      </c>
      <c r="I28" s="12">
        <f>I16+I24</f>
        <v>2229.3240000000001</v>
      </c>
      <c r="J28" s="12">
        <f>J16+J24</f>
        <v>1932.3240000000001</v>
      </c>
      <c r="K28" s="12">
        <f>K16+K24</f>
        <v>1635.3240000000001</v>
      </c>
    </row>
    <row r="29" spans="1:11" x14ac:dyDescent="0.3">
      <c r="A29" s="4" t="s">
        <v>206</v>
      </c>
      <c r="F29" s="13">
        <f>B.S!E3</f>
        <v>35934</v>
      </c>
      <c r="G29" s="6">
        <f>G6+G7+G27</f>
        <v>31597.503133483813</v>
      </c>
      <c r="H29" s="6">
        <f>H6+H7+H27</f>
        <v>37698.285511800059</v>
      </c>
      <c r="I29" s="6">
        <f>I6+I7+I27</f>
        <v>44688.3379595156</v>
      </c>
      <c r="J29" s="6">
        <f>J6+J7+J27</f>
        <v>52602.79239484077</v>
      </c>
      <c r="K29" s="6">
        <f>K6+K7+K27</f>
        <v>61401.803902249347</v>
      </c>
    </row>
    <row r="30" spans="1:11" x14ac:dyDescent="0.3">
      <c r="A30" s="10" t="s">
        <v>207</v>
      </c>
      <c r="G30" s="13">
        <f>(B.S!E3+B.S!E4+B.S!E12)*G31</f>
        <v>4237.4400000000005</v>
      </c>
      <c r="H30" s="13">
        <f>(B.S!F3+B.S!F4+B.S!F12)*H31</f>
        <v>4098.6721002714821</v>
      </c>
      <c r="I30" s="13">
        <f>(B.S!G3+B.S!G4+B.S!G12)*I31</f>
        <v>4293.8971363776018</v>
      </c>
      <c r="J30" s="13">
        <f>(B.S!H3+B.S!H4+B.S!H12)*J31</f>
        <v>4517.5788147044996</v>
      </c>
      <c r="K30" s="13">
        <f>(B.S!I3+B.S!I4+B.S!I12)*K31</f>
        <v>4770.8413566349045</v>
      </c>
    </row>
    <row r="31" spans="1:11" x14ac:dyDescent="0.3">
      <c r="A31" s="10" t="s">
        <v>208</v>
      </c>
      <c r="G31" s="24">
        <v>3.2000000000000001E-2</v>
      </c>
      <c r="H31" s="45">
        <v>3.2000000000000001E-2</v>
      </c>
      <c r="I31" s="45">
        <v>3.2000000000000001E-2</v>
      </c>
      <c r="J31" s="45">
        <v>3.2000000000000001E-2</v>
      </c>
      <c r="K31" s="45">
        <v>3.2000000000000001E-2</v>
      </c>
    </row>
    <row r="33" spans="1:11" x14ac:dyDescent="0.3">
      <c r="A33" s="10" t="s">
        <v>209</v>
      </c>
      <c r="G33" s="43" t="str">
        <f>IF(ABS(G29-B.S!F3)&lt;0.5,"Y","N")</f>
        <v>Y</v>
      </c>
      <c r="H33" s="43" t="str">
        <f>IF(ABS(H29-B.S!G3)&lt;0.5,"Y","N")</f>
        <v>Y</v>
      </c>
      <c r="I33" s="43" t="str">
        <f>IF(ABS(I29-B.S!H3)&lt;0.5,"Y","N")</f>
        <v>Y</v>
      </c>
      <c r="J33" s="43" t="str">
        <f>IF(ABS(J29-B.S!I3)&lt;0.5,"Y","N")</f>
        <v>Y</v>
      </c>
      <c r="K33" s="43" t="str">
        <f>IF(ABS(K29-B.S!J3)&lt;0.5,"Y","N")</f>
        <v>Y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I.S</vt:lpstr>
      <vt:lpstr>C.S</vt:lpstr>
      <vt:lpstr>B.S</vt:lpstr>
      <vt:lpstr>&gt;&gt;Valuation</vt:lpstr>
      <vt:lpstr>Working Capital Schedule</vt:lpstr>
      <vt:lpstr>Depreciation Schedule</vt:lpstr>
      <vt:lpstr>Debt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Simba Choga</cp:lastModifiedBy>
  <cp:revision>0</cp:revision>
  <dcterms:created xsi:type="dcterms:W3CDTF">2026-10-09T00:17:56Z</dcterms:created>
  <dcterms:modified xsi:type="dcterms:W3CDTF">2026-10-21T04:07:04Z</dcterms:modified>
  <dc:language>en-US</dc:language>
</cp:coreProperties>
</file>