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5170F592-539D-4FD8-B6E9-61A1A1293482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Vertical Analysis" sheetId="2" r:id="rId1"/>
    <sheet name="Horizontal Analysis" sheetId="1" r:id="rId2"/>
    <sheet name="Common Size" sheetId="5" r:id="rId3"/>
    <sheet name="Index Analysis" sheetId="4" r:id="rId4"/>
    <sheet name="Financial Analyst" sheetId="6" r:id="rId5"/>
    <sheet name="Investment Rati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0" i="7" l="1"/>
  <c r="Q71" i="7" l="1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91" i="7"/>
  <c r="B90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B88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P84" i="7"/>
  <c r="O84" i="7"/>
  <c r="N84" i="7"/>
  <c r="J84" i="7"/>
  <c r="I84" i="7"/>
  <c r="D84" i="7"/>
  <c r="C84" i="7"/>
  <c r="B84" i="7"/>
  <c r="P83" i="7"/>
  <c r="O83" i="7"/>
  <c r="N83" i="7"/>
  <c r="M83" i="7"/>
  <c r="I83" i="7"/>
  <c r="H83" i="7"/>
  <c r="G83" i="7"/>
  <c r="D83" i="7"/>
  <c r="C83" i="7"/>
  <c r="B83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Q66" i="7"/>
  <c r="Q84" i="7" s="1"/>
  <c r="P66" i="7"/>
  <c r="O66" i="7"/>
  <c r="N66" i="7"/>
  <c r="M66" i="7"/>
  <c r="M84" i="7" s="1"/>
  <c r="L66" i="7"/>
  <c r="L83" i="7" s="1"/>
  <c r="K66" i="7"/>
  <c r="K83" i="7" s="1"/>
  <c r="J66" i="7"/>
  <c r="J83" i="7" s="1"/>
  <c r="I66" i="7"/>
  <c r="H66" i="7"/>
  <c r="H84" i="7" s="1"/>
  <c r="G66" i="7"/>
  <c r="G84" i="7" s="1"/>
  <c r="F66" i="7"/>
  <c r="F84" i="7" s="1"/>
  <c r="E66" i="7"/>
  <c r="E84" i="7" s="1"/>
  <c r="D66" i="7"/>
  <c r="C66" i="7"/>
  <c r="B66" i="7"/>
  <c r="P60" i="7"/>
  <c r="P67" i="7" s="1"/>
  <c r="O60" i="7"/>
  <c r="O67" i="7" s="1"/>
  <c r="J60" i="7"/>
  <c r="J67" i="7" s="1"/>
  <c r="I60" i="7"/>
  <c r="I67" i="7" s="1"/>
  <c r="D60" i="7"/>
  <c r="D67" i="7" s="1"/>
  <c r="C60" i="7"/>
  <c r="C67" i="7" s="1"/>
  <c r="Q59" i="7"/>
  <c r="P59" i="7"/>
  <c r="O59" i="7"/>
  <c r="N59" i="7"/>
  <c r="N60" i="7" s="1"/>
  <c r="N67" i="7" s="1"/>
  <c r="M59" i="7"/>
  <c r="L59" i="7"/>
  <c r="K59" i="7"/>
  <c r="J59" i="7"/>
  <c r="I59" i="7"/>
  <c r="H59" i="7"/>
  <c r="G59" i="7"/>
  <c r="F59" i="7"/>
  <c r="E59" i="7"/>
  <c r="D59" i="7"/>
  <c r="C59" i="7"/>
  <c r="B59" i="7"/>
  <c r="B60" i="7" s="1"/>
  <c r="B67" i="7" s="1"/>
  <c r="Q54" i="7"/>
  <c r="Q60" i="7" s="1"/>
  <c r="Q67" i="7" s="1"/>
  <c r="P54" i="7"/>
  <c r="O54" i="7"/>
  <c r="N54" i="7"/>
  <c r="M54" i="7"/>
  <c r="M60" i="7" s="1"/>
  <c r="M67" i="7" s="1"/>
  <c r="L54" i="7"/>
  <c r="L60" i="7" s="1"/>
  <c r="L67" i="7" s="1"/>
  <c r="K54" i="7"/>
  <c r="K60" i="7" s="1"/>
  <c r="K67" i="7" s="1"/>
  <c r="J54" i="7"/>
  <c r="I54" i="7"/>
  <c r="H54" i="7"/>
  <c r="H60" i="7" s="1"/>
  <c r="H67" i="7" s="1"/>
  <c r="G54" i="7"/>
  <c r="G60" i="7" s="1"/>
  <c r="G67" i="7" s="1"/>
  <c r="F54" i="7"/>
  <c r="F60" i="7" s="1"/>
  <c r="F67" i="7" s="1"/>
  <c r="E54" i="7"/>
  <c r="E60" i="7" s="1"/>
  <c r="E67" i="7" s="1"/>
  <c r="D54" i="7"/>
  <c r="C54" i="7"/>
  <c r="B54" i="7"/>
  <c r="P45" i="7"/>
  <c r="P87" i="7" s="1"/>
  <c r="O45" i="7"/>
  <c r="O87" i="7" s="1"/>
  <c r="J45" i="7"/>
  <c r="J87" i="7" s="1"/>
  <c r="I45" i="7"/>
  <c r="I87" i="7" s="1"/>
  <c r="D45" i="7"/>
  <c r="D87" i="7" s="1"/>
  <c r="C45" i="7"/>
  <c r="C87" i="7" s="1"/>
  <c r="Q44" i="7"/>
  <c r="P44" i="7"/>
  <c r="O44" i="7"/>
  <c r="N44" i="7"/>
  <c r="N45" i="7" s="1"/>
  <c r="N87" i="7" s="1"/>
  <c r="M44" i="7"/>
  <c r="L44" i="7"/>
  <c r="K44" i="7"/>
  <c r="J44" i="7"/>
  <c r="I44" i="7"/>
  <c r="H44" i="7"/>
  <c r="G44" i="7"/>
  <c r="F44" i="7"/>
  <c r="E44" i="7"/>
  <c r="D44" i="7"/>
  <c r="C44" i="7"/>
  <c r="B44" i="7"/>
  <c r="B45" i="7" s="1"/>
  <c r="B87" i="7" s="1"/>
  <c r="Q36" i="7"/>
  <c r="Q45" i="7" s="1"/>
  <c r="Q87" i="7" s="1"/>
  <c r="P36" i="7"/>
  <c r="O36" i="7"/>
  <c r="N36" i="7"/>
  <c r="M36" i="7"/>
  <c r="M45" i="7" s="1"/>
  <c r="M87" i="7" s="1"/>
  <c r="L36" i="7"/>
  <c r="L45" i="7" s="1"/>
  <c r="L87" i="7" s="1"/>
  <c r="K36" i="7"/>
  <c r="K45" i="7" s="1"/>
  <c r="K87" i="7" s="1"/>
  <c r="J36" i="7"/>
  <c r="I36" i="7"/>
  <c r="H36" i="7"/>
  <c r="H45" i="7" s="1"/>
  <c r="H87" i="7" s="1"/>
  <c r="G36" i="7"/>
  <c r="G45" i="7" s="1"/>
  <c r="G87" i="7" s="1"/>
  <c r="F36" i="7"/>
  <c r="F45" i="7" s="1"/>
  <c r="F87" i="7" s="1"/>
  <c r="E36" i="7"/>
  <c r="E45" i="7" s="1"/>
  <c r="E87" i="7" s="1"/>
  <c r="D36" i="7"/>
  <c r="C36" i="7"/>
  <c r="B36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N11" i="7"/>
  <c r="N12" i="7" s="1"/>
  <c r="M11" i="7"/>
  <c r="M18" i="7" s="1"/>
  <c r="M20" i="7" s="1"/>
  <c r="H11" i="7"/>
  <c r="H12" i="7" s="1"/>
  <c r="G11" i="7"/>
  <c r="B11" i="7"/>
  <c r="B12" i="7" s="1"/>
  <c r="Q10" i="7"/>
  <c r="P10" i="7"/>
  <c r="O10" i="7"/>
  <c r="N10" i="7"/>
  <c r="M10" i="7"/>
  <c r="L10" i="7"/>
  <c r="K10" i="7"/>
  <c r="J10" i="7"/>
  <c r="I10" i="7"/>
  <c r="H10" i="7"/>
  <c r="G10" i="7"/>
  <c r="F10" i="7"/>
  <c r="F11" i="7" s="1"/>
  <c r="E10" i="7"/>
  <c r="D10" i="7"/>
  <c r="C10" i="7"/>
  <c r="B10" i="7"/>
  <c r="Q6" i="7"/>
  <c r="Q11" i="7" s="1"/>
  <c r="P6" i="7"/>
  <c r="P11" i="7" s="1"/>
  <c r="O6" i="7"/>
  <c r="O11" i="7" s="1"/>
  <c r="N6" i="7"/>
  <c r="M6" i="7"/>
  <c r="L6" i="7"/>
  <c r="L11" i="7" s="1"/>
  <c r="K6" i="7"/>
  <c r="K11" i="7" s="1"/>
  <c r="J6" i="7"/>
  <c r="J11" i="7" s="1"/>
  <c r="I6" i="7"/>
  <c r="I11" i="7" s="1"/>
  <c r="H6" i="7"/>
  <c r="G6" i="7"/>
  <c r="F6" i="7"/>
  <c r="E6" i="7"/>
  <c r="E11" i="7" s="1"/>
  <c r="D6" i="7"/>
  <c r="D11" i="7" s="1"/>
  <c r="C6" i="7"/>
  <c r="C11" i="7" s="1"/>
  <c r="B6" i="7"/>
  <c r="P106" i="6"/>
  <c r="O106" i="6"/>
  <c r="N106" i="6"/>
  <c r="K106" i="6"/>
  <c r="D106" i="6"/>
  <c r="C106" i="6"/>
  <c r="B106" i="6"/>
  <c r="P103" i="6"/>
  <c r="O103" i="6"/>
  <c r="N103" i="6"/>
  <c r="K103" i="6"/>
  <c r="D103" i="6"/>
  <c r="C103" i="6"/>
  <c r="B103" i="6"/>
  <c r="B98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P87" i="6"/>
  <c r="O87" i="6"/>
  <c r="F87" i="6"/>
  <c r="D87" i="6"/>
  <c r="C87" i="6"/>
  <c r="P85" i="6"/>
  <c r="O85" i="6"/>
  <c r="N85" i="6"/>
  <c r="K85" i="6"/>
  <c r="F85" i="6"/>
  <c r="D85" i="6"/>
  <c r="C85" i="6"/>
  <c r="B85" i="6"/>
  <c r="P84" i="6"/>
  <c r="O84" i="6"/>
  <c r="F84" i="6"/>
  <c r="D84" i="6"/>
  <c r="C84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B78" i="6"/>
  <c r="B77" i="6"/>
  <c r="J74" i="6"/>
  <c r="H74" i="6"/>
  <c r="G74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Q66" i="6"/>
  <c r="Q106" i="6" s="1"/>
  <c r="P66" i="6"/>
  <c r="O66" i="6"/>
  <c r="N66" i="6"/>
  <c r="M66" i="6"/>
  <c r="M106" i="6" s="1"/>
  <c r="L66" i="6"/>
  <c r="L106" i="6" s="1"/>
  <c r="K66" i="6"/>
  <c r="J66" i="6"/>
  <c r="J106" i="6" s="1"/>
  <c r="I66" i="6"/>
  <c r="I106" i="6" s="1"/>
  <c r="H66" i="6"/>
  <c r="H106" i="6" s="1"/>
  <c r="G66" i="6"/>
  <c r="G106" i="6" s="1"/>
  <c r="F66" i="6"/>
  <c r="F106" i="6" s="1"/>
  <c r="E66" i="6"/>
  <c r="E106" i="6" s="1"/>
  <c r="D66" i="6"/>
  <c r="C66" i="6"/>
  <c r="B66" i="6"/>
  <c r="Q60" i="6"/>
  <c r="Q102" i="6" s="1"/>
  <c r="N60" i="6"/>
  <c r="N102" i="6" s="1"/>
  <c r="L60" i="6"/>
  <c r="L102" i="6" s="1"/>
  <c r="K60" i="6"/>
  <c r="K102" i="6" s="1"/>
  <c r="E60" i="6"/>
  <c r="E102" i="6" s="1"/>
  <c r="B60" i="6"/>
  <c r="B102" i="6" s="1"/>
  <c r="Q59" i="6"/>
  <c r="P59" i="6"/>
  <c r="P60" i="6" s="1"/>
  <c r="O59" i="6"/>
  <c r="O60" i="6" s="1"/>
  <c r="N59" i="6"/>
  <c r="M59" i="6"/>
  <c r="L59" i="6"/>
  <c r="K59" i="6"/>
  <c r="J59" i="6"/>
  <c r="I59" i="6"/>
  <c r="I60" i="6" s="1"/>
  <c r="H59" i="6"/>
  <c r="G59" i="6"/>
  <c r="F59" i="6"/>
  <c r="F60" i="6" s="1"/>
  <c r="E59" i="6"/>
  <c r="D59" i="6"/>
  <c r="D60" i="6" s="1"/>
  <c r="C59" i="6"/>
  <c r="C60" i="6" s="1"/>
  <c r="B59" i="6"/>
  <c r="Q54" i="6"/>
  <c r="Q85" i="6" s="1"/>
  <c r="P54" i="6"/>
  <c r="P86" i="6" s="1"/>
  <c r="O54" i="6"/>
  <c r="O86" i="6" s="1"/>
  <c r="N54" i="6"/>
  <c r="N86" i="6" s="1"/>
  <c r="M54" i="6"/>
  <c r="M86" i="6" s="1"/>
  <c r="L54" i="6"/>
  <c r="L85" i="6" s="1"/>
  <c r="K54" i="6"/>
  <c r="K86" i="6" s="1"/>
  <c r="J54" i="6"/>
  <c r="J85" i="6" s="1"/>
  <c r="I54" i="6"/>
  <c r="I86" i="6" s="1"/>
  <c r="H54" i="6"/>
  <c r="H86" i="6" s="1"/>
  <c r="G54" i="6"/>
  <c r="G86" i="6" s="1"/>
  <c r="F54" i="6"/>
  <c r="F86" i="6" s="1"/>
  <c r="E54" i="6"/>
  <c r="E85" i="6" s="1"/>
  <c r="D54" i="6"/>
  <c r="D86" i="6" s="1"/>
  <c r="C54" i="6"/>
  <c r="C86" i="6" s="1"/>
  <c r="B54" i="6"/>
  <c r="B86" i="6" s="1"/>
  <c r="Q45" i="6"/>
  <c r="Q105" i="6" s="1"/>
  <c r="N45" i="6"/>
  <c r="N105" i="6" s="1"/>
  <c r="L45" i="6"/>
  <c r="K45" i="6"/>
  <c r="L98" i="6" s="1"/>
  <c r="E45" i="6"/>
  <c r="E105" i="6" s="1"/>
  <c r="B45" i="6"/>
  <c r="B105" i="6" s="1"/>
  <c r="Q44" i="6"/>
  <c r="P44" i="6"/>
  <c r="P45" i="6" s="1"/>
  <c r="O44" i="6"/>
  <c r="O45" i="6" s="1"/>
  <c r="N44" i="6"/>
  <c r="M44" i="6"/>
  <c r="L44" i="6"/>
  <c r="K44" i="6"/>
  <c r="J44" i="6"/>
  <c r="I44" i="6"/>
  <c r="H44" i="6"/>
  <c r="G44" i="6"/>
  <c r="F44" i="6"/>
  <c r="F45" i="6" s="1"/>
  <c r="E44" i="6"/>
  <c r="D44" i="6"/>
  <c r="D45" i="6" s="1"/>
  <c r="C44" i="6"/>
  <c r="C45" i="6" s="1"/>
  <c r="B44" i="6"/>
  <c r="Q36" i="6"/>
  <c r="Q87" i="6" s="1"/>
  <c r="P36" i="6"/>
  <c r="O36" i="6"/>
  <c r="N36" i="6"/>
  <c r="N87" i="6" s="1"/>
  <c r="M36" i="6"/>
  <c r="M45" i="6" s="1"/>
  <c r="L36" i="6"/>
  <c r="L87" i="6" s="1"/>
  <c r="K36" i="6"/>
  <c r="K87" i="6" s="1"/>
  <c r="J36" i="6"/>
  <c r="J45" i="6" s="1"/>
  <c r="I36" i="6"/>
  <c r="I87" i="6" s="1"/>
  <c r="H36" i="6"/>
  <c r="H84" i="6" s="1"/>
  <c r="G36" i="6"/>
  <c r="G87" i="6" s="1"/>
  <c r="F36" i="6"/>
  <c r="E36" i="6"/>
  <c r="E87" i="6" s="1"/>
  <c r="D36" i="6"/>
  <c r="C36" i="6"/>
  <c r="B36" i="6"/>
  <c r="B87" i="6" s="1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P11" i="6"/>
  <c r="P75" i="6" s="1"/>
  <c r="O11" i="6"/>
  <c r="O75" i="6" s="1"/>
  <c r="I11" i="6"/>
  <c r="I75" i="6" s="1"/>
  <c r="F11" i="6"/>
  <c r="F75" i="6" s="1"/>
  <c r="D11" i="6"/>
  <c r="D75" i="6" s="1"/>
  <c r="C11" i="6"/>
  <c r="C18" i="6" s="1"/>
  <c r="Q10" i="6"/>
  <c r="P10" i="6"/>
  <c r="O10" i="6"/>
  <c r="N10" i="6"/>
  <c r="M10" i="6"/>
  <c r="L10" i="6"/>
  <c r="K10" i="6"/>
  <c r="J10" i="6"/>
  <c r="J11" i="6" s="1"/>
  <c r="I10" i="6"/>
  <c r="H10" i="6"/>
  <c r="H11" i="6" s="1"/>
  <c r="G10" i="6"/>
  <c r="G11" i="6" s="1"/>
  <c r="F10" i="6"/>
  <c r="E10" i="6"/>
  <c r="D10" i="6"/>
  <c r="C10" i="6"/>
  <c r="B10" i="6"/>
  <c r="Q6" i="6"/>
  <c r="Q11" i="6" s="1"/>
  <c r="P6" i="6"/>
  <c r="P74" i="6" s="1"/>
  <c r="O6" i="6"/>
  <c r="O74" i="6" s="1"/>
  <c r="N6" i="6"/>
  <c r="N11" i="6" s="1"/>
  <c r="M6" i="6"/>
  <c r="M74" i="6" s="1"/>
  <c r="L6" i="6"/>
  <c r="L11" i="6" s="1"/>
  <c r="K6" i="6"/>
  <c r="K74" i="6" s="1"/>
  <c r="J6" i="6"/>
  <c r="I6" i="6"/>
  <c r="I74" i="6" s="1"/>
  <c r="H6" i="6"/>
  <c r="G6" i="6"/>
  <c r="F6" i="6"/>
  <c r="F74" i="6" s="1"/>
  <c r="E6" i="6"/>
  <c r="E11" i="6" s="1"/>
  <c r="D6" i="6"/>
  <c r="D74" i="6" s="1"/>
  <c r="C6" i="6"/>
  <c r="C74" i="6" s="1"/>
  <c r="B6" i="6"/>
  <c r="B11" i="6" s="1"/>
  <c r="K18" i="7" l="1"/>
  <c r="K20" i="7" s="1"/>
  <c r="K12" i="7"/>
  <c r="G12" i="7"/>
  <c r="L18" i="7"/>
  <c r="L20" i="7" s="1"/>
  <c r="L12" i="7"/>
  <c r="I12" i="7"/>
  <c r="I18" i="7"/>
  <c r="I20" i="7" s="1"/>
  <c r="F12" i="7"/>
  <c r="F18" i="7"/>
  <c r="F20" i="7" s="1"/>
  <c r="M77" i="7"/>
  <c r="M91" i="7"/>
  <c r="M88" i="7"/>
  <c r="M82" i="7"/>
  <c r="M79" i="7"/>
  <c r="M76" i="7"/>
  <c r="M90" i="7"/>
  <c r="M81" i="7"/>
  <c r="M78" i="7"/>
  <c r="J12" i="7"/>
  <c r="J18" i="7"/>
  <c r="J20" i="7" s="1"/>
  <c r="C12" i="7"/>
  <c r="C18" i="7"/>
  <c r="C20" i="7" s="1"/>
  <c r="O12" i="7"/>
  <c r="O18" i="7"/>
  <c r="O20" i="7" s="1"/>
  <c r="D12" i="7"/>
  <c r="D18" i="7"/>
  <c r="D20" i="7" s="1"/>
  <c r="P12" i="7"/>
  <c r="P18" i="7"/>
  <c r="P20" i="7" s="1"/>
  <c r="E12" i="7"/>
  <c r="E18" i="7"/>
  <c r="E20" i="7" s="1"/>
  <c r="Q12" i="7"/>
  <c r="Q18" i="7"/>
  <c r="Q20" i="7" s="1"/>
  <c r="L84" i="7"/>
  <c r="B18" i="7"/>
  <c r="B20" i="7" s="1"/>
  <c r="K84" i="7"/>
  <c r="M12" i="7"/>
  <c r="E83" i="7"/>
  <c r="Q83" i="7"/>
  <c r="N18" i="7"/>
  <c r="N20" i="7" s="1"/>
  <c r="F83" i="7"/>
  <c r="G18" i="7"/>
  <c r="G20" i="7" s="1"/>
  <c r="H18" i="7"/>
  <c r="H20" i="7" s="1"/>
  <c r="F67" i="6"/>
  <c r="F102" i="6"/>
  <c r="M104" i="6"/>
  <c r="M105" i="6"/>
  <c r="N98" i="6"/>
  <c r="M98" i="6"/>
  <c r="I102" i="6"/>
  <c r="I67" i="6"/>
  <c r="C20" i="6"/>
  <c r="C80" i="6"/>
  <c r="G12" i="6"/>
  <c r="G75" i="6"/>
  <c r="G18" i="6"/>
  <c r="L75" i="6"/>
  <c r="L18" i="6"/>
  <c r="H18" i="6"/>
  <c r="H12" i="6"/>
  <c r="H75" i="6"/>
  <c r="C105" i="6"/>
  <c r="D98" i="6"/>
  <c r="C104" i="6"/>
  <c r="O105" i="6"/>
  <c r="P98" i="6"/>
  <c r="O104" i="6"/>
  <c r="D102" i="6"/>
  <c r="D67" i="6"/>
  <c r="B75" i="6"/>
  <c r="B18" i="6"/>
  <c r="B12" i="6"/>
  <c r="N75" i="6"/>
  <c r="N18" i="6"/>
  <c r="N12" i="6"/>
  <c r="J12" i="6"/>
  <c r="J75" i="6"/>
  <c r="J18" i="6"/>
  <c r="D105" i="6"/>
  <c r="E98" i="6"/>
  <c r="D104" i="6"/>
  <c r="P105" i="6"/>
  <c r="Q98" i="6"/>
  <c r="P104" i="6"/>
  <c r="C102" i="6"/>
  <c r="C67" i="6"/>
  <c r="O102" i="6"/>
  <c r="O67" i="6"/>
  <c r="K98" i="6"/>
  <c r="J104" i="6"/>
  <c r="J105" i="6"/>
  <c r="F104" i="6"/>
  <c r="F105" i="6"/>
  <c r="P102" i="6"/>
  <c r="P67" i="6"/>
  <c r="E75" i="6"/>
  <c r="E18" i="6"/>
  <c r="E12" i="6"/>
  <c r="Q75" i="6"/>
  <c r="Q18" i="6"/>
  <c r="Q12" i="6"/>
  <c r="F12" i="6"/>
  <c r="B74" i="6"/>
  <c r="N74" i="6"/>
  <c r="J84" i="6"/>
  <c r="J87" i="6"/>
  <c r="F103" i="6"/>
  <c r="B104" i="6"/>
  <c r="N104" i="6"/>
  <c r="D12" i="6"/>
  <c r="L104" i="6"/>
  <c r="K11" i="6"/>
  <c r="G45" i="6"/>
  <c r="G60" i="6"/>
  <c r="K67" i="6"/>
  <c r="K84" i="6"/>
  <c r="G85" i="6"/>
  <c r="C98" i="6"/>
  <c r="O98" i="6"/>
  <c r="G103" i="6"/>
  <c r="K105" i="6"/>
  <c r="F18" i="6"/>
  <c r="C12" i="6"/>
  <c r="G84" i="6"/>
  <c r="K104" i="6"/>
  <c r="L74" i="6"/>
  <c r="H87" i="6"/>
  <c r="H45" i="6"/>
  <c r="H60" i="6"/>
  <c r="L67" i="6"/>
  <c r="L84" i="6"/>
  <c r="H85" i="6"/>
  <c r="H103" i="6"/>
  <c r="L105" i="6"/>
  <c r="O18" i="6"/>
  <c r="C75" i="6"/>
  <c r="O12" i="6"/>
  <c r="P12" i="6"/>
  <c r="I18" i="6"/>
  <c r="M11" i="6"/>
  <c r="I12" i="6"/>
  <c r="I45" i="6"/>
  <c r="E74" i="6"/>
  <c r="Q74" i="6"/>
  <c r="M84" i="6"/>
  <c r="I85" i="6"/>
  <c r="E86" i="6"/>
  <c r="Q86" i="6"/>
  <c r="M87" i="6"/>
  <c r="I103" i="6"/>
  <c r="E104" i="6"/>
  <c r="Q104" i="6"/>
  <c r="J86" i="6"/>
  <c r="L86" i="6"/>
  <c r="J60" i="6"/>
  <c r="B67" i="6"/>
  <c r="N67" i="6"/>
  <c r="B84" i="6"/>
  <c r="N84" i="6"/>
  <c r="F98" i="6"/>
  <c r="J103" i="6"/>
  <c r="D18" i="6"/>
  <c r="P18" i="6"/>
  <c r="L103" i="6"/>
  <c r="M60" i="6"/>
  <c r="E67" i="6"/>
  <c r="Q67" i="6"/>
  <c r="E84" i="6"/>
  <c r="Q84" i="6"/>
  <c r="M85" i="6"/>
  <c r="M103" i="6"/>
  <c r="I84" i="6"/>
  <c r="E103" i="6"/>
  <c r="Q103" i="6"/>
  <c r="F90" i="7" l="1"/>
  <c r="F81" i="7"/>
  <c r="F78" i="7"/>
  <c r="F77" i="7"/>
  <c r="F91" i="7"/>
  <c r="F88" i="7"/>
  <c r="F82" i="7"/>
  <c r="F79" i="7"/>
  <c r="F76" i="7"/>
  <c r="N91" i="7"/>
  <c r="N88" i="7"/>
  <c r="N82" i="7"/>
  <c r="N79" i="7"/>
  <c r="N76" i="7"/>
  <c r="N90" i="7"/>
  <c r="N81" i="7"/>
  <c r="N78" i="7"/>
  <c r="N77" i="7"/>
  <c r="Q91" i="7"/>
  <c r="Q88" i="7"/>
  <c r="Q82" i="7"/>
  <c r="Q79" i="7"/>
  <c r="Q76" i="7"/>
  <c r="Q90" i="7"/>
  <c r="Q81" i="7"/>
  <c r="Q78" i="7"/>
  <c r="Q77" i="7"/>
  <c r="J77" i="7"/>
  <c r="J91" i="7"/>
  <c r="J88" i="7"/>
  <c r="J82" i="7"/>
  <c r="J79" i="7"/>
  <c r="J76" i="7"/>
  <c r="J78" i="7"/>
  <c r="J90" i="7"/>
  <c r="J81" i="7"/>
  <c r="K77" i="7"/>
  <c r="K91" i="7"/>
  <c r="K88" i="7"/>
  <c r="K82" i="7"/>
  <c r="K79" i="7"/>
  <c r="K76" i="7"/>
  <c r="K90" i="7"/>
  <c r="K81" i="7"/>
  <c r="K78" i="7"/>
  <c r="O91" i="7"/>
  <c r="O88" i="7"/>
  <c r="O82" i="7"/>
  <c r="O79" i="7"/>
  <c r="O76" i="7"/>
  <c r="O90" i="7"/>
  <c r="O81" i="7"/>
  <c r="O78" i="7"/>
  <c r="O77" i="7"/>
  <c r="C91" i="7"/>
  <c r="C88" i="7"/>
  <c r="C82" i="7"/>
  <c r="C79" i="7"/>
  <c r="C76" i="7"/>
  <c r="C90" i="7"/>
  <c r="C81" i="7"/>
  <c r="C78" i="7"/>
  <c r="C77" i="7"/>
  <c r="E91" i="7"/>
  <c r="E88" i="7"/>
  <c r="E82" i="7"/>
  <c r="E79" i="7"/>
  <c r="E76" i="7"/>
  <c r="E81" i="7"/>
  <c r="E90" i="7"/>
  <c r="E78" i="7"/>
  <c r="E77" i="7"/>
  <c r="D91" i="7"/>
  <c r="D88" i="7"/>
  <c r="D82" i="7"/>
  <c r="D79" i="7"/>
  <c r="D76" i="7"/>
  <c r="D90" i="7"/>
  <c r="D81" i="7"/>
  <c r="D78" i="7"/>
  <c r="D77" i="7"/>
  <c r="B82" i="7"/>
  <c r="B79" i="7"/>
  <c r="B76" i="7"/>
  <c r="B81" i="7"/>
  <c r="B78" i="7"/>
  <c r="B77" i="7"/>
  <c r="I90" i="7"/>
  <c r="I81" i="7"/>
  <c r="I78" i="7"/>
  <c r="I77" i="7"/>
  <c r="I91" i="7"/>
  <c r="I88" i="7"/>
  <c r="I82" i="7"/>
  <c r="I79" i="7"/>
  <c r="I76" i="7"/>
  <c r="H90" i="7"/>
  <c r="H81" i="7"/>
  <c r="H78" i="7"/>
  <c r="H77" i="7"/>
  <c r="H91" i="7"/>
  <c r="H88" i="7"/>
  <c r="H82" i="7"/>
  <c r="H79" i="7"/>
  <c r="H76" i="7"/>
  <c r="G90" i="7"/>
  <c r="G81" i="7"/>
  <c r="G78" i="7"/>
  <c r="G77" i="7"/>
  <c r="G88" i="7"/>
  <c r="G82" i="7"/>
  <c r="G79" i="7"/>
  <c r="G91" i="7"/>
  <c r="G76" i="7"/>
  <c r="P91" i="7"/>
  <c r="P88" i="7"/>
  <c r="P82" i="7"/>
  <c r="P79" i="7"/>
  <c r="P76" i="7"/>
  <c r="P90" i="7"/>
  <c r="P81" i="7"/>
  <c r="P78" i="7"/>
  <c r="P77" i="7"/>
  <c r="L77" i="7"/>
  <c r="L91" i="7"/>
  <c r="L88" i="7"/>
  <c r="L82" i="7"/>
  <c r="L79" i="7"/>
  <c r="L76" i="7"/>
  <c r="L90" i="7"/>
  <c r="L81" i="7"/>
  <c r="L78" i="7"/>
  <c r="H98" i="6"/>
  <c r="G104" i="6"/>
  <c r="G105" i="6"/>
  <c r="Q80" i="6"/>
  <c r="Q20" i="6"/>
  <c r="F80" i="6"/>
  <c r="F20" i="6"/>
  <c r="C78" i="6"/>
  <c r="C76" i="6"/>
  <c r="C77" i="6"/>
  <c r="E80" i="6"/>
  <c r="E20" i="6"/>
  <c r="N20" i="6"/>
  <c r="N80" i="6"/>
  <c r="J102" i="6"/>
  <c r="J67" i="6"/>
  <c r="I105" i="6"/>
  <c r="I104" i="6"/>
  <c r="J98" i="6"/>
  <c r="B20" i="6"/>
  <c r="B76" i="6" s="1"/>
  <c r="B80" i="6"/>
  <c r="H80" i="6"/>
  <c r="H20" i="6"/>
  <c r="M102" i="6"/>
  <c r="M67" i="6"/>
  <c r="H102" i="6"/>
  <c r="H67" i="6"/>
  <c r="L20" i="6"/>
  <c r="L80" i="6"/>
  <c r="M12" i="6"/>
  <c r="M75" i="6"/>
  <c r="M18" i="6"/>
  <c r="I98" i="6"/>
  <c r="H104" i="6"/>
  <c r="H105" i="6"/>
  <c r="J20" i="6"/>
  <c r="J80" i="6"/>
  <c r="K12" i="6"/>
  <c r="K75" i="6"/>
  <c r="K18" i="6"/>
  <c r="O80" i="6"/>
  <c r="O20" i="6"/>
  <c r="P80" i="6"/>
  <c r="P20" i="6"/>
  <c r="I80" i="6"/>
  <c r="I20" i="6"/>
  <c r="G98" i="6"/>
  <c r="L12" i="6"/>
  <c r="D20" i="6"/>
  <c r="D80" i="6"/>
  <c r="G102" i="6"/>
  <c r="G67" i="6"/>
  <c r="G80" i="6"/>
  <c r="G20" i="6"/>
  <c r="J76" i="6" l="1"/>
  <c r="J77" i="6"/>
  <c r="J78" i="6"/>
  <c r="H77" i="6"/>
  <c r="H76" i="6"/>
  <c r="H78" i="6"/>
  <c r="I78" i="6"/>
  <c r="I77" i="6"/>
  <c r="I76" i="6"/>
  <c r="Q76" i="6"/>
  <c r="Q78" i="6"/>
  <c r="Q77" i="6"/>
  <c r="D78" i="6"/>
  <c r="D76" i="6"/>
  <c r="D77" i="6"/>
  <c r="E76" i="6"/>
  <c r="E78" i="6"/>
  <c r="E77" i="6"/>
  <c r="P78" i="6"/>
  <c r="P76" i="6"/>
  <c r="P77" i="6"/>
  <c r="F77" i="6"/>
  <c r="F78" i="6"/>
  <c r="F76" i="6"/>
  <c r="G76" i="6"/>
  <c r="G78" i="6"/>
  <c r="G77" i="6"/>
  <c r="O76" i="6"/>
  <c r="O77" i="6"/>
  <c r="O78" i="6"/>
  <c r="K80" i="6"/>
  <c r="K20" i="6"/>
  <c r="L76" i="6"/>
  <c r="L78" i="6"/>
  <c r="L77" i="6"/>
  <c r="N78" i="6"/>
  <c r="N76" i="6"/>
  <c r="N77" i="6"/>
  <c r="M80" i="6"/>
  <c r="M20" i="6"/>
  <c r="K77" i="6" l="1"/>
  <c r="K76" i="6"/>
  <c r="K78" i="6"/>
  <c r="M77" i="6"/>
  <c r="M76" i="6"/>
  <c r="M78" i="6"/>
  <c r="B62" i="2"/>
  <c r="B55" i="2"/>
  <c r="B50" i="2"/>
  <c r="B56" i="2" s="1"/>
  <c r="B63" i="2" s="1"/>
  <c r="B40" i="2"/>
  <c r="B32" i="2"/>
  <c r="B41" i="2" s="1"/>
  <c r="B16" i="2"/>
  <c r="B11" i="2"/>
  <c r="B7" i="2"/>
  <c r="B12" i="2" s="1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P56" i="4"/>
  <c r="P63" i="4" s="1"/>
  <c r="N56" i="4"/>
  <c r="N63" i="4" s="1"/>
  <c r="M56" i="4"/>
  <c r="M63" i="4" s="1"/>
  <c r="K56" i="4"/>
  <c r="K63" i="4" s="1"/>
  <c r="D56" i="4"/>
  <c r="D63" i="4" s="1"/>
  <c r="B56" i="4"/>
  <c r="B63" i="4" s="1"/>
  <c r="Q55" i="4"/>
  <c r="Q56" i="4" s="1"/>
  <c r="Q63" i="4" s="1"/>
  <c r="P55" i="4"/>
  <c r="O55" i="4"/>
  <c r="O56" i="4" s="1"/>
  <c r="O63" i="4" s="1"/>
  <c r="N55" i="4"/>
  <c r="M55" i="4"/>
  <c r="L55" i="4"/>
  <c r="K55" i="4"/>
  <c r="J55" i="4"/>
  <c r="I55" i="4"/>
  <c r="H55" i="4"/>
  <c r="G55" i="4"/>
  <c r="F55" i="4"/>
  <c r="E55" i="4"/>
  <c r="E56" i="4" s="1"/>
  <c r="E63" i="4" s="1"/>
  <c r="D55" i="4"/>
  <c r="C55" i="4"/>
  <c r="C56" i="4" s="1"/>
  <c r="C63" i="4" s="1"/>
  <c r="B55" i="4"/>
  <c r="Q50" i="4"/>
  <c r="P50" i="4"/>
  <c r="O50" i="4"/>
  <c r="N50" i="4"/>
  <c r="M50" i="4"/>
  <c r="L50" i="4"/>
  <c r="L56" i="4" s="1"/>
  <c r="L63" i="4" s="1"/>
  <c r="K50" i="4"/>
  <c r="J50" i="4"/>
  <c r="J56" i="4" s="1"/>
  <c r="J63" i="4" s="1"/>
  <c r="I50" i="4"/>
  <c r="I56" i="4" s="1"/>
  <c r="I63" i="4" s="1"/>
  <c r="H50" i="4"/>
  <c r="H56" i="4" s="1"/>
  <c r="H63" i="4" s="1"/>
  <c r="G50" i="4"/>
  <c r="G56" i="4" s="1"/>
  <c r="G63" i="4" s="1"/>
  <c r="F50" i="4"/>
  <c r="F56" i="4" s="1"/>
  <c r="F63" i="4" s="1"/>
  <c r="E50" i="4"/>
  <c r="D50" i="4"/>
  <c r="C50" i="4"/>
  <c r="B50" i="4"/>
  <c r="P41" i="4"/>
  <c r="N41" i="4"/>
  <c r="M41" i="4"/>
  <c r="K41" i="4"/>
  <c r="D41" i="4"/>
  <c r="B41" i="4"/>
  <c r="Q40" i="4"/>
  <c r="Q41" i="4" s="1"/>
  <c r="P40" i="4"/>
  <c r="O40" i="4"/>
  <c r="O41" i="4" s="1"/>
  <c r="N40" i="4"/>
  <c r="M40" i="4"/>
  <c r="L40" i="4"/>
  <c r="K40" i="4"/>
  <c r="J40" i="4"/>
  <c r="I40" i="4"/>
  <c r="H40" i="4"/>
  <c r="G40" i="4"/>
  <c r="F40" i="4"/>
  <c r="E40" i="4"/>
  <c r="E41" i="4" s="1"/>
  <c r="D40" i="4"/>
  <c r="C40" i="4"/>
  <c r="C41" i="4" s="1"/>
  <c r="B40" i="4"/>
  <c r="Q32" i="4"/>
  <c r="P32" i="4"/>
  <c r="O32" i="4"/>
  <c r="N32" i="4"/>
  <c r="M32" i="4"/>
  <c r="L32" i="4"/>
  <c r="L41" i="4" s="1"/>
  <c r="K32" i="4"/>
  <c r="J32" i="4"/>
  <c r="J41" i="4" s="1"/>
  <c r="I32" i="4"/>
  <c r="I41" i="4" s="1"/>
  <c r="H32" i="4"/>
  <c r="H41" i="4" s="1"/>
  <c r="G32" i="4"/>
  <c r="G41" i="4" s="1"/>
  <c r="F32" i="4"/>
  <c r="F41" i="4" s="1"/>
  <c r="E32" i="4"/>
  <c r="D32" i="4"/>
  <c r="C32" i="4"/>
  <c r="B32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Q12" i="4"/>
  <c r="Q13" i="4" s="1"/>
  <c r="O12" i="4"/>
  <c r="O19" i="4" s="1"/>
  <c r="O21" i="4" s="1"/>
  <c r="H12" i="4"/>
  <c r="F12" i="4"/>
  <c r="F13" i="4" s="1"/>
  <c r="E12" i="4"/>
  <c r="C12" i="4"/>
  <c r="C19" i="4" s="1"/>
  <c r="C21" i="4" s="1"/>
  <c r="Q11" i="4"/>
  <c r="P11" i="4"/>
  <c r="O11" i="4"/>
  <c r="N11" i="4"/>
  <c r="M11" i="4"/>
  <c r="L11" i="4"/>
  <c r="K11" i="4"/>
  <c r="J11" i="4"/>
  <c r="I11" i="4"/>
  <c r="I12" i="4" s="1"/>
  <c r="H11" i="4"/>
  <c r="G11" i="4"/>
  <c r="G12" i="4" s="1"/>
  <c r="F11" i="4"/>
  <c r="E11" i="4"/>
  <c r="D11" i="4"/>
  <c r="C11" i="4"/>
  <c r="B11" i="4"/>
  <c r="Q7" i="4"/>
  <c r="P7" i="4"/>
  <c r="P12" i="4" s="1"/>
  <c r="O7" i="4"/>
  <c r="N7" i="4"/>
  <c r="N12" i="4" s="1"/>
  <c r="M7" i="4"/>
  <c r="M12" i="4" s="1"/>
  <c r="L7" i="4"/>
  <c r="L12" i="4" s="1"/>
  <c r="K7" i="4"/>
  <c r="K12" i="4" s="1"/>
  <c r="J7" i="4"/>
  <c r="J12" i="4" s="1"/>
  <c r="I7" i="4"/>
  <c r="H7" i="4"/>
  <c r="G7" i="4"/>
  <c r="F7" i="4"/>
  <c r="E7" i="4"/>
  <c r="D7" i="4"/>
  <c r="D12" i="4" s="1"/>
  <c r="C7" i="4"/>
  <c r="B7" i="4"/>
  <c r="B12" i="4" s="1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P56" i="5"/>
  <c r="P63" i="5" s="1"/>
  <c r="O56" i="5"/>
  <c r="O63" i="5" s="1"/>
  <c r="N56" i="5"/>
  <c r="N63" i="5" s="1"/>
  <c r="M56" i="5"/>
  <c r="M63" i="5" s="1"/>
  <c r="D56" i="5"/>
  <c r="D63" i="5" s="1"/>
  <c r="C56" i="5"/>
  <c r="C63" i="5" s="1"/>
  <c r="B56" i="5"/>
  <c r="B63" i="5" s="1"/>
  <c r="Q55" i="5"/>
  <c r="Q56" i="5" s="1"/>
  <c r="Q63" i="5" s="1"/>
  <c r="P55" i="5"/>
  <c r="O55" i="5"/>
  <c r="N55" i="5"/>
  <c r="M55" i="5"/>
  <c r="L55" i="5"/>
  <c r="K55" i="5"/>
  <c r="J55" i="5"/>
  <c r="I55" i="5"/>
  <c r="H55" i="5"/>
  <c r="H56" i="5" s="1"/>
  <c r="H63" i="5" s="1"/>
  <c r="G55" i="5"/>
  <c r="G56" i="5" s="1"/>
  <c r="G63" i="5" s="1"/>
  <c r="F55" i="5"/>
  <c r="F56" i="5" s="1"/>
  <c r="F63" i="5" s="1"/>
  <c r="E55" i="5"/>
  <c r="E56" i="5" s="1"/>
  <c r="E63" i="5" s="1"/>
  <c r="D55" i="5"/>
  <c r="C55" i="5"/>
  <c r="B55" i="5"/>
  <c r="Q50" i="5"/>
  <c r="P50" i="5"/>
  <c r="O50" i="5"/>
  <c r="N50" i="5"/>
  <c r="M50" i="5"/>
  <c r="L50" i="5"/>
  <c r="L56" i="5" s="1"/>
  <c r="L63" i="5" s="1"/>
  <c r="K50" i="5"/>
  <c r="K56" i="5" s="1"/>
  <c r="K63" i="5" s="1"/>
  <c r="J50" i="5"/>
  <c r="J56" i="5" s="1"/>
  <c r="J63" i="5" s="1"/>
  <c r="I50" i="5"/>
  <c r="I56" i="5" s="1"/>
  <c r="I63" i="5" s="1"/>
  <c r="H50" i="5"/>
  <c r="G50" i="5"/>
  <c r="F50" i="5"/>
  <c r="E50" i="5"/>
  <c r="D50" i="5"/>
  <c r="C50" i="5"/>
  <c r="B50" i="5"/>
  <c r="P41" i="5"/>
  <c r="O41" i="5"/>
  <c r="N41" i="5"/>
  <c r="M41" i="5"/>
  <c r="D41" i="5"/>
  <c r="C41" i="5"/>
  <c r="B41" i="5"/>
  <c r="Q40" i="5"/>
  <c r="Q41" i="5" s="1"/>
  <c r="P40" i="5"/>
  <c r="O40" i="5"/>
  <c r="N40" i="5"/>
  <c r="M40" i="5"/>
  <c r="L40" i="5"/>
  <c r="K40" i="5"/>
  <c r="J40" i="5"/>
  <c r="I40" i="5"/>
  <c r="H40" i="5"/>
  <c r="H41" i="5" s="1"/>
  <c r="G40" i="5"/>
  <c r="G41" i="5" s="1"/>
  <c r="F40" i="5"/>
  <c r="F41" i="5" s="1"/>
  <c r="E40" i="5"/>
  <c r="E41" i="5" s="1"/>
  <c r="D40" i="5"/>
  <c r="C40" i="5"/>
  <c r="B40" i="5"/>
  <c r="Q32" i="5"/>
  <c r="P32" i="5"/>
  <c r="O32" i="5"/>
  <c r="N32" i="5"/>
  <c r="M32" i="5"/>
  <c r="L32" i="5"/>
  <c r="L41" i="5" s="1"/>
  <c r="K32" i="5"/>
  <c r="K41" i="5" s="1"/>
  <c r="J32" i="5"/>
  <c r="J41" i="5" s="1"/>
  <c r="I32" i="5"/>
  <c r="I41" i="5" s="1"/>
  <c r="H32" i="5"/>
  <c r="G32" i="5"/>
  <c r="F32" i="5"/>
  <c r="E32" i="5"/>
  <c r="D32" i="5"/>
  <c r="C32" i="5"/>
  <c r="B32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Q12" i="5"/>
  <c r="Q19" i="5" s="1"/>
  <c r="Q21" i="5" s="1"/>
  <c r="H12" i="5"/>
  <c r="H13" i="5" s="1"/>
  <c r="G12" i="5"/>
  <c r="G13" i="5" s="1"/>
  <c r="F12" i="5"/>
  <c r="F13" i="5" s="1"/>
  <c r="E12" i="5"/>
  <c r="E19" i="5" s="1"/>
  <c r="E21" i="5" s="1"/>
  <c r="Q11" i="5"/>
  <c r="P11" i="5"/>
  <c r="O11" i="5"/>
  <c r="N11" i="5"/>
  <c r="M11" i="5"/>
  <c r="L11" i="5"/>
  <c r="L12" i="5" s="1"/>
  <c r="K11" i="5"/>
  <c r="K12" i="5" s="1"/>
  <c r="J11" i="5"/>
  <c r="J12" i="5" s="1"/>
  <c r="I11" i="5"/>
  <c r="I12" i="5" s="1"/>
  <c r="H11" i="5"/>
  <c r="G11" i="5"/>
  <c r="F11" i="5"/>
  <c r="E11" i="5"/>
  <c r="D11" i="5"/>
  <c r="C11" i="5"/>
  <c r="B11" i="5"/>
  <c r="Q7" i="5"/>
  <c r="P7" i="5"/>
  <c r="P12" i="5" s="1"/>
  <c r="O7" i="5"/>
  <c r="O12" i="5" s="1"/>
  <c r="N7" i="5"/>
  <c r="N12" i="5" s="1"/>
  <c r="M7" i="5"/>
  <c r="M12" i="5" s="1"/>
  <c r="L7" i="5"/>
  <c r="K7" i="5"/>
  <c r="J7" i="5"/>
  <c r="I7" i="5"/>
  <c r="H7" i="5"/>
  <c r="G7" i="5"/>
  <c r="F7" i="5"/>
  <c r="E7" i="5"/>
  <c r="D7" i="5"/>
  <c r="D12" i="5" s="1"/>
  <c r="C7" i="5"/>
  <c r="C12" i="5" s="1"/>
  <c r="B7" i="5"/>
  <c r="B12" i="5" s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Q41" i="1"/>
  <c r="E41" i="1"/>
  <c r="B13" i="2" l="1"/>
  <c r="B19" i="2"/>
  <c r="B21" i="2" s="1"/>
  <c r="P19" i="4"/>
  <c r="P21" i="4" s="1"/>
  <c r="P13" i="4"/>
  <c r="D19" i="4"/>
  <c r="D21" i="4" s="1"/>
  <c r="D13" i="4"/>
  <c r="J13" i="4"/>
  <c r="J19" i="4"/>
  <c r="J21" i="4" s="1"/>
  <c r="K13" i="4"/>
  <c r="K19" i="4"/>
  <c r="K21" i="4" s="1"/>
  <c r="G13" i="4"/>
  <c r="G19" i="4"/>
  <c r="G21" i="4" s="1"/>
  <c r="E13" i="4"/>
  <c r="L13" i="4"/>
  <c r="L19" i="4"/>
  <c r="L21" i="4" s="1"/>
  <c r="M19" i="4"/>
  <c r="M21" i="4" s="1"/>
  <c r="M13" i="4"/>
  <c r="I13" i="4"/>
  <c r="I19" i="4"/>
  <c r="I21" i="4" s="1"/>
  <c r="H13" i="4"/>
  <c r="B19" i="4"/>
  <c r="B21" i="4" s="1"/>
  <c r="B13" i="4"/>
  <c r="N19" i="4"/>
  <c r="N21" i="4" s="1"/>
  <c r="N13" i="4"/>
  <c r="E19" i="4"/>
  <c r="E21" i="4" s="1"/>
  <c r="Q19" i="4"/>
  <c r="Q21" i="4" s="1"/>
  <c r="F19" i="4"/>
  <c r="F21" i="4" s="1"/>
  <c r="C13" i="4"/>
  <c r="O13" i="4"/>
  <c r="H19" i="4"/>
  <c r="H21" i="4" s="1"/>
  <c r="I13" i="5"/>
  <c r="I19" i="5"/>
  <c r="I21" i="5" s="1"/>
  <c r="M13" i="5"/>
  <c r="M19" i="5"/>
  <c r="M21" i="5" s="1"/>
  <c r="B19" i="5"/>
  <c r="B21" i="5" s="1"/>
  <c r="B13" i="5"/>
  <c r="N19" i="5"/>
  <c r="N21" i="5" s="1"/>
  <c r="N13" i="5"/>
  <c r="J19" i="5"/>
  <c r="J21" i="5" s="1"/>
  <c r="J13" i="5"/>
  <c r="C19" i="5"/>
  <c r="C21" i="5" s="1"/>
  <c r="C13" i="5"/>
  <c r="O19" i="5"/>
  <c r="O21" i="5" s="1"/>
  <c r="O13" i="5"/>
  <c r="K13" i="5"/>
  <c r="K19" i="5"/>
  <c r="K21" i="5" s="1"/>
  <c r="D19" i="5"/>
  <c r="D21" i="5" s="1"/>
  <c r="D13" i="5"/>
  <c r="P19" i="5"/>
  <c r="P21" i="5" s="1"/>
  <c r="P13" i="5"/>
  <c r="L13" i="5"/>
  <c r="L19" i="5"/>
  <c r="L21" i="5" s="1"/>
  <c r="F19" i="5"/>
  <c r="F21" i="5" s="1"/>
  <c r="G19" i="5"/>
  <c r="G21" i="5" s="1"/>
  <c r="H19" i="5"/>
  <c r="H21" i="5" s="1"/>
  <c r="E13" i="5"/>
  <c r="Q13" i="5"/>
  <c r="F41" i="1"/>
  <c r="L41" i="1"/>
  <c r="M41" i="1"/>
  <c r="C41" i="1"/>
  <c r="O41" i="1"/>
  <c r="D41" i="1"/>
  <c r="P41" i="1"/>
  <c r="J41" i="1"/>
  <c r="F56" i="1"/>
  <c r="F63" i="1" s="1"/>
  <c r="E56" i="1"/>
  <c r="E63" i="1" s="1"/>
  <c r="Q56" i="1"/>
  <c r="Q63" i="1" s="1"/>
  <c r="H56" i="1"/>
  <c r="H63" i="1" s="1"/>
  <c r="J12" i="1"/>
  <c r="J19" i="1" s="1"/>
  <c r="J21" i="1" s="1"/>
  <c r="M56" i="1"/>
  <c r="M63" i="1" s="1"/>
  <c r="H41" i="1"/>
  <c r="K41" i="1"/>
  <c r="B56" i="1"/>
  <c r="B63" i="1" s="1"/>
  <c r="N56" i="1"/>
  <c r="N63" i="1" s="1"/>
  <c r="E12" i="1"/>
  <c r="E19" i="1" s="1"/>
  <c r="E21" i="1" s="1"/>
  <c r="F12" i="1"/>
  <c r="L56" i="1"/>
  <c r="L63" i="1" s="1"/>
  <c r="G12" i="1"/>
  <c r="G19" i="1" s="1"/>
  <c r="G21" i="1" s="1"/>
  <c r="G41" i="1"/>
  <c r="I41" i="1"/>
  <c r="I12" i="1"/>
  <c r="I19" i="1" s="1"/>
  <c r="I56" i="1"/>
  <c r="I63" i="1" s="1"/>
  <c r="H12" i="1"/>
  <c r="H19" i="1" s="1"/>
  <c r="D12" i="1"/>
  <c r="D19" i="1" s="1"/>
  <c r="D21" i="1" s="1"/>
  <c r="N41" i="1"/>
  <c r="P12" i="1"/>
  <c r="P19" i="1" s="1"/>
  <c r="P21" i="1" s="1"/>
  <c r="Q12" i="1"/>
  <c r="Q19" i="1" s="1"/>
  <c r="Q21" i="1" s="1"/>
  <c r="J56" i="1"/>
  <c r="J63" i="1" s="1"/>
  <c r="B41" i="1"/>
  <c r="C56" i="1"/>
  <c r="C63" i="1" s="1"/>
  <c r="O56" i="1"/>
  <c r="O63" i="1" s="1"/>
  <c r="K56" i="1"/>
  <c r="K63" i="1" s="1"/>
  <c r="G56" i="1"/>
  <c r="G63" i="1" s="1"/>
  <c r="D56" i="1"/>
  <c r="D63" i="1" s="1"/>
  <c r="P56" i="1"/>
  <c r="P63" i="1" s="1"/>
  <c r="N12" i="1"/>
  <c r="O12" i="1"/>
  <c r="B12" i="1"/>
  <c r="C12" i="1"/>
  <c r="I21" i="1" l="1"/>
  <c r="H21" i="1"/>
  <c r="G13" i="1"/>
  <c r="F19" i="1"/>
  <c r="F21" i="1" s="1"/>
  <c r="F13" i="1"/>
  <c r="E13" i="1"/>
  <c r="I13" i="1"/>
  <c r="H13" i="1"/>
  <c r="J13" i="1"/>
  <c r="Q13" i="1"/>
  <c r="O13" i="1"/>
  <c r="O19" i="1"/>
  <c r="O21" i="1" s="1"/>
  <c r="N19" i="1"/>
  <c r="N21" i="1" s="1"/>
  <c r="M12" i="1"/>
  <c r="P13" i="1"/>
  <c r="C13" i="1"/>
  <c r="C19" i="1"/>
  <c r="C21" i="1" s="1"/>
  <c r="D13" i="1"/>
  <c r="B13" i="1"/>
  <c r="B19" i="1"/>
  <c r="B21" i="1" s="1"/>
  <c r="K12" i="1"/>
  <c r="L12" i="1"/>
  <c r="K13" i="1" l="1"/>
  <c r="K19" i="1"/>
  <c r="K21" i="1" s="1"/>
  <c r="M13" i="1"/>
  <c r="M19" i="1"/>
  <c r="M21" i="1" s="1"/>
  <c r="L13" i="1"/>
  <c r="L19" i="1"/>
  <c r="L21" i="1" s="1"/>
  <c r="N13" i="1"/>
</calcChain>
</file>

<file path=xl/sharedStrings.xml><?xml version="1.0" encoding="utf-8"?>
<sst xmlns="http://schemas.openxmlformats.org/spreadsheetml/2006/main" count="363" uniqueCount="103">
  <si>
    <t>Fiscal Year</t>
  </si>
  <si>
    <t>INCOME STATEMENT</t>
  </si>
  <si>
    <t>% Growth</t>
  </si>
  <si>
    <t>Net Sales / Revenue</t>
  </si>
  <si>
    <t>Total COGS</t>
  </si>
  <si>
    <t>Gross Profit</t>
  </si>
  <si>
    <t>Research &amp; Development</t>
  </si>
  <si>
    <t>Selling, General &amp; Administrative</t>
  </si>
  <si>
    <t>Total Operating Expenses</t>
  </si>
  <si>
    <t>Operating Income (EBIT)</t>
  </si>
  <si>
    <t>Other Income/(Expense), Net</t>
  </si>
  <si>
    <t>Total Other Income/(Expense)</t>
  </si>
  <si>
    <t>Income Before Income Taxes</t>
  </si>
  <si>
    <t>Provision for Income Taxes</t>
  </si>
  <si>
    <t>Net Income</t>
  </si>
  <si>
    <t>BALANCE SHEET</t>
  </si>
  <si>
    <t>Cash &amp; Cash Equivalents (FY1992 source reports Cash + ST Investments combined)</t>
  </si>
  <si>
    <t>Short-Term Investments / Marketable Securities</t>
  </si>
  <si>
    <t>Accounts Receivable, Net</t>
  </si>
  <si>
    <t>Inventories</t>
  </si>
  <si>
    <t>Deferred Tax Assets</t>
  </si>
  <si>
    <t>Vendor Non-Trade Receivables</t>
  </si>
  <si>
    <t>Other Current Assets</t>
  </si>
  <si>
    <t>Total Current Assets</t>
  </si>
  <si>
    <t>Property, Plant &amp; Equipment, Net</t>
  </si>
  <si>
    <t>Long-Term Marketable Securities</t>
  </si>
  <si>
    <t>Goodwill</t>
  </si>
  <si>
    <t>Acquired Intangible Assets, Net</t>
  </si>
  <si>
    <t>Other Assets (legacy)</t>
  </si>
  <si>
    <t>Other Non-Current Assets</t>
  </si>
  <si>
    <t>Total Non-Current Assets</t>
  </si>
  <si>
    <t>Total Assets</t>
  </si>
  <si>
    <t>Short-Term Borrowings / Notes Payable</t>
  </si>
  <si>
    <t>Accounts Payable</t>
  </si>
  <si>
    <t>Accrued Expenses</t>
  </si>
  <si>
    <t>Deferred Revenue - Current</t>
  </si>
  <si>
    <t>Other Current Liabilities</t>
  </si>
  <si>
    <t>Commercial Paper</t>
  </si>
  <si>
    <t>Current Debt / Term Debt</t>
  </si>
  <si>
    <t>Total Current Liabilities</t>
  </si>
  <si>
    <t>Long-Term Debt / Term Debt</t>
  </si>
  <si>
    <t>Deferred Revenue - Non-Current</t>
  </si>
  <si>
    <t>Other Non-Current Liabilities</t>
  </si>
  <si>
    <t>Total Non-Current Liabilities</t>
  </si>
  <si>
    <t>Total Liabilities</t>
  </si>
  <si>
    <t>Common Stock &amp; Additional Paid-In Capital</t>
  </si>
  <si>
    <t>Retained Earnings</t>
  </si>
  <si>
    <t>Accumulated Deficit</t>
  </si>
  <si>
    <t>Accumulated Other Comprehensive Income/(Loss)</t>
  </si>
  <si>
    <t>Total Shareholders' Equity</t>
  </si>
  <si>
    <t>Total Liabilities &amp; Shareholders' Equity</t>
  </si>
  <si>
    <t>Shares Used - Basic (000s)</t>
  </si>
  <si>
    <t>Shares Used - Diluted (000s)</t>
  </si>
  <si>
    <t>Cash Dividends Declared per Share</t>
  </si>
  <si>
    <t>PROFITABILITY &amp; GROWTH RATIOS</t>
  </si>
  <si>
    <t>Revenue growth rate</t>
  </si>
  <si>
    <t>Gross profit margin</t>
  </si>
  <si>
    <t>EBIT margin</t>
  </si>
  <si>
    <t>Net profit margin</t>
  </si>
  <si>
    <t>Return on equity (ROE)</t>
  </si>
  <si>
    <t>Return on assets (ROA)</t>
  </si>
  <si>
    <t>R&amp;D as % of revenue</t>
  </si>
  <si>
    <t>Effective tax rate</t>
  </si>
  <si>
    <t>LIQUIDITY RATIOS</t>
  </si>
  <si>
    <t>Current ratio</t>
  </si>
  <si>
    <t>Quick ratio (cash + short-term investments + trade receivables)</t>
  </si>
  <si>
    <t>Cash ratio</t>
  </si>
  <si>
    <t>Net working capital ($ millions)</t>
  </si>
  <si>
    <t>EFFICIENCY RATIOS</t>
  </si>
  <si>
    <t>Inventory turnover</t>
  </si>
  <si>
    <t>Accounts receivable turnover</t>
  </si>
  <si>
    <t>Accounts payable turnover</t>
  </si>
  <si>
    <t>Inventory processing period (360 days)</t>
  </si>
  <si>
    <t>Receivables collection period (360 days)</t>
  </si>
  <si>
    <t>Payables payment period (360 days)</t>
  </si>
  <si>
    <t>Cash conversion cycle (360 days)</t>
  </si>
  <si>
    <t>Total asset turnover</t>
  </si>
  <si>
    <t>LEVERAGE &amp; SOLVENCY RATIOS</t>
  </si>
  <si>
    <t>Total liabilities / total assets</t>
  </si>
  <si>
    <t>Debt-to-equity (interest-bearing debt)</t>
  </si>
  <si>
    <t>Debt-to-assets (interest-bearing debt)</t>
  </si>
  <si>
    <t>Equity multiplier</t>
  </si>
  <si>
    <t>Long-term debt / total capitalization</t>
  </si>
  <si>
    <t>Method: balance-sheet average ratios use prior/current fiscal-year values; FY2010 unavailable. Days use 360.</t>
  </si>
  <si>
    <t>Share price October 2026</t>
  </si>
  <si>
    <t>INVESTMENT RATIOS — SHARE PRICE INPUT FROM ROW 70</t>
  </si>
  <si>
    <t>Market price per share (USD; linked to source row 70)</t>
  </si>
  <si>
    <t>Basic EPS (USD per share)</t>
  </si>
  <si>
    <t>Diluted EPS (USD per share)</t>
  </si>
  <si>
    <t>Price / earnings (diluted)</t>
  </si>
  <si>
    <t>Earnings yield (diluted)</t>
  </si>
  <si>
    <t>Dividend yield</t>
  </si>
  <si>
    <t>Dividend payout ratio (diluted EPS)</t>
  </si>
  <si>
    <t>Retention ratio</t>
  </si>
  <si>
    <t>Book value per diluted share (USD)</t>
  </si>
  <si>
    <t>Price / book value</t>
  </si>
  <si>
    <t>Price / sales</t>
  </si>
  <si>
    <t>Market capitalization (USD millions; diluted shares proxy)</t>
  </si>
  <si>
    <t>Market value / total assets</t>
  </si>
  <si>
    <t>Sustainable growth rate (ROE × retention)</t>
  </si>
  <si>
    <t>Net income growth rate</t>
  </si>
  <si>
    <t>Diluted EPS growth rate</t>
  </si>
  <si>
    <t>Caution: Row 70 is labeled “Share price October 2026” although it contains different annual prices; verify the input prices and split basis before relying on investment ratios.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</si>
</sst>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3" formatCode="_(* #,##0.00_);_(* \(#,##0.00\);_(* &quot;-&quot;??_);_(@_)"/>
    <numFmt numFmtId="164" formatCode="&quot;FY&quot;0&quot;A&quot;"/>
    <numFmt numFmtId="165" formatCode="#,##0;[Red]\(#,##0\);\-"/>
    <numFmt numFmtId="166" formatCode="0.0%"/>
    <numFmt numFmtId="167" formatCode="0.00;[Red]\(0.00\);\-"/>
    <numFmt numFmtId="168" formatCode="_(* #,##0_);_(* \(#,##0\);_(* &quot;-&quot;??_);_(@_)"/>
    <numFmt numFmtId="169" formatCode="0.0%;[Red]\(0.0%\);\–"/>
    <numFmt numFmtId="170" formatCode="0.00&quot;x&quot;;[Red]\(0.00&quot;x&quot;\);\–"/>
    <numFmt numFmtId="171" formatCode="#,##0.0;[Red]\(#,##0.0\);\–"/>
    <numFmt numFmtId="172" formatCode="0.0;[Red]\(0.0\);\–"/>
    <numFmt numFmtId="173" formatCode="#,##0.00;[Red]\(#,##0.00\);\-"/>
    <numFmt numFmtId="174" formatCode="\$0.00;[Red]\(\$0.00\);\–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11"/>
      <name val="Carlito"/>
    </font>
    <font>
      <b/>
      <sz val="11"/>
      <name val="Carlito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rgb="FF17365D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/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166" fontId="8" fillId="0" borderId="0" xfId="2" applyNumberFormat="1" applyFont="1" applyAlignment="1">
      <alignment horizontal="right"/>
    </xf>
    <xf numFmtId="0" fontId="3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/>
    </xf>
    <xf numFmtId="165" fontId="8" fillId="0" borderId="3" xfId="0" applyNumberFormat="1" applyFont="1" applyBorder="1" applyAlignment="1">
      <alignment horizontal="right"/>
    </xf>
    <xf numFmtId="0" fontId="3" fillId="4" borderId="4" xfId="0" applyFont="1" applyFill="1" applyBorder="1" applyAlignment="1">
      <alignment horizontal="left" vertical="center"/>
    </xf>
    <xf numFmtId="165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/>
    </xf>
    <xf numFmtId="166" fontId="6" fillId="0" borderId="0" xfId="2" applyNumberFormat="1" applyFont="1" applyAlignment="1">
      <alignment horizontal="right"/>
    </xf>
    <xf numFmtId="3" fontId="6" fillId="0" borderId="0" xfId="0" applyNumberFormat="1" applyFont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10" fillId="0" borderId="0" xfId="0" applyFont="1"/>
    <xf numFmtId="166" fontId="6" fillId="0" borderId="0" xfId="2" applyNumberFormat="1" applyFont="1" applyAlignment="1">
      <alignment horizontal="right" vertical="center"/>
    </xf>
    <xf numFmtId="0" fontId="11" fillId="0" borderId="0" xfId="0" applyFont="1"/>
    <xf numFmtId="3" fontId="8" fillId="0" borderId="3" xfId="0" applyNumberFormat="1" applyFont="1" applyBorder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/>
    </xf>
    <xf numFmtId="0" fontId="5" fillId="3" borderId="0" xfId="0" applyFont="1" applyFill="1" applyAlignment="1">
      <alignment vertical="center"/>
    </xf>
    <xf numFmtId="165" fontId="5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right"/>
    </xf>
    <xf numFmtId="165" fontId="8" fillId="4" borderId="4" xfId="0" applyNumberFormat="1" applyFont="1" applyFill="1" applyBorder="1" applyAlignment="1">
      <alignment horizontal="right" vertical="center"/>
    </xf>
    <xf numFmtId="165" fontId="8" fillId="4" borderId="4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165" fontId="8" fillId="0" borderId="5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8" fontId="0" fillId="0" borderId="0" xfId="1" applyNumberFormat="1" applyFont="1"/>
    <xf numFmtId="0" fontId="2" fillId="0" borderId="0" xfId="0" applyFont="1"/>
    <xf numFmtId="0" fontId="3" fillId="2" borderId="1" xfId="3" applyFont="1" applyFill="1" applyBorder="1" applyAlignment="1">
      <alignment horizontal="left" vertical="center"/>
    </xf>
    <xf numFmtId="164" fontId="3" fillId="2" borderId="1" xfId="3" applyNumberFormat="1" applyFont="1" applyFill="1" applyBorder="1" applyAlignment="1">
      <alignment horizontal="right" vertical="center"/>
    </xf>
    <xf numFmtId="164" fontId="3" fillId="2" borderId="0" xfId="3" applyNumberFormat="1" applyFont="1" applyFill="1" applyAlignment="1">
      <alignment horizontal="right" vertical="center"/>
    </xf>
    <xf numFmtId="0" fontId="12" fillId="0" borderId="0" xfId="3"/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right" vertical="center"/>
    </xf>
    <xf numFmtId="0" fontId="4" fillId="0" borderId="0" xfId="3" applyFont="1"/>
    <xf numFmtId="0" fontId="3" fillId="0" borderId="2" xfId="3" applyFont="1" applyBorder="1" applyAlignment="1">
      <alignment horizontal="left" vertical="center"/>
    </xf>
    <xf numFmtId="165" fontId="6" fillId="0" borderId="2" xfId="3" applyNumberFormat="1" applyFont="1" applyBorder="1" applyAlignment="1">
      <alignment horizontal="right" vertical="center"/>
    </xf>
    <xf numFmtId="165" fontId="9" fillId="0" borderId="2" xfId="3" applyNumberFormat="1" applyFont="1" applyBorder="1" applyAlignment="1">
      <alignment horizontal="right" vertical="center"/>
    </xf>
    <xf numFmtId="165" fontId="6" fillId="0" borderId="3" xfId="3" applyNumberFormat="1" applyFont="1" applyBorder="1" applyAlignment="1">
      <alignment horizontal="right"/>
    </xf>
    <xf numFmtId="165" fontId="8" fillId="0" borderId="3" xfId="3" applyNumberFormat="1" applyFont="1" applyBorder="1" applyAlignment="1">
      <alignment horizontal="right"/>
    </xf>
    <xf numFmtId="0" fontId="13" fillId="0" borderId="0" xfId="3" applyFont="1"/>
    <xf numFmtId="168" fontId="0" fillId="0" borderId="0" xfId="4" applyNumberFormat="1" applyFont="1"/>
    <xf numFmtId="0" fontId="3" fillId="5" borderId="4" xfId="3" applyFont="1" applyFill="1" applyBorder="1" applyAlignment="1">
      <alignment horizontal="left" vertical="center"/>
    </xf>
    <xf numFmtId="165" fontId="4" fillId="5" borderId="4" xfId="3" applyNumberFormat="1" applyFont="1" applyFill="1" applyBorder="1" applyAlignment="1">
      <alignment horizontal="right" vertical="center"/>
    </xf>
    <xf numFmtId="166" fontId="6" fillId="0" borderId="0" xfId="5" applyNumberFormat="1" applyFont="1" applyAlignment="1">
      <alignment horizontal="right"/>
    </xf>
    <xf numFmtId="165" fontId="6" fillId="0" borderId="0" xfId="3" applyNumberFormat="1" applyFont="1" applyAlignment="1">
      <alignment horizontal="right"/>
    </xf>
    <xf numFmtId="165" fontId="4" fillId="5" borderId="4" xfId="3" applyNumberFormat="1" applyFont="1" applyFill="1" applyBorder="1" applyAlignment="1">
      <alignment horizontal="right"/>
    </xf>
    <xf numFmtId="0" fontId="7" fillId="0" borderId="0" xfId="3" applyFont="1" applyAlignment="1">
      <alignment horizontal="left" vertical="center"/>
    </xf>
    <xf numFmtId="166" fontId="8" fillId="0" borderId="0" xfId="5" applyNumberFormat="1" applyFont="1" applyAlignment="1">
      <alignment horizontal="right"/>
    </xf>
    <xf numFmtId="165" fontId="6" fillId="0" borderId="0" xfId="3" applyNumberFormat="1" applyFont="1" applyAlignment="1">
      <alignment horizontal="right" vertical="center"/>
    </xf>
    <xf numFmtId="3" fontId="6" fillId="0" borderId="0" xfId="3" applyNumberFormat="1" applyFont="1" applyAlignment="1">
      <alignment horizontal="right" vertical="center"/>
    </xf>
    <xf numFmtId="0" fontId="11" fillId="0" borderId="0" xfId="3" applyFont="1"/>
    <xf numFmtId="3" fontId="8" fillId="0" borderId="3" xfId="3" applyNumberFormat="1" applyFont="1" applyBorder="1" applyAlignment="1">
      <alignment horizontal="right" vertical="center"/>
    </xf>
    <xf numFmtId="0" fontId="10" fillId="0" borderId="0" xfId="3" applyFont="1"/>
    <xf numFmtId="166" fontId="6" fillId="0" borderId="0" xfId="5" applyNumberFormat="1" applyFont="1" applyAlignment="1">
      <alignment horizontal="right" vertical="center"/>
    </xf>
    <xf numFmtId="167" fontId="6" fillId="0" borderId="0" xfId="3" applyNumberFormat="1" applyFont="1" applyAlignment="1">
      <alignment horizontal="right" vertical="center"/>
    </xf>
    <xf numFmtId="167" fontId="6" fillId="0" borderId="0" xfId="3" applyNumberFormat="1" applyFont="1" applyAlignment="1">
      <alignment horizontal="right"/>
    </xf>
    <xf numFmtId="0" fontId="5" fillId="3" borderId="0" xfId="3" applyFont="1" applyFill="1" applyAlignment="1">
      <alignment vertical="center"/>
    </xf>
    <xf numFmtId="165" fontId="5" fillId="3" borderId="0" xfId="3" applyNumberFormat="1" applyFont="1" applyFill="1" applyAlignment="1">
      <alignment vertical="center"/>
    </xf>
    <xf numFmtId="0" fontId="3" fillId="5" borderId="0" xfId="3" applyFont="1" applyFill="1" applyAlignment="1">
      <alignment horizontal="left" vertical="center"/>
    </xf>
    <xf numFmtId="165" fontId="4" fillId="5" borderId="0" xfId="3" applyNumberFormat="1" applyFont="1" applyFill="1" applyAlignment="1">
      <alignment horizontal="right" vertical="center"/>
    </xf>
    <xf numFmtId="165" fontId="4" fillId="5" borderId="0" xfId="3" applyNumberFormat="1" applyFont="1" applyFill="1" applyAlignment="1">
      <alignment horizontal="right"/>
    </xf>
    <xf numFmtId="165" fontId="8" fillId="5" borderId="4" xfId="3" applyNumberFormat="1" applyFont="1" applyFill="1" applyBorder="1" applyAlignment="1">
      <alignment horizontal="right" vertical="center"/>
    </xf>
    <xf numFmtId="165" fontId="8" fillId="5" borderId="4" xfId="3" applyNumberFormat="1" applyFont="1" applyFill="1" applyBorder="1" applyAlignment="1">
      <alignment horizontal="right"/>
    </xf>
    <xf numFmtId="3" fontId="6" fillId="0" borderId="0" xfId="3" applyNumberFormat="1" applyFont="1" applyAlignment="1">
      <alignment horizontal="right"/>
    </xf>
    <xf numFmtId="165" fontId="8" fillId="0" borderId="5" xfId="3" applyNumberFormat="1" applyFont="1" applyBorder="1" applyAlignment="1">
      <alignment horizontal="right"/>
    </xf>
    <xf numFmtId="165" fontId="8" fillId="0" borderId="0" xfId="3" applyNumberFormat="1" applyFont="1" applyAlignment="1">
      <alignment horizontal="right"/>
    </xf>
    <xf numFmtId="0" fontId="14" fillId="6" borderId="0" xfId="3" applyFont="1" applyFill="1"/>
    <xf numFmtId="169" fontId="12" fillId="0" borderId="0" xfId="3" applyNumberFormat="1"/>
    <xf numFmtId="170" fontId="12" fillId="0" borderId="0" xfId="3" applyNumberFormat="1"/>
    <xf numFmtId="171" fontId="12" fillId="0" borderId="0" xfId="3" applyNumberFormat="1"/>
    <xf numFmtId="172" fontId="12" fillId="0" borderId="0" xfId="3" applyNumberFormat="1"/>
    <xf numFmtId="0" fontId="15" fillId="0" borderId="0" xfId="3" applyFont="1" applyAlignment="1">
      <alignment wrapText="1"/>
    </xf>
    <xf numFmtId="173" fontId="8" fillId="0" borderId="0" xfId="3" applyNumberFormat="1" applyFont="1" applyAlignment="1">
      <alignment horizontal="right"/>
    </xf>
    <xf numFmtId="8" fontId="14" fillId="6" borderId="0" xfId="3" applyNumberFormat="1" applyFont="1" applyFill="1"/>
    <xf numFmtId="174" fontId="12" fillId="0" borderId="0" xfId="3" applyNumberFormat="1"/>
    <xf numFmtId="0" fontId="5" fillId="3" borderId="0" xfId="3" applyFont="1" applyFill="1" applyAlignment="1">
      <alignment horizontal="left" vertical="center"/>
    </xf>
    <xf numFmtId="165" fontId="5" fillId="3" borderId="0" xfId="3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166" fontId="12" fillId="0" borderId="0" xfId="2" applyNumberFormat="1" applyFont="1"/>
  </cellXfs>
  <cellStyles count="6">
    <cellStyle name="Comma" xfId="1" builtinId="3"/>
    <cellStyle name="Comma 2" xfId="4" xr:uid="{99A6CD6F-45A4-4316-B4BE-42D7D25407C9}"/>
    <cellStyle name="Normal" xfId="0" builtinId="0"/>
    <cellStyle name="Normal 2" xfId="3" xr:uid="{25D7A176-AB9D-4667-A998-2CF96CDD9238}"/>
    <cellStyle name="Percent" xfId="2" builtinId="5"/>
    <cellStyle name="Percent 2" xfId="5" xr:uid="{060569A9-C2C1-4F11-9A98-604F5E101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D14-3741-4DCB-B667-243CD0E370FB}">
  <dimension ref="A2:B63"/>
  <sheetViews>
    <sheetView workbookViewId="0">
      <selection activeCell="G8" sqref="G8"/>
    </sheetView>
  </sheetViews>
  <sheetFormatPr defaultRowHeight="14.4"/>
  <cols>
    <col min="1" max="1" width="71.33203125" bestFit="1" customWidth="1"/>
  </cols>
  <sheetData>
    <row r="2" spans="1:2">
      <c r="A2" s="1" t="s">
        <v>0</v>
      </c>
      <c r="B2" s="2">
        <v>2010</v>
      </c>
    </row>
    <row r="3" spans="1:2">
      <c r="A3" s="4"/>
      <c r="B3" s="5"/>
    </row>
    <row r="4" spans="1:2">
      <c r="A4" s="89" t="s">
        <v>1</v>
      </c>
      <c r="B4" s="90"/>
    </row>
    <row r="5" spans="1:2">
      <c r="A5" s="11" t="s">
        <v>3</v>
      </c>
      <c r="B5" s="12">
        <v>65225</v>
      </c>
    </row>
    <row r="6" spans="1:2">
      <c r="A6" s="38" t="s">
        <v>4</v>
      </c>
      <c r="B6" s="37">
        <v>39541</v>
      </c>
    </row>
    <row r="7" spans="1:2">
      <c r="A7" s="16" t="s">
        <v>5</v>
      </c>
      <c r="B7" s="17">
        <f>B5-B6</f>
        <v>25684</v>
      </c>
    </row>
    <row r="9" spans="1:2">
      <c r="A9" t="s">
        <v>6</v>
      </c>
      <c r="B9" s="8">
        <v>1782</v>
      </c>
    </row>
    <row r="10" spans="1:2">
      <c r="A10" t="s">
        <v>7</v>
      </c>
      <c r="B10" s="8">
        <v>5517</v>
      </c>
    </row>
    <row r="11" spans="1:2">
      <c r="A11" s="16" t="s">
        <v>8</v>
      </c>
      <c r="B11" s="17">
        <f>B9+B10</f>
        <v>7299</v>
      </c>
    </row>
    <row r="12" spans="1:2">
      <c r="A12" s="16" t="s">
        <v>9</v>
      </c>
      <c r="B12" s="17">
        <f>B7-B11</f>
        <v>18385</v>
      </c>
    </row>
    <row r="13" spans="1:2">
      <c r="A13" s="9" t="s">
        <v>2</v>
      </c>
      <c r="B13" s="10" t="str">
        <f>IFERROR(B12/#REF!-1,"")</f>
        <v/>
      </c>
    </row>
    <row r="15" spans="1:2">
      <c r="A15" t="s">
        <v>10</v>
      </c>
      <c r="B15" s="7">
        <v>155</v>
      </c>
    </row>
    <row r="16" spans="1:2">
      <c r="A16" s="24" t="s">
        <v>11</v>
      </c>
      <c r="B16" s="25">
        <f>B15</f>
        <v>155</v>
      </c>
    </row>
    <row r="17" spans="1:2">
      <c r="A17" s="22"/>
      <c r="B17" s="23"/>
    </row>
    <row r="18" spans="1:2">
      <c r="B18" s="7"/>
    </row>
    <row r="19" spans="1:2">
      <c r="A19" t="s">
        <v>12</v>
      </c>
      <c r="B19" s="7">
        <f>B12+B16</f>
        <v>18540</v>
      </c>
    </row>
    <row r="20" spans="1:2">
      <c r="A20" t="s">
        <v>13</v>
      </c>
      <c r="B20" s="7">
        <v>4527</v>
      </c>
    </row>
    <row r="21" spans="1:2">
      <c r="A21" s="24" t="s">
        <v>14</v>
      </c>
      <c r="B21" s="17">
        <f>B19-B20</f>
        <v>14013</v>
      </c>
    </row>
    <row r="22" spans="1:2">
      <c r="B22" s="26"/>
    </row>
    <row r="23" spans="1:2">
      <c r="A23" s="4"/>
      <c r="B23" s="7"/>
    </row>
    <row r="24" spans="1:2">
      <c r="A24" s="28" t="s">
        <v>15</v>
      </c>
      <c r="B24" s="29"/>
    </row>
    <row r="25" spans="1:2">
      <c r="A25" s="4" t="s">
        <v>16</v>
      </c>
      <c r="B25" s="7">
        <v>11261</v>
      </c>
    </row>
    <row r="26" spans="1:2">
      <c r="A26" s="4" t="s">
        <v>17</v>
      </c>
      <c r="B26" s="7">
        <v>14359</v>
      </c>
    </row>
    <row r="27" spans="1:2">
      <c r="A27" s="4" t="s">
        <v>18</v>
      </c>
      <c r="B27" s="7">
        <v>5510</v>
      </c>
    </row>
    <row r="28" spans="1:2">
      <c r="A28" s="4" t="s">
        <v>19</v>
      </c>
      <c r="B28" s="7">
        <v>1051</v>
      </c>
    </row>
    <row r="29" spans="1:2">
      <c r="A29" s="4" t="s">
        <v>20</v>
      </c>
      <c r="B29" s="7">
        <v>1636</v>
      </c>
    </row>
    <row r="30" spans="1:2">
      <c r="A30" s="4" t="s">
        <v>21</v>
      </c>
      <c r="B30" s="7">
        <v>4414</v>
      </c>
    </row>
    <row r="31" spans="1:2">
      <c r="A31" s="4" t="s">
        <v>22</v>
      </c>
      <c r="B31" s="7">
        <v>3447</v>
      </c>
    </row>
    <row r="32" spans="1:2">
      <c r="A32" s="16" t="s">
        <v>23</v>
      </c>
      <c r="B32" s="17">
        <f>B25+B26+B27+B28+B29+B30+B31</f>
        <v>41678</v>
      </c>
    </row>
    <row r="33" spans="1:2">
      <c r="A33" s="30"/>
      <c r="B33" s="21"/>
    </row>
    <row r="34" spans="1:2">
      <c r="A34" s="30" t="s">
        <v>24</v>
      </c>
      <c r="B34" s="7">
        <v>4768</v>
      </c>
    </row>
    <row r="35" spans="1:2">
      <c r="A35" s="4" t="s">
        <v>25</v>
      </c>
      <c r="B35" s="7">
        <v>25391</v>
      </c>
    </row>
    <row r="36" spans="1:2">
      <c r="A36" s="4" t="s">
        <v>26</v>
      </c>
      <c r="B36" s="7">
        <v>741</v>
      </c>
    </row>
    <row r="37" spans="1:2">
      <c r="A37" s="4" t="s">
        <v>27</v>
      </c>
      <c r="B37" s="7">
        <v>342</v>
      </c>
    </row>
    <row r="38" spans="1:2">
      <c r="A38" s="4" t="s">
        <v>28</v>
      </c>
      <c r="B38" s="7">
        <v>2263</v>
      </c>
    </row>
    <row r="39" spans="1:2">
      <c r="A39" s="4" t="s">
        <v>29</v>
      </c>
      <c r="B39" s="7">
        <v>0</v>
      </c>
    </row>
    <row r="40" spans="1:2">
      <c r="A40" s="16" t="s">
        <v>30</v>
      </c>
      <c r="B40" s="17">
        <f>B34+B35+B36+B37+B38+B39</f>
        <v>33505</v>
      </c>
    </row>
    <row r="41" spans="1:2">
      <c r="A41" s="16" t="s">
        <v>31</v>
      </c>
      <c r="B41" s="17">
        <f>B32+B40</f>
        <v>75183</v>
      </c>
    </row>
    <row r="42" spans="1:2">
      <c r="A42" s="30"/>
      <c r="B42" s="21"/>
    </row>
    <row r="43" spans="1:2">
      <c r="A43" s="4" t="s">
        <v>32</v>
      </c>
      <c r="B43" s="7">
        <v>0</v>
      </c>
    </row>
    <row r="44" spans="1:2">
      <c r="A44" s="4" t="s">
        <v>33</v>
      </c>
      <c r="B44" s="7">
        <v>12015</v>
      </c>
    </row>
    <row r="45" spans="1:2">
      <c r="A45" s="4" t="s">
        <v>34</v>
      </c>
      <c r="B45" s="7">
        <v>5723</v>
      </c>
    </row>
    <row r="46" spans="1:2">
      <c r="A46" s="4" t="s">
        <v>35</v>
      </c>
      <c r="B46" s="7">
        <v>2984</v>
      </c>
    </row>
    <row r="47" spans="1:2">
      <c r="A47" s="4" t="s">
        <v>36</v>
      </c>
      <c r="B47" s="7">
        <v>0</v>
      </c>
    </row>
    <row r="48" spans="1:2">
      <c r="A48" s="4" t="s">
        <v>37</v>
      </c>
      <c r="B48" s="7">
        <v>0</v>
      </c>
    </row>
    <row r="49" spans="1:2">
      <c r="A49" s="4" t="s">
        <v>38</v>
      </c>
      <c r="B49" s="7">
        <v>0</v>
      </c>
    </row>
    <row r="50" spans="1:2">
      <c r="A50" s="16" t="s">
        <v>39</v>
      </c>
      <c r="B50" s="17">
        <f>SUM(B43:B49)</f>
        <v>20722</v>
      </c>
    </row>
    <row r="51" spans="1:2">
      <c r="A51" s="30"/>
      <c r="B51" s="21"/>
    </row>
    <row r="52" spans="1:2">
      <c r="A52" s="4" t="s">
        <v>40</v>
      </c>
      <c r="B52" s="7">
        <v>0</v>
      </c>
    </row>
    <row r="53" spans="1:2">
      <c r="A53" s="4" t="s">
        <v>41</v>
      </c>
      <c r="B53" s="7">
        <v>1139</v>
      </c>
    </row>
    <row r="54" spans="1:2">
      <c r="A54" s="4" t="s">
        <v>42</v>
      </c>
      <c r="B54" s="7">
        <v>5531</v>
      </c>
    </row>
    <row r="55" spans="1:2">
      <c r="A55" s="16" t="s">
        <v>43</v>
      </c>
      <c r="B55" s="32">
        <f>SUM(B52:B54)</f>
        <v>6670</v>
      </c>
    </row>
    <row r="56" spans="1:2">
      <c r="A56" s="16" t="s">
        <v>44</v>
      </c>
      <c r="B56" s="15">
        <f>B50+B55</f>
        <v>27392</v>
      </c>
    </row>
    <row r="57" spans="1:2">
      <c r="A57" s="4"/>
      <c r="B57" s="8"/>
    </row>
    <row r="58" spans="1:2">
      <c r="A58" s="4" t="s">
        <v>45</v>
      </c>
      <c r="B58" s="8">
        <v>10668</v>
      </c>
    </row>
    <row r="59" spans="1:2">
      <c r="A59" s="4" t="s">
        <v>46</v>
      </c>
      <c r="B59" s="8">
        <v>37169</v>
      </c>
    </row>
    <row r="60" spans="1:2">
      <c r="A60" s="4" t="s">
        <v>47</v>
      </c>
      <c r="B60" s="8">
        <v>0</v>
      </c>
    </row>
    <row r="61" spans="1:2">
      <c r="A61" s="4" t="s">
        <v>48</v>
      </c>
      <c r="B61" s="34">
        <v>-46</v>
      </c>
    </row>
    <row r="62" spans="1:2">
      <c r="A62" s="16" t="s">
        <v>49</v>
      </c>
      <c r="B62" s="35">
        <f>SUM(B58:B61)</f>
        <v>47791</v>
      </c>
    </row>
    <row r="63" spans="1:2">
      <c r="A63" s="16" t="s">
        <v>50</v>
      </c>
      <c r="B63" s="36">
        <f>B56+B62</f>
        <v>75183</v>
      </c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3"/>
  <sheetViews>
    <sheetView topLeftCell="A55" workbookViewId="0">
      <selection activeCell="A2" sqref="A2:Q63"/>
    </sheetView>
  </sheetViews>
  <sheetFormatPr defaultRowHeight="14.4"/>
  <cols>
    <col min="1" max="1" width="35.44140625" customWidth="1"/>
    <col min="2" max="4" width="8.44140625" bestFit="1" customWidth="1"/>
    <col min="5" max="5" width="8.5546875" bestFit="1" customWidth="1"/>
    <col min="6" max="11" width="9.109375" bestFit="1" customWidth="1"/>
    <col min="12" max="17" width="10.109375" bestFit="1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89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</row>
    <row r="5" spans="1:17">
      <c r="A5" s="11" t="s">
        <v>3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4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5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6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7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8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9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2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</sheetData>
  <mergeCells count="1"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614C-1E83-48C7-8F00-34C5A69A9CD7}">
  <dimension ref="A2:Q63"/>
  <sheetViews>
    <sheetView workbookViewId="0">
      <selection activeCell="F21" sqref="F21"/>
    </sheetView>
  </sheetViews>
  <sheetFormatPr defaultRowHeight="14.4"/>
  <cols>
    <col min="1" max="1" width="37.5546875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89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</row>
    <row r="5" spans="1:17">
      <c r="A5" s="11" t="s">
        <v>3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4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5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6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7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8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9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2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</sheetData>
  <mergeCells count="1">
    <mergeCell ref="A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343C-C9E1-45DC-9395-166BA2787E4C}">
  <dimension ref="A2:Q63"/>
  <sheetViews>
    <sheetView topLeftCell="A40" workbookViewId="0">
      <selection activeCell="A2" sqref="A2:Q63"/>
    </sheetView>
  </sheetViews>
  <sheetFormatPr defaultRowHeight="14.4"/>
  <cols>
    <col min="1" max="1" width="41.33203125" customWidth="1"/>
  </cols>
  <sheetData>
    <row r="2" spans="1:17">
      <c r="A2" s="1" t="s">
        <v>0</v>
      </c>
      <c r="B2" s="2">
        <v>2010</v>
      </c>
      <c r="C2" s="2">
        <v>2011</v>
      </c>
      <c r="D2" s="2">
        <v>2012</v>
      </c>
      <c r="E2" s="2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  <c r="L2" s="3">
        <v>2020</v>
      </c>
      <c r="M2" s="3">
        <v>2021</v>
      </c>
      <c r="N2" s="3">
        <v>2022</v>
      </c>
      <c r="O2" s="3">
        <v>2023</v>
      </c>
      <c r="P2" s="3">
        <v>2024</v>
      </c>
      <c r="Q2" s="3">
        <v>2025</v>
      </c>
    </row>
    <row r="3" spans="1:17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89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</row>
    <row r="5" spans="1:17">
      <c r="A5" s="11" t="s">
        <v>3</v>
      </c>
      <c r="B5" s="12">
        <v>65225</v>
      </c>
      <c r="C5" s="12">
        <v>108249</v>
      </c>
      <c r="D5" s="12">
        <v>156508</v>
      </c>
      <c r="E5" s="13">
        <v>170910</v>
      </c>
      <c r="F5" s="14">
        <v>182795</v>
      </c>
      <c r="G5" s="14">
        <v>233715</v>
      </c>
      <c r="H5" s="14">
        <v>215639</v>
      </c>
      <c r="I5" s="14">
        <v>229234</v>
      </c>
      <c r="J5" s="14">
        <v>265595</v>
      </c>
      <c r="K5" s="15">
        <v>260174</v>
      </c>
      <c r="L5" s="15">
        <v>274515</v>
      </c>
      <c r="M5" s="15">
        <v>365817</v>
      </c>
      <c r="N5" s="15">
        <v>394328</v>
      </c>
      <c r="O5" s="15">
        <v>383285</v>
      </c>
      <c r="P5" s="15">
        <v>391035</v>
      </c>
      <c r="Q5" s="15">
        <v>416161</v>
      </c>
    </row>
    <row r="6" spans="1:17">
      <c r="A6" s="38" t="s">
        <v>4</v>
      </c>
      <c r="B6" s="37">
        <v>39541</v>
      </c>
      <c r="C6" s="37">
        <v>64431</v>
      </c>
      <c r="D6" s="37">
        <v>87846</v>
      </c>
      <c r="E6" s="37">
        <v>106606</v>
      </c>
      <c r="F6" s="37">
        <v>112258</v>
      </c>
      <c r="G6" s="37">
        <v>140089</v>
      </c>
      <c r="H6" s="37">
        <v>131376</v>
      </c>
      <c r="I6" s="37">
        <v>141048</v>
      </c>
      <c r="J6" s="37">
        <v>163756</v>
      </c>
      <c r="K6" s="37">
        <v>161782</v>
      </c>
      <c r="L6" s="37">
        <v>169559</v>
      </c>
      <c r="M6" s="37">
        <v>212981</v>
      </c>
      <c r="N6" s="37">
        <v>223546</v>
      </c>
      <c r="O6" s="37">
        <v>214137</v>
      </c>
      <c r="P6" s="37">
        <v>210352</v>
      </c>
      <c r="Q6" s="37">
        <v>220960</v>
      </c>
    </row>
    <row r="7" spans="1:17">
      <c r="A7" s="16" t="s">
        <v>5</v>
      </c>
      <c r="B7" s="17">
        <f>B5-B6</f>
        <v>25684</v>
      </c>
      <c r="C7" s="17">
        <f t="shared" ref="C7:Q7" si="0">C5-C6</f>
        <v>43818</v>
      </c>
      <c r="D7" s="17">
        <f t="shared" si="0"/>
        <v>68662</v>
      </c>
      <c r="E7" s="17">
        <f t="shared" si="0"/>
        <v>64304</v>
      </c>
      <c r="F7" s="17">
        <f t="shared" si="0"/>
        <v>70537</v>
      </c>
      <c r="G7" s="17">
        <f t="shared" si="0"/>
        <v>93626</v>
      </c>
      <c r="H7" s="17">
        <f t="shared" si="0"/>
        <v>84263</v>
      </c>
      <c r="I7" s="17">
        <f t="shared" si="0"/>
        <v>88186</v>
      </c>
      <c r="J7" s="17">
        <f t="shared" si="0"/>
        <v>101839</v>
      </c>
      <c r="K7" s="17">
        <f t="shared" si="0"/>
        <v>98392</v>
      </c>
      <c r="L7" s="17">
        <f t="shared" si="0"/>
        <v>104956</v>
      </c>
      <c r="M7" s="17">
        <f t="shared" si="0"/>
        <v>152836</v>
      </c>
      <c r="N7" s="17">
        <f t="shared" si="0"/>
        <v>170782</v>
      </c>
      <c r="O7" s="17">
        <f t="shared" si="0"/>
        <v>169148</v>
      </c>
      <c r="P7" s="17">
        <f t="shared" si="0"/>
        <v>180683</v>
      </c>
      <c r="Q7" s="17">
        <f t="shared" si="0"/>
        <v>195201</v>
      </c>
    </row>
    <row r="8" spans="1:17">
      <c r="L8" s="19"/>
    </row>
    <row r="9" spans="1:17">
      <c r="A9" t="s">
        <v>6</v>
      </c>
      <c r="B9" s="8">
        <v>1782</v>
      </c>
      <c r="C9" s="8">
        <v>2429</v>
      </c>
      <c r="D9" s="8">
        <v>3381</v>
      </c>
      <c r="E9" s="8">
        <v>4475</v>
      </c>
      <c r="F9" s="8">
        <v>6041</v>
      </c>
      <c r="G9" s="8">
        <v>8067</v>
      </c>
      <c r="H9" s="8">
        <v>10045</v>
      </c>
      <c r="I9" s="8">
        <v>11581</v>
      </c>
      <c r="J9" s="8">
        <v>14236</v>
      </c>
      <c r="K9" s="8">
        <v>16217</v>
      </c>
      <c r="L9" s="8">
        <v>18752</v>
      </c>
      <c r="M9" s="8">
        <v>21914</v>
      </c>
      <c r="N9" s="8">
        <v>26251</v>
      </c>
      <c r="O9" s="8">
        <v>29915</v>
      </c>
      <c r="P9" s="8">
        <v>31370</v>
      </c>
      <c r="Q9" s="8">
        <v>34550</v>
      </c>
    </row>
    <row r="10" spans="1:17">
      <c r="A10" t="s">
        <v>7</v>
      </c>
      <c r="B10" s="8">
        <v>5517</v>
      </c>
      <c r="C10" s="8">
        <v>7599</v>
      </c>
      <c r="D10" s="8">
        <v>10040</v>
      </c>
      <c r="E10" s="8">
        <v>10830</v>
      </c>
      <c r="F10" s="8">
        <v>11993</v>
      </c>
      <c r="G10" s="8">
        <v>14329</v>
      </c>
      <c r="H10" s="8">
        <v>14194</v>
      </c>
      <c r="I10" s="8">
        <v>15261</v>
      </c>
      <c r="J10" s="8">
        <v>16705</v>
      </c>
      <c r="K10" s="8">
        <v>18245</v>
      </c>
      <c r="L10" s="8">
        <v>19916</v>
      </c>
      <c r="M10" s="8">
        <v>21973</v>
      </c>
      <c r="N10" s="8">
        <v>25094</v>
      </c>
      <c r="O10" s="8">
        <v>24932</v>
      </c>
      <c r="P10" s="8">
        <v>26097</v>
      </c>
      <c r="Q10" s="8">
        <v>27601</v>
      </c>
    </row>
    <row r="11" spans="1:17">
      <c r="A11" s="16" t="s">
        <v>8</v>
      </c>
      <c r="B11" s="17">
        <f t="shared" ref="B11:Q11" si="1">B9+B10</f>
        <v>7299</v>
      </c>
      <c r="C11" s="17">
        <f t="shared" si="1"/>
        <v>10028</v>
      </c>
      <c r="D11" s="17">
        <f t="shared" si="1"/>
        <v>13421</v>
      </c>
      <c r="E11" s="17">
        <f t="shared" si="1"/>
        <v>15305</v>
      </c>
      <c r="F11" s="17">
        <f t="shared" si="1"/>
        <v>18034</v>
      </c>
      <c r="G11" s="17">
        <f t="shared" si="1"/>
        <v>22396</v>
      </c>
      <c r="H11" s="17">
        <f t="shared" si="1"/>
        <v>24239</v>
      </c>
      <c r="I11" s="17">
        <f t="shared" si="1"/>
        <v>26842</v>
      </c>
      <c r="J11" s="17">
        <f t="shared" si="1"/>
        <v>30941</v>
      </c>
      <c r="K11" s="17">
        <f t="shared" si="1"/>
        <v>34462</v>
      </c>
      <c r="L11" s="17">
        <f t="shared" si="1"/>
        <v>38668</v>
      </c>
      <c r="M11" s="17">
        <f t="shared" si="1"/>
        <v>43887</v>
      </c>
      <c r="N11" s="17">
        <f t="shared" si="1"/>
        <v>51345</v>
      </c>
      <c r="O11" s="17">
        <f t="shared" si="1"/>
        <v>54847</v>
      </c>
      <c r="P11" s="17">
        <f t="shared" si="1"/>
        <v>57467</v>
      </c>
      <c r="Q11" s="17">
        <f t="shared" si="1"/>
        <v>62151</v>
      </c>
    </row>
    <row r="12" spans="1:17">
      <c r="A12" s="16" t="s">
        <v>9</v>
      </c>
      <c r="B12" s="17">
        <f t="shared" ref="B12:Q12" si="2">B7-B11</f>
        <v>18385</v>
      </c>
      <c r="C12" s="17">
        <f t="shared" si="2"/>
        <v>33790</v>
      </c>
      <c r="D12" s="17">
        <f t="shared" si="2"/>
        <v>55241</v>
      </c>
      <c r="E12" s="17">
        <f t="shared" si="2"/>
        <v>48999</v>
      </c>
      <c r="F12" s="18">
        <f t="shared" si="2"/>
        <v>52503</v>
      </c>
      <c r="G12" s="18">
        <f t="shared" si="2"/>
        <v>71230</v>
      </c>
      <c r="H12" s="18">
        <f t="shared" si="2"/>
        <v>60024</v>
      </c>
      <c r="I12" s="18">
        <f t="shared" si="2"/>
        <v>61344</v>
      </c>
      <c r="J12" s="18">
        <f t="shared" si="2"/>
        <v>70898</v>
      </c>
      <c r="K12" s="18">
        <f t="shared" si="2"/>
        <v>63930</v>
      </c>
      <c r="L12" s="18">
        <f t="shared" si="2"/>
        <v>66288</v>
      </c>
      <c r="M12" s="18">
        <f t="shared" si="2"/>
        <v>108949</v>
      </c>
      <c r="N12" s="18">
        <f t="shared" si="2"/>
        <v>119437</v>
      </c>
      <c r="O12" s="18">
        <f t="shared" si="2"/>
        <v>114301</v>
      </c>
      <c r="P12" s="18">
        <f t="shared" si="2"/>
        <v>123216</v>
      </c>
      <c r="Q12" s="18">
        <f t="shared" si="2"/>
        <v>133050</v>
      </c>
    </row>
    <row r="13" spans="1:17">
      <c r="A13" s="9" t="s">
        <v>2</v>
      </c>
      <c r="B13" s="10" t="str">
        <f>IFERROR(B12/#REF!-1,"")</f>
        <v/>
      </c>
      <c r="C13" s="10">
        <f t="shared" ref="C13:Q13" si="3">IFERROR(C12/B12-1,"")</f>
        <v>0.83791134076692964</v>
      </c>
      <c r="D13" s="10">
        <f t="shared" si="3"/>
        <v>0.63483279076649901</v>
      </c>
      <c r="E13" s="10">
        <f t="shared" si="3"/>
        <v>-0.11299578211835415</v>
      </c>
      <c r="F13" s="10">
        <f t="shared" si="3"/>
        <v>7.151166350333682E-2</v>
      </c>
      <c r="G13" s="10">
        <f t="shared" si="3"/>
        <v>0.35668437994019397</v>
      </c>
      <c r="H13" s="10">
        <f t="shared" si="3"/>
        <v>-0.15732135336234732</v>
      </c>
      <c r="I13" s="10">
        <f t="shared" si="3"/>
        <v>2.1991203518592517E-2</v>
      </c>
      <c r="J13" s="10">
        <f t="shared" si="3"/>
        <v>0.15574465310380803</v>
      </c>
      <c r="K13" s="10">
        <f t="shared" si="3"/>
        <v>-9.8282038985584963E-2</v>
      </c>
      <c r="L13" s="10">
        <f t="shared" si="3"/>
        <v>3.6884091975598388E-2</v>
      </c>
      <c r="M13" s="10">
        <f t="shared" si="3"/>
        <v>0.64357048032826447</v>
      </c>
      <c r="N13" s="10">
        <f t="shared" si="3"/>
        <v>9.6265225013538513E-2</v>
      </c>
      <c r="O13" s="10">
        <f t="shared" si="3"/>
        <v>-4.3001749876503959E-2</v>
      </c>
      <c r="P13" s="10">
        <f t="shared" si="3"/>
        <v>7.7995818059334532E-2</v>
      </c>
      <c r="Q13" s="10">
        <f t="shared" si="3"/>
        <v>7.9811063498246959E-2</v>
      </c>
    </row>
    <row r="15" spans="1:17">
      <c r="A15" t="s">
        <v>10</v>
      </c>
      <c r="B15" s="7">
        <v>155</v>
      </c>
      <c r="C15" s="7">
        <v>415</v>
      </c>
      <c r="D15" s="7">
        <v>522</v>
      </c>
      <c r="E15" s="7">
        <v>1156</v>
      </c>
      <c r="F15" s="7">
        <v>980</v>
      </c>
      <c r="G15" s="7">
        <v>1285</v>
      </c>
      <c r="H15" s="7">
        <v>1348</v>
      </c>
      <c r="I15" s="7">
        <v>2745</v>
      </c>
      <c r="J15" s="7">
        <v>2005</v>
      </c>
      <c r="K15" s="7">
        <v>1807</v>
      </c>
      <c r="L15" s="7">
        <v>803</v>
      </c>
      <c r="M15" s="20">
        <v>258</v>
      </c>
      <c r="N15" s="20">
        <v>-334</v>
      </c>
      <c r="O15" s="20">
        <v>-565</v>
      </c>
      <c r="P15" s="20">
        <v>269</v>
      </c>
      <c r="Q15" s="20">
        <v>-321</v>
      </c>
    </row>
    <row r="16" spans="1:17">
      <c r="A16" s="24" t="s">
        <v>11</v>
      </c>
      <c r="B16" s="25">
        <f>B15</f>
        <v>155</v>
      </c>
      <c r="C16" s="25">
        <f t="shared" ref="C16:Q16" si="4">C15</f>
        <v>415</v>
      </c>
      <c r="D16" s="25">
        <f t="shared" si="4"/>
        <v>522</v>
      </c>
      <c r="E16" s="25">
        <f t="shared" si="4"/>
        <v>1156</v>
      </c>
      <c r="F16" s="25">
        <f t="shared" si="4"/>
        <v>980</v>
      </c>
      <c r="G16" s="25">
        <f t="shared" si="4"/>
        <v>1285</v>
      </c>
      <c r="H16" s="25">
        <f t="shared" si="4"/>
        <v>1348</v>
      </c>
      <c r="I16" s="25">
        <f t="shared" si="4"/>
        <v>2745</v>
      </c>
      <c r="J16" s="25">
        <f t="shared" si="4"/>
        <v>2005</v>
      </c>
      <c r="K16" s="25">
        <f t="shared" si="4"/>
        <v>1807</v>
      </c>
      <c r="L16" s="25">
        <f t="shared" si="4"/>
        <v>803</v>
      </c>
      <c r="M16" s="25">
        <f t="shared" si="4"/>
        <v>258</v>
      </c>
      <c r="N16" s="25">
        <f t="shared" si="4"/>
        <v>-334</v>
      </c>
      <c r="O16" s="25">
        <f t="shared" si="4"/>
        <v>-565</v>
      </c>
      <c r="P16" s="25">
        <f t="shared" si="4"/>
        <v>269</v>
      </c>
      <c r="Q16" s="25">
        <f t="shared" si="4"/>
        <v>-321</v>
      </c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t="s">
        <v>12</v>
      </c>
      <c r="B19" s="7">
        <f t="shared" ref="B19:Q19" si="5">B12+B16</f>
        <v>18540</v>
      </c>
      <c r="C19" s="7">
        <f t="shared" si="5"/>
        <v>34205</v>
      </c>
      <c r="D19" s="7">
        <f t="shared" si="5"/>
        <v>55763</v>
      </c>
      <c r="E19" s="7">
        <f t="shared" si="5"/>
        <v>50155</v>
      </c>
      <c r="F19" s="7">
        <f t="shared" si="5"/>
        <v>53483</v>
      </c>
      <c r="G19" s="7">
        <f t="shared" si="5"/>
        <v>72515</v>
      </c>
      <c r="H19" s="7">
        <f t="shared" si="5"/>
        <v>61372</v>
      </c>
      <c r="I19" s="7">
        <f t="shared" si="5"/>
        <v>64089</v>
      </c>
      <c r="J19" s="7">
        <f t="shared" si="5"/>
        <v>72903</v>
      </c>
      <c r="K19" s="7">
        <f t="shared" si="5"/>
        <v>65737</v>
      </c>
      <c r="L19" s="7">
        <f t="shared" si="5"/>
        <v>67091</v>
      </c>
      <c r="M19" s="7">
        <f t="shared" si="5"/>
        <v>109207</v>
      </c>
      <c r="N19" s="7">
        <f t="shared" si="5"/>
        <v>119103</v>
      </c>
      <c r="O19" s="7">
        <f t="shared" si="5"/>
        <v>113736</v>
      </c>
      <c r="P19" s="7">
        <f t="shared" si="5"/>
        <v>123485</v>
      </c>
      <c r="Q19" s="7">
        <f t="shared" si="5"/>
        <v>132729</v>
      </c>
    </row>
    <row r="20" spans="1:17">
      <c r="A20" t="s">
        <v>13</v>
      </c>
      <c r="B20" s="7">
        <v>4527</v>
      </c>
      <c r="C20" s="7">
        <v>8283</v>
      </c>
      <c r="D20" s="7">
        <v>14030</v>
      </c>
      <c r="E20" s="7">
        <v>13118</v>
      </c>
      <c r="F20" s="7">
        <v>13973</v>
      </c>
      <c r="G20" s="7">
        <v>19121</v>
      </c>
      <c r="H20" s="7">
        <v>15685</v>
      </c>
      <c r="I20" s="7">
        <v>15738</v>
      </c>
      <c r="J20" s="7">
        <v>13372</v>
      </c>
      <c r="K20" s="7">
        <v>10481</v>
      </c>
      <c r="L20" s="7">
        <v>9680</v>
      </c>
      <c r="M20" s="7">
        <v>14527</v>
      </c>
      <c r="N20" s="7">
        <v>19300</v>
      </c>
      <c r="O20" s="7">
        <v>16741</v>
      </c>
      <c r="P20" s="7">
        <v>29749</v>
      </c>
      <c r="Q20" s="7">
        <v>20719</v>
      </c>
    </row>
    <row r="21" spans="1:17">
      <c r="A21" s="24" t="s">
        <v>14</v>
      </c>
      <c r="B21" s="17">
        <f t="shared" ref="B21:Q21" si="6">B19-B20</f>
        <v>14013</v>
      </c>
      <c r="C21" s="17">
        <f t="shared" si="6"/>
        <v>25922</v>
      </c>
      <c r="D21" s="17">
        <f t="shared" si="6"/>
        <v>41733</v>
      </c>
      <c r="E21" s="17">
        <f t="shared" si="6"/>
        <v>37037</v>
      </c>
      <c r="F21" s="17">
        <f t="shared" si="6"/>
        <v>39510</v>
      </c>
      <c r="G21" s="17">
        <f t="shared" si="6"/>
        <v>53394</v>
      </c>
      <c r="H21" s="17">
        <f t="shared" si="6"/>
        <v>45687</v>
      </c>
      <c r="I21" s="17">
        <f t="shared" si="6"/>
        <v>48351</v>
      </c>
      <c r="J21" s="17">
        <f t="shared" si="6"/>
        <v>59531</v>
      </c>
      <c r="K21" s="17">
        <f t="shared" si="6"/>
        <v>55256</v>
      </c>
      <c r="L21" s="17">
        <f t="shared" si="6"/>
        <v>57411</v>
      </c>
      <c r="M21" s="17">
        <f t="shared" si="6"/>
        <v>94680</v>
      </c>
      <c r="N21" s="17">
        <f t="shared" si="6"/>
        <v>99803</v>
      </c>
      <c r="O21" s="17">
        <f t="shared" si="6"/>
        <v>96995</v>
      </c>
      <c r="P21" s="17">
        <f t="shared" si="6"/>
        <v>93736</v>
      </c>
      <c r="Q21" s="17">
        <f t="shared" si="6"/>
        <v>112010</v>
      </c>
    </row>
    <row r="22" spans="1:17"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>
      <c r="A23" s="4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28" t="s">
        <v>15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s="4" t="s">
        <v>16</v>
      </c>
      <c r="B25" s="7">
        <v>11261</v>
      </c>
      <c r="C25" s="7">
        <v>9815</v>
      </c>
      <c r="D25" s="7">
        <v>10746</v>
      </c>
      <c r="E25" s="7">
        <v>14259</v>
      </c>
      <c r="F25" s="8">
        <v>13844</v>
      </c>
      <c r="G25" s="8">
        <v>21120</v>
      </c>
      <c r="H25" s="8">
        <v>20484</v>
      </c>
      <c r="I25" s="8">
        <v>20289</v>
      </c>
      <c r="J25" s="8">
        <v>25913</v>
      </c>
      <c r="K25" s="8">
        <v>48844</v>
      </c>
      <c r="L25" s="8">
        <v>38016</v>
      </c>
      <c r="M25" s="8">
        <v>34940</v>
      </c>
      <c r="N25" s="8">
        <v>23646</v>
      </c>
      <c r="O25" s="8">
        <v>29965</v>
      </c>
      <c r="P25" s="8">
        <v>29943</v>
      </c>
      <c r="Q25" s="8">
        <v>35934</v>
      </c>
    </row>
    <row r="26" spans="1:17">
      <c r="A26" s="4" t="s">
        <v>17</v>
      </c>
      <c r="B26" s="7">
        <v>14359</v>
      </c>
      <c r="C26" s="7">
        <v>16137</v>
      </c>
      <c r="D26" s="7">
        <v>18383</v>
      </c>
      <c r="E26" s="7">
        <v>26287</v>
      </c>
      <c r="F26" s="7">
        <v>11233</v>
      </c>
      <c r="G26" s="7">
        <v>20481</v>
      </c>
      <c r="H26" s="7">
        <v>46671</v>
      </c>
      <c r="I26" s="7">
        <v>53892</v>
      </c>
      <c r="J26" s="8">
        <v>40388</v>
      </c>
      <c r="K26" s="8">
        <v>51713</v>
      </c>
      <c r="L26" s="8">
        <v>52927</v>
      </c>
      <c r="M26" s="8">
        <v>27699</v>
      </c>
      <c r="N26" s="8">
        <v>24658</v>
      </c>
      <c r="O26" s="8">
        <v>31590</v>
      </c>
      <c r="P26" s="8">
        <v>35228</v>
      </c>
      <c r="Q26" s="8">
        <v>18763</v>
      </c>
    </row>
    <row r="27" spans="1:17">
      <c r="A27" s="4" t="s">
        <v>18</v>
      </c>
      <c r="B27" s="7">
        <v>5510</v>
      </c>
      <c r="C27" s="7">
        <v>5369</v>
      </c>
      <c r="D27" s="7">
        <v>10930</v>
      </c>
      <c r="E27" s="7">
        <v>13102</v>
      </c>
      <c r="F27" s="7">
        <v>17460</v>
      </c>
      <c r="G27" s="7">
        <v>16849</v>
      </c>
      <c r="H27" s="7">
        <v>15754</v>
      </c>
      <c r="I27" s="7">
        <v>17874</v>
      </c>
      <c r="J27" s="8">
        <v>23186</v>
      </c>
      <c r="K27" s="8">
        <v>22926</v>
      </c>
      <c r="L27" s="8">
        <v>16120</v>
      </c>
      <c r="M27" s="8">
        <v>26278</v>
      </c>
      <c r="N27" s="8">
        <v>28184</v>
      </c>
      <c r="O27" s="8">
        <v>29508</v>
      </c>
      <c r="P27" s="8">
        <v>33410</v>
      </c>
      <c r="Q27" s="8">
        <v>39777</v>
      </c>
    </row>
    <row r="28" spans="1:17">
      <c r="A28" s="4" t="s">
        <v>19</v>
      </c>
      <c r="B28" s="7">
        <v>1051</v>
      </c>
      <c r="C28" s="7">
        <v>776</v>
      </c>
      <c r="D28" s="7">
        <v>791</v>
      </c>
      <c r="E28" s="7">
        <v>1764</v>
      </c>
      <c r="F28" s="8">
        <v>2111</v>
      </c>
      <c r="G28" s="8">
        <v>2349</v>
      </c>
      <c r="H28" s="8">
        <v>2132</v>
      </c>
      <c r="I28" s="8">
        <v>4855</v>
      </c>
      <c r="J28" s="8">
        <v>3956</v>
      </c>
      <c r="K28" s="8">
        <v>4106</v>
      </c>
      <c r="L28" s="8">
        <v>4061</v>
      </c>
      <c r="M28" s="8">
        <v>6580</v>
      </c>
      <c r="N28" s="8">
        <v>4946</v>
      </c>
      <c r="O28" s="8">
        <v>6331</v>
      </c>
      <c r="P28" s="8">
        <v>7286</v>
      </c>
      <c r="Q28" s="8">
        <v>5718</v>
      </c>
    </row>
    <row r="29" spans="1:17">
      <c r="A29" s="4" t="s">
        <v>20</v>
      </c>
      <c r="B29" s="7">
        <v>1636</v>
      </c>
      <c r="C29" s="7">
        <v>2014</v>
      </c>
      <c r="D29" s="7">
        <v>2583</v>
      </c>
      <c r="E29" s="7">
        <v>3453</v>
      </c>
      <c r="F29" s="8">
        <v>4318</v>
      </c>
      <c r="G29" s="8">
        <v>5546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</row>
    <row r="30" spans="1:17">
      <c r="A30" s="4" t="s">
        <v>21</v>
      </c>
      <c r="B30" s="7">
        <v>4414</v>
      </c>
      <c r="C30" s="7">
        <v>6348</v>
      </c>
      <c r="D30" s="7">
        <v>7762</v>
      </c>
      <c r="E30" s="7">
        <v>7539</v>
      </c>
      <c r="F30" s="8">
        <v>9759</v>
      </c>
      <c r="G30" s="8">
        <v>13494</v>
      </c>
      <c r="H30" s="8">
        <v>13545</v>
      </c>
      <c r="I30" s="8">
        <v>17799</v>
      </c>
      <c r="J30" s="8">
        <v>25809</v>
      </c>
      <c r="K30" s="8">
        <v>22878</v>
      </c>
      <c r="L30" s="8">
        <v>21325</v>
      </c>
      <c r="M30" s="8">
        <v>25228</v>
      </c>
      <c r="N30" s="8">
        <v>32748</v>
      </c>
      <c r="O30" s="8">
        <v>31477</v>
      </c>
      <c r="P30" s="8">
        <v>32833</v>
      </c>
      <c r="Q30" s="8">
        <v>33180</v>
      </c>
    </row>
    <row r="31" spans="1:17">
      <c r="A31" s="4" t="s">
        <v>22</v>
      </c>
      <c r="B31" s="7">
        <v>3447</v>
      </c>
      <c r="C31" s="7">
        <v>4529</v>
      </c>
      <c r="D31" s="7">
        <v>6458</v>
      </c>
      <c r="E31" s="7">
        <v>6882</v>
      </c>
      <c r="F31" s="8">
        <v>9806</v>
      </c>
      <c r="G31" s="8">
        <v>9539</v>
      </c>
      <c r="H31" s="8">
        <v>8283</v>
      </c>
      <c r="I31" s="8">
        <v>13936</v>
      </c>
      <c r="J31" s="8">
        <v>12087</v>
      </c>
      <c r="K31" s="8">
        <v>12352</v>
      </c>
      <c r="L31" s="8">
        <v>11264</v>
      </c>
      <c r="M31" s="8">
        <v>14111</v>
      </c>
      <c r="N31" s="8">
        <v>21223</v>
      </c>
      <c r="O31" s="8">
        <v>14695</v>
      </c>
      <c r="P31" s="8">
        <v>14287</v>
      </c>
      <c r="Q31" s="8">
        <v>14585</v>
      </c>
    </row>
    <row r="32" spans="1:17">
      <c r="A32" s="16" t="s">
        <v>23</v>
      </c>
      <c r="B32" s="17">
        <f>B25+B26+B27+B28+B29+B30+B31</f>
        <v>41678</v>
      </c>
      <c r="C32" s="17">
        <f t="shared" ref="C32:Q32" si="7">C25+C26+C27+C28+C29+C30+C31</f>
        <v>44988</v>
      </c>
      <c r="D32" s="17">
        <f t="shared" si="7"/>
        <v>57653</v>
      </c>
      <c r="E32" s="17">
        <f t="shared" si="7"/>
        <v>73286</v>
      </c>
      <c r="F32" s="17">
        <f t="shared" si="7"/>
        <v>68531</v>
      </c>
      <c r="G32" s="17">
        <f t="shared" si="7"/>
        <v>89378</v>
      </c>
      <c r="H32" s="17">
        <f t="shared" si="7"/>
        <v>106869</v>
      </c>
      <c r="I32" s="17">
        <f t="shared" si="7"/>
        <v>128645</v>
      </c>
      <c r="J32" s="17">
        <f t="shared" si="7"/>
        <v>131339</v>
      </c>
      <c r="K32" s="17">
        <f t="shared" si="7"/>
        <v>162819</v>
      </c>
      <c r="L32" s="17">
        <f t="shared" si="7"/>
        <v>143713</v>
      </c>
      <c r="M32" s="17">
        <f t="shared" si="7"/>
        <v>134836</v>
      </c>
      <c r="N32" s="17">
        <f t="shared" si="7"/>
        <v>135405</v>
      </c>
      <c r="O32" s="17">
        <f t="shared" si="7"/>
        <v>143566</v>
      </c>
      <c r="P32" s="17">
        <f t="shared" si="7"/>
        <v>152987</v>
      </c>
      <c r="Q32" s="17">
        <f t="shared" si="7"/>
        <v>147957</v>
      </c>
    </row>
    <row r="33" spans="1:17">
      <c r="A33" s="3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30" t="s">
        <v>24</v>
      </c>
      <c r="B34" s="7">
        <v>4768</v>
      </c>
      <c r="C34" s="7">
        <v>7777</v>
      </c>
      <c r="D34" s="7">
        <v>15452</v>
      </c>
      <c r="E34" s="7">
        <v>16597</v>
      </c>
      <c r="F34" s="7">
        <v>20624</v>
      </c>
      <c r="G34" s="7">
        <v>22471</v>
      </c>
      <c r="H34" s="7">
        <v>27010</v>
      </c>
      <c r="I34" s="7">
        <v>33783</v>
      </c>
      <c r="J34" s="7">
        <v>41304</v>
      </c>
      <c r="K34" s="7">
        <v>37378</v>
      </c>
      <c r="L34" s="7">
        <v>36766</v>
      </c>
      <c r="M34" s="7">
        <v>39440</v>
      </c>
      <c r="N34" s="7">
        <v>42117</v>
      </c>
      <c r="O34" s="7">
        <v>43715</v>
      </c>
      <c r="P34" s="7">
        <v>45680</v>
      </c>
      <c r="Q34" s="7">
        <v>49834</v>
      </c>
    </row>
    <row r="35" spans="1:17">
      <c r="A35" s="4" t="s">
        <v>25</v>
      </c>
      <c r="B35" s="7">
        <v>25391</v>
      </c>
      <c r="C35" s="7">
        <v>55618</v>
      </c>
      <c r="D35" s="7">
        <v>92122</v>
      </c>
      <c r="E35" s="7">
        <v>106215</v>
      </c>
      <c r="F35" s="8">
        <v>130162</v>
      </c>
      <c r="G35" s="8">
        <v>164065</v>
      </c>
      <c r="H35" s="8">
        <v>170430</v>
      </c>
      <c r="I35" s="8">
        <v>194714</v>
      </c>
      <c r="J35" s="8">
        <v>170799</v>
      </c>
      <c r="K35" s="8">
        <v>105341</v>
      </c>
      <c r="L35" s="8">
        <v>100887</v>
      </c>
      <c r="M35" s="8">
        <v>127877</v>
      </c>
      <c r="N35" s="8">
        <v>120805</v>
      </c>
      <c r="O35" s="8">
        <v>100544</v>
      </c>
      <c r="P35" s="8">
        <v>91479</v>
      </c>
      <c r="Q35" s="8">
        <v>77723</v>
      </c>
    </row>
    <row r="36" spans="1:17">
      <c r="A36" s="4" t="s">
        <v>26</v>
      </c>
      <c r="B36" s="7">
        <v>741</v>
      </c>
      <c r="C36" s="7">
        <v>896</v>
      </c>
      <c r="D36" s="7">
        <v>1135</v>
      </c>
      <c r="E36" s="7">
        <v>1577</v>
      </c>
      <c r="F36" s="8">
        <v>4616</v>
      </c>
      <c r="G36" s="8">
        <v>5116</v>
      </c>
      <c r="H36" s="8">
        <v>5414</v>
      </c>
      <c r="I36" s="8">
        <v>5717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7">
      <c r="A37" s="4" t="s">
        <v>27</v>
      </c>
      <c r="B37" s="7">
        <v>342</v>
      </c>
      <c r="C37" s="7">
        <v>3536</v>
      </c>
      <c r="D37" s="7">
        <v>4224</v>
      </c>
      <c r="E37" s="7">
        <v>4179</v>
      </c>
      <c r="F37" s="8">
        <v>4142</v>
      </c>
      <c r="G37" s="8">
        <v>3893</v>
      </c>
      <c r="H37" s="8">
        <v>3206</v>
      </c>
      <c r="I37" s="8">
        <v>2298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>
      <c r="A38" s="4" t="s">
        <v>28</v>
      </c>
      <c r="B38" s="7">
        <v>2263</v>
      </c>
      <c r="C38" s="7">
        <v>3556</v>
      </c>
      <c r="D38" s="7">
        <v>5478</v>
      </c>
      <c r="E38" s="7">
        <v>5146</v>
      </c>
      <c r="F38" s="8">
        <v>3764</v>
      </c>
      <c r="G38" s="8">
        <v>5556</v>
      </c>
      <c r="H38" s="8">
        <v>8757</v>
      </c>
      <c r="I38" s="8">
        <v>10162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</row>
    <row r="39" spans="1:17">
      <c r="A39" s="4" t="s">
        <v>29</v>
      </c>
      <c r="B39" s="7">
        <v>0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8">
        <v>22283</v>
      </c>
      <c r="K39" s="8">
        <v>32978</v>
      </c>
      <c r="L39" s="8">
        <v>42522</v>
      </c>
      <c r="M39" s="8">
        <v>48849</v>
      </c>
      <c r="N39" s="8">
        <v>54428</v>
      </c>
      <c r="O39" s="8">
        <v>64758</v>
      </c>
      <c r="P39" s="8">
        <v>74834</v>
      </c>
      <c r="Q39" s="8">
        <v>83727</v>
      </c>
    </row>
    <row r="40" spans="1:17">
      <c r="A40" s="16" t="s">
        <v>30</v>
      </c>
      <c r="B40" s="17">
        <f>B34+B35+B36+B37+B38+B39</f>
        <v>33505</v>
      </c>
      <c r="C40" s="17">
        <f t="shared" ref="C40:Q40" si="8">C34+C35+C36+C37+C38+C39</f>
        <v>71383</v>
      </c>
      <c r="D40" s="17">
        <f t="shared" si="8"/>
        <v>118411</v>
      </c>
      <c r="E40" s="17">
        <f t="shared" si="8"/>
        <v>133714</v>
      </c>
      <c r="F40" s="17">
        <f t="shared" si="8"/>
        <v>163308</v>
      </c>
      <c r="G40" s="17">
        <f t="shared" si="8"/>
        <v>201101</v>
      </c>
      <c r="H40" s="17">
        <f t="shared" si="8"/>
        <v>214817</v>
      </c>
      <c r="I40" s="17">
        <f t="shared" si="8"/>
        <v>246674</v>
      </c>
      <c r="J40" s="17">
        <f t="shared" si="8"/>
        <v>234386</v>
      </c>
      <c r="K40" s="17">
        <f t="shared" si="8"/>
        <v>175697</v>
      </c>
      <c r="L40" s="17">
        <f t="shared" si="8"/>
        <v>180175</v>
      </c>
      <c r="M40" s="17">
        <f t="shared" si="8"/>
        <v>216166</v>
      </c>
      <c r="N40" s="17">
        <f t="shared" si="8"/>
        <v>217350</v>
      </c>
      <c r="O40" s="17">
        <f t="shared" si="8"/>
        <v>209017</v>
      </c>
      <c r="P40" s="17">
        <f t="shared" si="8"/>
        <v>211993</v>
      </c>
      <c r="Q40" s="17">
        <f t="shared" si="8"/>
        <v>211284</v>
      </c>
    </row>
    <row r="41" spans="1:17">
      <c r="A41" s="16" t="s">
        <v>31</v>
      </c>
      <c r="B41" s="17">
        <f t="shared" ref="B41:Q41" si="9">B32+B40</f>
        <v>75183</v>
      </c>
      <c r="C41" s="17">
        <f t="shared" si="9"/>
        <v>116371</v>
      </c>
      <c r="D41" s="17">
        <f t="shared" si="9"/>
        <v>176064</v>
      </c>
      <c r="E41" s="17">
        <f t="shared" si="9"/>
        <v>207000</v>
      </c>
      <c r="F41" s="18">
        <f t="shared" si="9"/>
        <v>231839</v>
      </c>
      <c r="G41" s="18">
        <f t="shared" si="9"/>
        <v>290479</v>
      </c>
      <c r="H41" s="18">
        <f t="shared" si="9"/>
        <v>321686</v>
      </c>
      <c r="I41" s="18">
        <f t="shared" si="9"/>
        <v>375319</v>
      </c>
      <c r="J41" s="18">
        <f t="shared" si="9"/>
        <v>365725</v>
      </c>
      <c r="K41" s="18">
        <f t="shared" si="9"/>
        <v>338516</v>
      </c>
      <c r="L41" s="18">
        <f t="shared" si="9"/>
        <v>323888</v>
      </c>
      <c r="M41" s="18">
        <f t="shared" si="9"/>
        <v>351002</v>
      </c>
      <c r="N41" s="18">
        <f t="shared" si="9"/>
        <v>352755</v>
      </c>
      <c r="O41" s="18">
        <f t="shared" si="9"/>
        <v>352583</v>
      </c>
      <c r="P41" s="18">
        <f t="shared" si="9"/>
        <v>364980</v>
      </c>
      <c r="Q41" s="18">
        <f t="shared" si="9"/>
        <v>359241</v>
      </c>
    </row>
    <row r="42" spans="1:17">
      <c r="A42" s="30"/>
      <c r="B42" s="21"/>
      <c r="C42" s="21"/>
      <c r="D42" s="21"/>
      <c r="E42" s="2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>
      <c r="A43" s="4" t="s">
        <v>32</v>
      </c>
      <c r="B43" s="7">
        <v>0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</row>
    <row r="44" spans="1:17">
      <c r="A44" s="4" t="s">
        <v>33</v>
      </c>
      <c r="B44" s="7">
        <v>12015</v>
      </c>
      <c r="C44" s="7">
        <v>14632</v>
      </c>
      <c r="D44" s="7">
        <v>21175</v>
      </c>
      <c r="E44" s="7">
        <v>22367</v>
      </c>
      <c r="F44" s="7">
        <v>30196</v>
      </c>
      <c r="G44" s="7">
        <v>35490</v>
      </c>
      <c r="H44" s="7">
        <v>37294</v>
      </c>
      <c r="I44" s="7">
        <v>49049</v>
      </c>
      <c r="J44" s="7">
        <v>55888</v>
      </c>
      <c r="K44" s="7">
        <v>46236</v>
      </c>
      <c r="L44" s="7">
        <v>42296</v>
      </c>
      <c r="M44" s="7">
        <v>54763</v>
      </c>
      <c r="N44" s="7">
        <v>64115</v>
      </c>
      <c r="O44" s="7">
        <v>62611</v>
      </c>
      <c r="P44" s="8">
        <v>68960</v>
      </c>
      <c r="Q44" s="8">
        <v>69860</v>
      </c>
    </row>
    <row r="45" spans="1:17">
      <c r="A45" s="4" t="s">
        <v>34</v>
      </c>
      <c r="B45" s="7">
        <v>5723</v>
      </c>
      <c r="C45" s="7">
        <v>9247</v>
      </c>
      <c r="D45" s="7">
        <v>11414</v>
      </c>
      <c r="E45" s="7">
        <v>13856</v>
      </c>
      <c r="F45" s="8">
        <v>18453</v>
      </c>
      <c r="G45" s="8">
        <v>25181</v>
      </c>
      <c r="H45" s="8">
        <v>22027</v>
      </c>
      <c r="I45" s="8">
        <v>25744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>
      <c r="A46" s="4" t="s">
        <v>35</v>
      </c>
      <c r="B46" s="7">
        <v>2984</v>
      </c>
      <c r="C46" s="7">
        <v>4091</v>
      </c>
      <c r="D46" s="7">
        <v>5953</v>
      </c>
      <c r="E46" s="7">
        <v>7435</v>
      </c>
      <c r="F46" s="7">
        <v>8491</v>
      </c>
      <c r="G46" s="7">
        <v>8940</v>
      </c>
      <c r="H46" s="7">
        <v>8080</v>
      </c>
      <c r="I46" s="7">
        <v>7548</v>
      </c>
      <c r="J46" s="7">
        <v>7543</v>
      </c>
      <c r="K46" s="7">
        <v>5522</v>
      </c>
      <c r="L46" s="7">
        <v>6643</v>
      </c>
      <c r="M46" s="7">
        <v>7612</v>
      </c>
      <c r="N46" s="8">
        <v>7912</v>
      </c>
      <c r="O46" s="8">
        <v>8061</v>
      </c>
      <c r="P46" s="8">
        <v>8249</v>
      </c>
      <c r="Q46" s="8">
        <v>9055</v>
      </c>
    </row>
    <row r="47" spans="1:17">
      <c r="A47" s="4" t="s">
        <v>36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32687</v>
      </c>
      <c r="K47" s="7">
        <v>37720</v>
      </c>
      <c r="L47" s="7">
        <v>42684</v>
      </c>
      <c r="M47" s="7">
        <v>47493</v>
      </c>
      <c r="N47" s="8">
        <v>60845</v>
      </c>
      <c r="O47" s="8">
        <v>58829</v>
      </c>
      <c r="P47" s="8">
        <v>78304</v>
      </c>
      <c r="Q47" s="8">
        <v>66387</v>
      </c>
    </row>
    <row r="48" spans="1:17">
      <c r="A48" s="4" t="s">
        <v>37</v>
      </c>
      <c r="B48" s="7">
        <v>0</v>
      </c>
      <c r="C48" s="7">
        <v>0</v>
      </c>
      <c r="D48" s="7">
        <v>0</v>
      </c>
      <c r="E48" s="7">
        <v>0</v>
      </c>
      <c r="F48" s="8">
        <v>6308</v>
      </c>
      <c r="G48" s="8">
        <v>8499</v>
      </c>
      <c r="H48" s="8">
        <v>8105</v>
      </c>
      <c r="I48" s="8">
        <v>11977</v>
      </c>
      <c r="J48" s="8">
        <v>11964</v>
      </c>
      <c r="K48" s="8">
        <v>5980</v>
      </c>
      <c r="L48" s="8">
        <v>4996</v>
      </c>
      <c r="M48" s="8">
        <v>6000</v>
      </c>
      <c r="N48" s="8">
        <v>9982</v>
      </c>
      <c r="O48" s="8">
        <v>5985</v>
      </c>
      <c r="P48" s="8">
        <v>9967</v>
      </c>
      <c r="Q48" s="8">
        <v>7979</v>
      </c>
    </row>
    <row r="49" spans="1:17">
      <c r="A49" s="4" t="s">
        <v>38</v>
      </c>
      <c r="B49" s="7">
        <v>0</v>
      </c>
      <c r="C49" s="7">
        <v>0</v>
      </c>
      <c r="D49" s="7">
        <v>0</v>
      </c>
      <c r="E49" s="7">
        <v>0</v>
      </c>
      <c r="F49" s="8">
        <v>0</v>
      </c>
      <c r="G49" s="8">
        <v>2500</v>
      </c>
      <c r="H49" s="8">
        <v>3500</v>
      </c>
      <c r="I49" s="8">
        <v>6496</v>
      </c>
      <c r="J49" s="8">
        <v>8784</v>
      </c>
      <c r="K49" s="8">
        <v>10260</v>
      </c>
      <c r="L49" s="8">
        <v>8773</v>
      </c>
      <c r="M49" s="8">
        <v>9613</v>
      </c>
      <c r="N49" s="8">
        <v>11128</v>
      </c>
      <c r="O49" s="8">
        <v>9822</v>
      </c>
      <c r="P49" s="8">
        <v>10912</v>
      </c>
      <c r="Q49" s="8">
        <v>12350</v>
      </c>
    </row>
    <row r="50" spans="1:17">
      <c r="A50" s="16" t="s">
        <v>39</v>
      </c>
      <c r="B50" s="17">
        <f t="shared" ref="B50:Q50" si="10">SUM(B43:B49)</f>
        <v>20722</v>
      </c>
      <c r="C50" s="17">
        <f t="shared" si="10"/>
        <v>27970</v>
      </c>
      <c r="D50" s="17">
        <f t="shared" si="10"/>
        <v>38542</v>
      </c>
      <c r="E50" s="17">
        <f t="shared" si="10"/>
        <v>43658</v>
      </c>
      <c r="F50" s="18">
        <f t="shared" si="10"/>
        <v>63448</v>
      </c>
      <c r="G50" s="18">
        <f t="shared" si="10"/>
        <v>80610</v>
      </c>
      <c r="H50" s="18">
        <f t="shared" si="10"/>
        <v>79006</v>
      </c>
      <c r="I50" s="18">
        <f t="shared" si="10"/>
        <v>100814</v>
      </c>
      <c r="J50" s="18">
        <f t="shared" si="10"/>
        <v>116866</v>
      </c>
      <c r="K50" s="18">
        <f t="shared" si="10"/>
        <v>105718</v>
      </c>
      <c r="L50" s="18">
        <f t="shared" si="10"/>
        <v>105392</v>
      </c>
      <c r="M50" s="18">
        <f t="shared" si="10"/>
        <v>125481</v>
      </c>
      <c r="N50" s="18">
        <f t="shared" si="10"/>
        <v>153982</v>
      </c>
      <c r="O50" s="18">
        <f t="shared" si="10"/>
        <v>145308</v>
      </c>
      <c r="P50" s="18">
        <f t="shared" si="10"/>
        <v>176392</v>
      </c>
      <c r="Q50" s="18">
        <f t="shared" si="10"/>
        <v>165631</v>
      </c>
    </row>
    <row r="51" spans="1:17">
      <c r="A51" s="30"/>
      <c r="B51" s="21"/>
      <c r="C51" s="21"/>
      <c r="D51" s="21"/>
      <c r="E51" s="2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4" t="s">
        <v>40</v>
      </c>
      <c r="B52" s="7">
        <v>0</v>
      </c>
      <c r="C52" s="7">
        <v>0</v>
      </c>
      <c r="D52" s="7">
        <v>0</v>
      </c>
      <c r="E52" s="7">
        <v>16960</v>
      </c>
      <c r="F52" s="8">
        <v>28987</v>
      </c>
      <c r="G52" s="8">
        <v>53463</v>
      </c>
      <c r="H52" s="8">
        <v>75427</v>
      </c>
      <c r="I52" s="8">
        <v>97207</v>
      </c>
      <c r="J52" s="8">
        <v>93735</v>
      </c>
      <c r="K52" s="8">
        <v>91807</v>
      </c>
      <c r="L52" s="8">
        <v>98667</v>
      </c>
      <c r="M52" s="8">
        <v>109106</v>
      </c>
      <c r="N52" s="8">
        <v>98959</v>
      </c>
      <c r="O52" s="8">
        <v>95281</v>
      </c>
      <c r="P52" s="8">
        <v>85750</v>
      </c>
      <c r="Q52" s="8">
        <v>78328</v>
      </c>
    </row>
    <row r="53" spans="1:17">
      <c r="A53" s="4" t="s">
        <v>41</v>
      </c>
      <c r="B53" s="7">
        <v>1139</v>
      </c>
      <c r="C53" s="7">
        <v>1686</v>
      </c>
      <c r="D53" s="7">
        <v>2648</v>
      </c>
      <c r="E53" s="7">
        <v>2625</v>
      </c>
      <c r="F53" s="7">
        <v>3031</v>
      </c>
      <c r="G53" s="7">
        <v>3624</v>
      </c>
      <c r="H53" s="7">
        <v>2930</v>
      </c>
      <c r="I53" s="7">
        <v>2836</v>
      </c>
      <c r="J53" s="7">
        <v>2797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>
      <c r="A54" s="4" t="s">
        <v>42</v>
      </c>
      <c r="B54" s="7">
        <v>5531</v>
      </c>
      <c r="C54" s="7">
        <v>10100</v>
      </c>
      <c r="D54" s="7">
        <v>16664</v>
      </c>
      <c r="E54" s="7">
        <v>20208</v>
      </c>
      <c r="F54" s="7">
        <v>24826</v>
      </c>
      <c r="G54" s="7">
        <v>33427</v>
      </c>
      <c r="H54" s="7">
        <v>36074</v>
      </c>
      <c r="I54" s="7">
        <v>40415</v>
      </c>
      <c r="J54" s="7">
        <v>45180</v>
      </c>
      <c r="K54" s="7">
        <v>50503</v>
      </c>
      <c r="L54" s="7">
        <v>54490</v>
      </c>
      <c r="M54" s="7">
        <v>53325</v>
      </c>
      <c r="N54" s="7">
        <v>49142</v>
      </c>
      <c r="O54" s="7">
        <v>49848</v>
      </c>
      <c r="P54" s="7">
        <v>45888</v>
      </c>
      <c r="Q54" s="7">
        <v>41549</v>
      </c>
    </row>
    <row r="55" spans="1:17">
      <c r="A55" s="16" t="s">
        <v>43</v>
      </c>
      <c r="B55" s="32">
        <f t="shared" ref="B55:Q55" si="11">SUM(B52:B54)</f>
        <v>6670</v>
      </c>
      <c r="C55" s="32">
        <f t="shared" si="11"/>
        <v>11786</v>
      </c>
      <c r="D55" s="32">
        <f t="shared" si="11"/>
        <v>19312</v>
      </c>
      <c r="E55" s="32">
        <f t="shared" si="11"/>
        <v>39793</v>
      </c>
      <c r="F55" s="33">
        <f t="shared" si="11"/>
        <v>56844</v>
      </c>
      <c r="G55" s="33">
        <f t="shared" si="11"/>
        <v>90514</v>
      </c>
      <c r="H55" s="33">
        <f t="shared" si="11"/>
        <v>114431</v>
      </c>
      <c r="I55" s="33">
        <f t="shared" si="11"/>
        <v>140458</v>
      </c>
      <c r="J55" s="33">
        <f t="shared" si="11"/>
        <v>141712</v>
      </c>
      <c r="K55" s="33">
        <f t="shared" si="11"/>
        <v>142310</v>
      </c>
      <c r="L55" s="33">
        <f t="shared" si="11"/>
        <v>153157</v>
      </c>
      <c r="M55" s="33">
        <f t="shared" si="11"/>
        <v>162431</v>
      </c>
      <c r="N55" s="33">
        <f t="shared" si="11"/>
        <v>148101</v>
      </c>
      <c r="O55" s="33">
        <f t="shared" si="11"/>
        <v>145129</v>
      </c>
      <c r="P55" s="33">
        <f t="shared" si="11"/>
        <v>131638</v>
      </c>
      <c r="Q55" s="33">
        <f t="shared" si="11"/>
        <v>119877</v>
      </c>
    </row>
    <row r="56" spans="1:17">
      <c r="A56" s="16" t="s">
        <v>44</v>
      </c>
      <c r="B56" s="15">
        <f t="shared" ref="B56:Q56" si="12">B50+B55</f>
        <v>27392</v>
      </c>
      <c r="C56" s="15">
        <f t="shared" si="12"/>
        <v>39756</v>
      </c>
      <c r="D56" s="15">
        <f t="shared" si="12"/>
        <v>57854</v>
      </c>
      <c r="E56" s="15">
        <f t="shared" si="12"/>
        <v>83451</v>
      </c>
      <c r="F56" s="15">
        <f t="shared" si="12"/>
        <v>120292</v>
      </c>
      <c r="G56" s="15">
        <f t="shared" si="12"/>
        <v>171124</v>
      </c>
      <c r="H56" s="15">
        <f t="shared" si="12"/>
        <v>193437</v>
      </c>
      <c r="I56" s="15">
        <f t="shared" si="12"/>
        <v>241272</v>
      </c>
      <c r="J56" s="15">
        <f t="shared" si="12"/>
        <v>258578</v>
      </c>
      <c r="K56" s="15">
        <f t="shared" si="12"/>
        <v>248028</v>
      </c>
      <c r="L56" s="15">
        <f t="shared" si="12"/>
        <v>258549</v>
      </c>
      <c r="M56" s="15">
        <f t="shared" si="12"/>
        <v>287912</v>
      </c>
      <c r="N56" s="15">
        <f t="shared" si="12"/>
        <v>302083</v>
      </c>
      <c r="O56" s="15">
        <f t="shared" si="12"/>
        <v>290437</v>
      </c>
      <c r="P56" s="15">
        <f t="shared" si="12"/>
        <v>308030</v>
      </c>
      <c r="Q56" s="15">
        <f t="shared" si="12"/>
        <v>285508</v>
      </c>
    </row>
    <row r="57" spans="1:17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4" t="s">
        <v>45</v>
      </c>
      <c r="B58" s="8">
        <v>10668</v>
      </c>
      <c r="C58" s="8">
        <v>13331</v>
      </c>
      <c r="D58" s="8">
        <v>16422</v>
      </c>
      <c r="E58" s="8">
        <v>19764</v>
      </c>
      <c r="F58" s="8">
        <v>23313</v>
      </c>
      <c r="G58" s="8">
        <v>27416</v>
      </c>
      <c r="H58" s="8">
        <v>31251</v>
      </c>
      <c r="I58" s="8">
        <v>35867</v>
      </c>
      <c r="J58" s="8">
        <v>40201</v>
      </c>
      <c r="K58" s="8">
        <v>45174</v>
      </c>
      <c r="L58" s="8">
        <v>50779</v>
      </c>
      <c r="M58" s="8">
        <v>57365</v>
      </c>
      <c r="N58" s="8">
        <v>64849</v>
      </c>
      <c r="O58" s="8">
        <v>73812</v>
      </c>
      <c r="P58" s="8">
        <v>83276</v>
      </c>
      <c r="Q58" s="8">
        <v>93568</v>
      </c>
    </row>
    <row r="59" spans="1:17">
      <c r="A59" s="4" t="s">
        <v>46</v>
      </c>
      <c r="B59" s="8">
        <v>37169</v>
      </c>
      <c r="C59" s="8">
        <v>62841</v>
      </c>
      <c r="D59" s="8">
        <v>101289</v>
      </c>
      <c r="E59" s="8">
        <v>104256</v>
      </c>
      <c r="F59" s="8">
        <v>87152</v>
      </c>
      <c r="G59" s="8">
        <v>92284</v>
      </c>
      <c r="H59" s="8">
        <v>96364</v>
      </c>
      <c r="I59" s="8">
        <v>98330</v>
      </c>
      <c r="J59" s="8">
        <v>70400</v>
      </c>
      <c r="K59" s="8">
        <v>45898</v>
      </c>
      <c r="L59" s="8">
        <v>14966</v>
      </c>
      <c r="M59" s="8">
        <v>5562</v>
      </c>
      <c r="N59" s="8">
        <v>0</v>
      </c>
      <c r="O59" s="8">
        <v>0</v>
      </c>
      <c r="P59" s="8">
        <v>0</v>
      </c>
      <c r="Q59" s="8">
        <v>0</v>
      </c>
    </row>
    <row r="60" spans="1:17">
      <c r="A60" s="4" t="s">
        <v>47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34">
        <v>-3068</v>
      </c>
      <c r="O60" s="34">
        <v>-214</v>
      </c>
      <c r="P60" s="34">
        <v>-19154</v>
      </c>
      <c r="Q60" s="34">
        <v>-14264</v>
      </c>
    </row>
    <row r="61" spans="1:17">
      <c r="A61" s="4" t="s">
        <v>48</v>
      </c>
      <c r="B61" s="34">
        <v>-46</v>
      </c>
      <c r="C61" s="8">
        <v>443</v>
      </c>
      <c r="D61" s="8">
        <v>499</v>
      </c>
      <c r="E61" s="34">
        <v>-471</v>
      </c>
      <c r="F61" s="8">
        <v>1082</v>
      </c>
      <c r="G61" s="34">
        <v>-345</v>
      </c>
      <c r="H61" s="8">
        <v>634</v>
      </c>
      <c r="I61" s="34">
        <v>-150</v>
      </c>
      <c r="J61" s="34">
        <v>-3454</v>
      </c>
      <c r="K61" s="34">
        <v>-584</v>
      </c>
      <c r="L61" s="34">
        <v>-406</v>
      </c>
      <c r="M61" s="8">
        <v>163</v>
      </c>
      <c r="N61" s="34">
        <v>-11109</v>
      </c>
      <c r="O61" s="34">
        <v>-11452</v>
      </c>
      <c r="P61" s="34">
        <v>-7172</v>
      </c>
      <c r="Q61" s="34">
        <v>-5571</v>
      </c>
    </row>
    <row r="62" spans="1:17">
      <c r="A62" s="16" t="s">
        <v>49</v>
      </c>
      <c r="B62" s="35">
        <f t="shared" ref="B62:Q62" si="13">SUM(B58:B61)</f>
        <v>47791</v>
      </c>
      <c r="C62" s="35">
        <f t="shared" si="13"/>
        <v>76615</v>
      </c>
      <c r="D62" s="35">
        <f t="shared" si="13"/>
        <v>118210</v>
      </c>
      <c r="E62" s="35">
        <f t="shared" si="13"/>
        <v>123549</v>
      </c>
      <c r="F62" s="35">
        <f t="shared" si="13"/>
        <v>111547</v>
      </c>
      <c r="G62" s="35">
        <f t="shared" si="13"/>
        <v>119355</v>
      </c>
      <c r="H62" s="35">
        <f t="shared" si="13"/>
        <v>128249</v>
      </c>
      <c r="I62" s="35">
        <f t="shared" si="13"/>
        <v>134047</v>
      </c>
      <c r="J62" s="35">
        <f t="shared" si="13"/>
        <v>107147</v>
      </c>
      <c r="K62" s="35">
        <f t="shared" si="13"/>
        <v>90488</v>
      </c>
      <c r="L62" s="35">
        <f t="shared" si="13"/>
        <v>65339</v>
      </c>
      <c r="M62" s="35">
        <f t="shared" si="13"/>
        <v>63090</v>
      </c>
      <c r="N62" s="35">
        <f t="shared" si="13"/>
        <v>50672</v>
      </c>
      <c r="O62" s="35">
        <f t="shared" si="13"/>
        <v>62146</v>
      </c>
      <c r="P62" s="35">
        <f t="shared" si="13"/>
        <v>56950</v>
      </c>
      <c r="Q62" s="35">
        <f t="shared" si="13"/>
        <v>73733</v>
      </c>
    </row>
    <row r="63" spans="1:17">
      <c r="A63" s="16" t="s">
        <v>50</v>
      </c>
      <c r="B63" s="36">
        <f t="shared" ref="B63:Q63" si="14">B56+B62</f>
        <v>75183</v>
      </c>
      <c r="C63" s="36">
        <f t="shared" si="14"/>
        <v>116371</v>
      </c>
      <c r="D63" s="36">
        <f t="shared" si="14"/>
        <v>176064</v>
      </c>
      <c r="E63" s="36">
        <f t="shared" si="14"/>
        <v>207000</v>
      </c>
      <c r="F63" s="36">
        <f t="shared" si="14"/>
        <v>231839</v>
      </c>
      <c r="G63" s="36">
        <f t="shared" si="14"/>
        <v>290479</v>
      </c>
      <c r="H63" s="36">
        <f t="shared" si="14"/>
        <v>321686</v>
      </c>
      <c r="I63" s="36">
        <f t="shared" si="14"/>
        <v>375319</v>
      </c>
      <c r="J63" s="36">
        <f t="shared" si="14"/>
        <v>365725</v>
      </c>
      <c r="K63" s="36">
        <f t="shared" si="14"/>
        <v>338516</v>
      </c>
      <c r="L63" s="36">
        <f t="shared" si="14"/>
        <v>323888</v>
      </c>
      <c r="M63" s="36">
        <f t="shared" si="14"/>
        <v>351002</v>
      </c>
      <c r="N63" s="36">
        <f t="shared" si="14"/>
        <v>352755</v>
      </c>
      <c r="O63" s="36">
        <f t="shared" si="14"/>
        <v>352583</v>
      </c>
      <c r="P63" s="36">
        <f t="shared" si="14"/>
        <v>364980</v>
      </c>
      <c r="Q63" s="36">
        <f t="shared" si="14"/>
        <v>359241</v>
      </c>
    </row>
  </sheetData>
  <mergeCells count="1">
    <mergeCell ref="A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2BAC-5F4A-4C2D-8107-F851EB3A3B6A}">
  <dimension ref="A1:Q135"/>
  <sheetViews>
    <sheetView topLeftCell="A83" workbookViewId="0"/>
  </sheetViews>
  <sheetFormatPr defaultRowHeight="14.4"/>
  <cols>
    <col min="1" max="1" width="61" style="42" customWidth="1"/>
    <col min="2" max="17" width="14" style="42" customWidth="1"/>
    <col min="18" max="16384" width="8.88671875" style="42"/>
  </cols>
  <sheetData>
    <row r="1" spans="1:17">
      <c r="A1" s="39" t="s">
        <v>0</v>
      </c>
      <c r="B1" s="40">
        <v>2010</v>
      </c>
      <c r="C1" s="40">
        <v>2011</v>
      </c>
      <c r="D1" s="40">
        <v>2012</v>
      </c>
      <c r="E1" s="40">
        <v>2013</v>
      </c>
      <c r="F1" s="41">
        <v>2014</v>
      </c>
      <c r="G1" s="41">
        <v>2015</v>
      </c>
      <c r="H1" s="41">
        <v>2016</v>
      </c>
      <c r="I1" s="41">
        <v>2017</v>
      </c>
      <c r="J1" s="41">
        <v>2018</v>
      </c>
      <c r="K1" s="41">
        <v>2019</v>
      </c>
      <c r="L1" s="41">
        <v>2020</v>
      </c>
      <c r="M1" s="41">
        <v>2021</v>
      </c>
      <c r="N1" s="41">
        <v>2022</v>
      </c>
      <c r="O1" s="41">
        <v>2023</v>
      </c>
      <c r="P1" s="41">
        <v>2024</v>
      </c>
      <c r="Q1" s="41">
        <v>2025</v>
      </c>
    </row>
    <row r="2" spans="1:17">
      <c r="A2" s="43"/>
      <c r="B2" s="44"/>
      <c r="C2" s="44"/>
      <c r="D2" s="44"/>
      <c r="E2" s="44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17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7">
      <c r="A4" s="46" t="s">
        <v>3</v>
      </c>
      <c r="B4" s="47">
        <v>65225</v>
      </c>
      <c r="C4" s="47">
        <v>108249</v>
      </c>
      <c r="D4" s="47">
        <v>156508</v>
      </c>
      <c r="E4" s="48">
        <v>170910</v>
      </c>
      <c r="F4" s="49">
        <v>182795</v>
      </c>
      <c r="G4" s="49">
        <v>233715</v>
      </c>
      <c r="H4" s="49">
        <v>215639</v>
      </c>
      <c r="I4" s="49">
        <v>229234</v>
      </c>
      <c r="J4" s="49">
        <v>265595</v>
      </c>
      <c r="K4" s="50">
        <v>260174</v>
      </c>
      <c r="L4" s="50">
        <v>274515</v>
      </c>
      <c r="M4" s="50">
        <v>365817</v>
      </c>
      <c r="N4" s="50">
        <v>394328</v>
      </c>
      <c r="O4" s="50">
        <v>383285</v>
      </c>
      <c r="P4" s="50">
        <v>391035</v>
      </c>
      <c r="Q4" s="50">
        <v>416161</v>
      </c>
    </row>
    <row r="5" spans="1:17">
      <c r="A5" s="51" t="s">
        <v>4</v>
      </c>
      <c r="B5" s="52">
        <v>39541</v>
      </c>
      <c r="C5" s="52">
        <v>64431</v>
      </c>
      <c r="D5" s="52">
        <v>87846</v>
      </c>
      <c r="E5" s="52">
        <v>106606</v>
      </c>
      <c r="F5" s="52">
        <v>112258</v>
      </c>
      <c r="G5" s="52">
        <v>140089</v>
      </c>
      <c r="H5" s="52">
        <v>131376</v>
      </c>
      <c r="I5" s="52">
        <v>141048</v>
      </c>
      <c r="J5" s="52">
        <v>163756</v>
      </c>
      <c r="K5" s="52">
        <v>161782</v>
      </c>
      <c r="L5" s="52">
        <v>169559</v>
      </c>
      <c r="M5" s="52">
        <v>212981</v>
      </c>
      <c r="N5" s="52">
        <v>223546</v>
      </c>
      <c r="O5" s="52">
        <v>214137</v>
      </c>
      <c r="P5" s="52">
        <v>210352</v>
      </c>
      <c r="Q5" s="52">
        <v>220960</v>
      </c>
    </row>
    <row r="6" spans="1:17">
      <c r="A6" s="53" t="s">
        <v>5</v>
      </c>
      <c r="B6" s="54">
        <f>B4-B5</f>
        <v>25684</v>
      </c>
      <c r="C6" s="54">
        <f t="shared" ref="C6:Q6" si="0">C4-C5</f>
        <v>43818</v>
      </c>
      <c r="D6" s="54">
        <f t="shared" si="0"/>
        <v>68662</v>
      </c>
      <c r="E6" s="54">
        <f t="shared" si="0"/>
        <v>64304</v>
      </c>
      <c r="F6" s="54">
        <f t="shared" si="0"/>
        <v>70537</v>
      </c>
      <c r="G6" s="54">
        <f t="shared" si="0"/>
        <v>93626</v>
      </c>
      <c r="H6" s="54">
        <f t="shared" si="0"/>
        <v>84263</v>
      </c>
      <c r="I6" s="54">
        <f t="shared" si="0"/>
        <v>88186</v>
      </c>
      <c r="J6" s="54">
        <f t="shared" si="0"/>
        <v>101839</v>
      </c>
      <c r="K6" s="54">
        <f t="shared" si="0"/>
        <v>98392</v>
      </c>
      <c r="L6" s="54">
        <f t="shared" si="0"/>
        <v>104956</v>
      </c>
      <c r="M6" s="54">
        <f t="shared" si="0"/>
        <v>152836</v>
      </c>
      <c r="N6" s="54">
        <f t="shared" si="0"/>
        <v>170782</v>
      </c>
      <c r="O6" s="54">
        <f t="shared" si="0"/>
        <v>169148</v>
      </c>
      <c r="P6" s="54">
        <f t="shared" si="0"/>
        <v>180683</v>
      </c>
      <c r="Q6" s="54">
        <f t="shared" si="0"/>
        <v>195201</v>
      </c>
    </row>
    <row r="7" spans="1:17">
      <c r="L7" s="55"/>
    </row>
    <row r="8" spans="1:17">
      <c r="A8" s="42" t="s">
        <v>6</v>
      </c>
      <c r="B8" s="56">
        <v>1782</v>
      </c>
      <c r="C8" s="56">
        <v>2429</v>
      </c>
      <c r="D8" s="56">
        <v>3381</v>
      </c>
      <c r="E8" s="56">
        <v>4475</v>
      </c>
      <c r="F8" s="56">
        <v>6041</v>
      </c>
      <c r="G8" s="56">
        <v>8067</v>
      </c>
      <c r="H8" s="56">
        <v>10045</v>
      </c>
      <c r="I8" s="56">
        <v>11581</v>
      </c>
      <c r="J8" s="56">
        <v>14236</v>
      </c>
      <c r="K8" s="56">
        <v>16217</v>
      </c>
      <c r="L8" s="56">
        <v>18752</v>
      </c>
      <c r="M8" s="56">
        <v>21914</v>
      </c>
      <c r="N8" s="56">
        <v>26251</v>
      </c>
      <c r="O8" s="56">
        <v>29915</v>
      </c>
      <c r="P8" s="56">
        <v>31370</v>
      </c>
      <c r="Q8" s="56">
        <v>34550</v>
      </c>
    </row>
    <row r="9" spans="1:17">
      <c r="A9" s="42" t="s">
        <v>7</v>
      </c>
      <c r="B9" s="56">
        <v>5517</v>
      </c>
      <c r="C9" s="56">
        <v>7599</v>
      </c>
      <c r="D9" s="56">
        <v>10040</v>
      </c>
      <c r="E9" s="56">
        <v>10830</v>
      </c>
      <c r="F9" s="56">
        <v>11993</v>
      </c>
      <c r="G9" s="56">
        <v>14329</v>
      </c>
      <c r="H9" s="56">
        <v>14194</v>
      </c>
      <c r="I9" s="56">
        <v>15261</v>
      </c>
      <c r="J9" s="56">
        <v>16705</v>
      </c>
      <c r="K9" s="56">
        <v>18245</v>
      </c>
      <c r="L9" s="56">
        <v>19916</v>
      </c>
      <c r="M9" s="56">
        <v>21973</v>
      </c>
      <c r="N9" s="56">
        <v>25094</v>
      </c>
      <c r="O9" s="56">
        <v>24932</v>
      </c>
      <c r="P9" s="56">
        <v>26097</v>
      </c>
      <c r="Q9" s="56">
        <v>27601</v>
      </c>
    </row>
    <row r="10" spans="1:17">
      <c r="A10" s="53" t="s">
        <v>8</v>
      </c>
      <c r="B10" s="54">
        <f t="shared" ref="B10:Q10" si="1">B8+B9</f>
        <v>7299</v>
      </c>
      <c r="C10" s="54">
        <f t="shared" si="1"/>
        <v>10028</v>
      </c>
      <c r="D10" s="54">
        <f t="shared" si="1"/>
        <v>13421</v>
      </c>
      <c r="E10" s="54">
        <f t="shared" si="1"/>
        <v>15305</v>
      </c>
      <c r="F10" s="54">
        <f t="shared" si="1"/>
        <v>18034</v>
      </c>
      <c r="G10" s="54">
        <f t="shared" si="1"/>
        <v>22396</v>
      </c>
      <c r="H10" s="54">
        <f t="shared" si="1"/>
        <v>24239</v>
      </c>
      <c r="I10" s="54">
        <f t="shared" si="1"/>
        <v>26842</v>
      </c>
      <c r="J10" s="54">
        <f t="shared" si="1"/>
        <v>30941</v>
      </c>
      <c r="K10" s="54">
        <f t="shared" si="1"/>
        <v>34462</v>
      </c>
      <c r="L10" s="54">
        <f t="shared" si="1"/>
        <v>38668</v>
      </c>
      <c r="M10" s="54">
        <f t="shared" si="1"/>
        <v>43887</v>
      </c>
      <c r="N10" s="54">
        <f t="shared" si="1"/>
        <v>51345</v>
      </c>
      <c r="O10" s="54">
        <f t="shared" si="1"/>
        <v>54847</v>
      </c>
      <c r="P10" s="54">
        <f t="shared" si="1"/>
        <v>57467</v>
      </c>
      <c r="Q10" s="54">
        <f t="shared" si="1"/>
        <v>62151</v>
      </c>
    </row>
    <row r="11" spans="1:17">
      <c r="A11" s="53" t="s">
        <v>9</v>
      </c>
      <c r="B11" s="54">
        <f t="shared" ref="B11:Q11" si="2">B6-B10</f>
        <v>18385</v>
      </c>
      <c r="C11" s="54">
        <f t="shared" si="2"/>
        <v>33790</v>
      </c>
      <c r="D11" s="54">
        <f t="shared" si="2"/>
        <v>55241</v>
      </c>
      <c r="E11" s="54">
        <f t="shared" si="2"/>
        <v>48999</v>
      </c>
      <c r="F11" s="57">
        <f t="shared" si="2"/>
        <v>52503</v>
      </c>
      <c r="G11" s="57">
        <f t="shared" si="2"/>
        <v>71230</v>
      </c>
      <c r="H11" s="57">
        <f t="shared" si="2"/>
        <v>60024</v>
      </c>
      <c r="I11" s="57">
        <f t="shared" si="2"/>
        <v>61344</v>
      </c>
      <c r="J11" s="57">
        <f t="shared" si="2"/>
        <v>70898</v>
      </c>
      <c r="K11" s="57">
        <f t="shared" si="2"/>
        <v>63930</v>
      </c>
      <c r="L11" s="57">
        <f t="shared" si="2"/>
        <v>66288</v>
      </c>
      <c r="M11" s="57">
        <f t="shared" si="2"/>
        <v>108949</v>
      </c>
      <c r="N11" s="57">
        <f t="shared" si="2"/>
        <v>119437</v>
      </c>
      <c r="O11" s="57">
        <f t="shared" si="2"/>
        <v>114301</v>
      </c>
      <c r="P11" s="57">
        <f t="shared" si="2"/>
        <v>123216</v>
      </c>
      <c r="Q11" s="57">
        <f t="shared" si="2"/>
        <v>133050</v>
      </c>
    </row>
    <row r="12" spans="1:17">
      <c r="A12" s="58" t="s">
        <v>2</v>
      </c>
      <c r="B12" s="59" t="str">
        <f>IFERROR(B11/#REF!-1,"")</f>
        <v/>
      </c>
      <c r="C12" s="59">
        <f t="shared" ref="C12:Q12" si="3">IFERROR(C11/B11-1,"")</f>
        <v>0.83791134076692964</v>
      </c>
      <c r="D12" s="59">
        <f t="shared" si="3"/>
        <v>0.63483279076649901</v>
      </c>
      <c r="E12" s="59">
        <f t="shared" si="3"/>
        <v>-0.11299578211835415</v>
      </c>
      <c r="F12" s="59">
        <f t="shared" si="3"/>
        <v>7.151166350333682E-2</v>
      </c>
      <c r="G12" s="59">
        <f t="shared" si="3"/>
        <v>0.35668437994019397</v>
      </c>
      <c r="H12" s="59">
        <f t="shared" si="3"/>
        <v>-0.15732135336234732</v>
      </c>
      <c r="I12" s="59">
        <f t="shared" si="3"/>
        <v>2.1991203518592517E-2</v>
      </c>
      <c r="J12" s="59">
        <f t="shared" si="3"/>
        <v>0.15574465310380803</v>
      </c>
      <c r="K12" s="59">
        <f t="shared" si="3"/>
        <v>-9.8282038985584963E-2</v>
      </c>
      <c r="L12" s="59">
        <f t="shared" si="3"/>
        <v>3.6884091975598388E-2</v>
      </c>
      <c r="M12" s="59">
        <f t="shared" si="3"/>
        <v>0.64357048032826447</v>
      </c>
      <c r="N12" s="59">
        <f t="shared" si="3"/>
        <v>9.6265225013538513E-2</v>
      </c>
      <c r="O12" s="59">
        <f t="shared" si="3"/>
        <v>-4.3001749876503959E-2</v>
      </c>
      <c r="P12" s="59">
        <f t="shared" si="3"/>
        <v>7.7995818059334532E-2</v>
      </c>
      <c r="Q12" s="59">
        <f t="shared" si="3"/>
        <v>7.9811063498246959E-2</v>
      </c>
    </row>
    <row r="14" spans="1:17">
      <c r="A14" s="42" t="s">
        <v>10</v>
      </c>
      <c r="B14" s="60">
        <v>155</v>
      </c>
      <c r="C14" s="60">
        <v>415</v>
      </c>
      <c r="D14" s="60">
        <v>522</v>
      </c>
      <c r="E14" s="60">
        <v>1156</v>
      </c>
      <c r="F14" s="60">
        <v>980</v>
      </c>
      <c r="G14" s="60">
        <v>1285</v>
      </c>
      <c r="H14" s="60">
        <v>1348</v>
      </c>
      <c r="I14" s="60">
        <v>2745</v>
      </c>
      <c r="J14" s="60">
        <v>2005</v>
      </c>
      <c r="K14" s="60">
        <v>1807</v>
      </c>
      <c r="L14" s="60">
        <v>803</v>
      </c>
      <c r="M14" s="61">
        <v>258</v>
      </c>
      <c r="N14" s="61">
        <v>-334</v>
      </c>
      <c r="O14" s="61">
        <v>-565</v>
      </c>
      <c r="P14" s="61">
        <v>269</v>
      </c>
      <c r="Q14" s="61">
        <v>-321</v>
      </c>
    </row>
    <row r="15" spans="1:17">
      <c r="A15" s="62" t="s">
        <v>11</v>
      </c>
      <c r="B15" s="63">
        <f>B14</f>
        <v>155</v>
      </c>
      <c r="C15" s="63">
        <f t="shared" ref="C15:Q15" si="4">C14</f>
        <v>415</v>
      </c>
      <c r="D15" s="63">
        <f t="shared" si="4"/>
        <v>522</v>
      </c>
      <c r="E15" s="63">
        <f t="shared" si="4"/>
        <v>1156</v>
      </c>
      <c r="F15" s="63">
        <f t="shared" si="4"/>
        <v>980</v>
      </c>
      <c r="G15" s="63">
        <f t="shared" si="4"/>
        <v>1285</v>
      </c>
      <c r="H15" s="63">
        <f t="shared" si="4"/>
        <v>1348</v>
      </c>
      <c r="I15" s="63">
        <f t="shared" si="4"/>
        <v>2745</v>
      </c>
      <c r="J15" s="63">
        <f t="shared" si="4"/>
        <v>2005</v>
      </c>
      <c r="K15" s="63">
        <f t="shared" si="4"/>
        <v>1807</v>
      </c>
      <c r="L15" s="63">
        <f t="shared" si="4"/>
        <v>803</v>
      </c>
      <c r="M15" s="63">
        <f t="shared" si="4"/>
        <v>258</v>
      </c>
      <c r="N15" s="63">
        <f t="shared" si="4"/>
        <v>-334</v>
      </c>
      <c r="O15" s="63">
        <f t="shared" si="4"/>
        <v>-565</v>
      </c>
      <c r="P15" s="63">
        <f t="shared" si="4"/>
        <v>269</v>
      </c>
      <c r="Q15" s="63">
        <f t="shared" si="4"/>
        <v>-321</v>
      </c>
    </row>
    <row r="16" spans="1:17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17"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spans="1:17">
      <c r="A18" s="42" t="s">
        <v>12</v>
      </c>
      <c r="B18" s="60">
        <f t="shared" ref="B18:Q18" si="5">B11+B15</f>
        <v>18540</v>
      </c>
      <c r="C18" s="60">
        <f t="shared" si="5"/>
        <v>34205</v>
      </c>
      <c r="D18" s="60">
        <f t="shared" si="5"/>
        <v>55763</v>
      </c>
      <c r="E18" s="60">
        <f t="shared" si="5"/>
        <v>50155</v>
      </c>
      <c r="F18" s="60">
        <f t="shared" si="5"/>
        <v>53483</v>
      </c>
      <c r="G18" s="60">
        <f t="shared" si="5"/>
        <v>72515</v>
      </c>
      <c r="H18" s="60">
        <f t="shared" si="5"/>
        <v>61372</v>
      </c>
      <c r="I18" s="60">
        <f t="shared" si="5"/>
        <v>64089</v>
      </c>
      <c r="J18" s="60">
        <f t="shared" si="5"/>
        <v>72903</v>
      </c>
      <c r="K18" s="60">
        <f t="shared" si="5"/>
        <v>65737</v>
      </c>
      <c r="L18" s="60">
        <f t="shared" si="5"/>
        <v>67091</v>
      </c>
      <c r="M18" s="60">
        <f t="shared" si="5"/>
        <v>109207</v>
      </c>
      <c r="N18" s="60">
        <f t="shared" si="5"/>
        <v>119103</v>
      </c>
      <c r="O18" s="60">
        <f t="shared" si="5"/>
        <v>113736</v>
      </c>
      <c r="P18" s="60">
        <f t="shared" si="5"/>
        <v>123485</v>
      </c>
      <c r="Q18" s="60">
        <f t="shared" si="5"/>
        <v>132729</v>
      </c>
    </row>
    <row r="19" spans="1:17">
      <c r="A19" s="42" t="s">
        <v>13</v>
      </c>
      <c r="B19" s="60">
        <v>4527</v>
      </c>
      <c r="C19" s="60">
        <v>8283</v>
      </c>
      <c r="D19" s="60">
        <v>14030</v>
      </c>
      <c r="E19" s="60">
        <v>13118</v>
      </c>
      <c r="F19" s="60">
        <v>13973</v>
      </c>
      <c r="G19" s="60">
        <v>19121</v>
      </c>
      <c r="H19" s="60">
        <v>15685</v>
      </c>
      <c r="I19" s="60">
        <v>15738</v>
      </c>
      <c r="J19" s="60">
        <v>13372</v>
      </c>
      <c r="K19" s="60">
        <v>10481</v>
      </c>
      <c r="L19" s="60">
        <v>9680</v>
      </c>
      <c r="M19" s="60">
        <v>14527</v>
      </c>
      <c r="N19" s="60">
        <v>19300</v>
      </c>
      <c r="O19" s="60">
        <v>16741</v>
      </c>
      <c r="P19" s="60">
        <v>29749</v>
      </c>
      <c r="Q19" s="60">
        <v>20719</v>
      </c>
    </row>
    <row r="20" spans="1:17">
      <c r="A20" s="62" t="s">
        <v>14</v>
      </c>
      <c r="B20" s="54">
        <f t="shared" ref="B20:Q20" si="6">B18-B19</f>
        <v>14013</v>
      </c>
      <c r="C20" s="54">
        <f t="shared" si="6"/>
        <v>25922</v>
      </c>
      <c r="D20" s="54">
        <f t="shared" si="6"/>
        <v>41733</v>
      </c>
      <c r="E20" s="54">
        <f t="shared" si="6"/>
        <v>37037</v>
      </c>
      <c r="F20" s="54">
        <f t="shared" si="6"/>
        <v>39510</v>
      </c>
      <c r="G20" s="54">
        <f t="shared" si="6"/>
        <v>53394</v>
      </c>
      <c r="H20" s="54">
        <f t="shared" si="6"/>
        <v>45687</v>
      </c>
      <c r="I20" s="54">
        <f t="shared" si="6"/>
        <v>48351</v>
      </c>
      <c r="J20" s="54">
        <f t="shared" si="6"/>
        <v>59531</v>
      </c>
      <c r="K20" s="54">
        <f t="shared" si="6"/>
        <v>55256</v>
      </c>
      <c r="L20" s="54">
        <f t="shared" si="6"/>
        <v>57411</v>
      </c>
      <c r="M20" s="54">
        <f t="shared" si="6"/>
        <v>94680</v>
      </c>
      <c r="N20" s="54">
        <f t="shared" si="6"/>
        <v>99803</v>
      </c>
      <c r="O20" s="54">
        <f t="shared" si="6"/>
        <v>96995</v>
      </c>
      <c r="P20" s="54">
        <f t="shared" si="6"/>
        <v>93736</v>
      </c>
      <c r="Q20" s="54">
        <f t="shared" si="6"/>
        <v>112010</v>
      </c>
    </row>
    <row r="21" spans="1:17">
      <c r="B21" s="66"/>
      <c r="C21" s="66"/>
      <c r="D21" s="66"/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spans="1:17">
      <c r="B22" s="66"/>
      <c r="C22" s="66"/>
      <c r="D22" s="66"/>
      <c r="E22" s="66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</row>
    <row r="23" spans="1:17">
      <c r="A23" s="43" t="s">
        <v>51</v>
      </c>
      <c r="B23" s="60">
        <v>909461</v>
      </c>
      <c r="C23" s="60">
        <v>924258</v>
      </c>
      <c r="D23" s="60">
        <v>934818</v>
      </c>
      <c r="E23" s="60">
        <v>925331</v>
      </c>
      <c r="F23" s="56">
        <v>6085572</v>
      </c>
      <c r="G23" s="56">
        <v>5753421</v>
      </c>
      <c r="H23" s="56">
        <v>5470820</v>
      </c>
      <c r="I23" s="56">
        <v>5217242</v>
      </c>
      <c r="J23" s="56">
        <v>4955377</v>
      </c>
      <c r="K23" s="56">
        <v>4617834</v>
      </c>
      <c r="L23" s="56">
        <v>17352119</v>
      </c>
      <c r="M23" s="56">
        <v>16701272</v>
      </c>
      <c r="N23" s="56">
        <v>16215963</v>
      </c>
      <c r="O23" s="56">
        <v>15744231</v>
      </c>
      <c r="P23" s="56">
        <v>15343783</v>
      </c>
      <c r="Q23" s="56">
        <v>14948500</v>
      </c>
    </row>
    <row r="24" spans="1:17">
      <c r="A24" s="43" t="s">
        <v>52</v>
      </c>
      <c r="B24" s="60">
        <v>924712</v>
      </c>
      <c r="C24" s="60">
        <v>936645</v>
      </c>
      <c r="D24" s="60">
        <v>945355</v>
      </c>
      <c r="E24" s="60">
        <v>931662</v>
      </c>
      <c r="F24" s="56">
        <v>6122663</v>
      </c>
      <c r="G24" s="56">
        <v>5793069</v>
      </c>
      <c r="H24" s="56">
        <v>5500281</v>
      </c>
      <c r="I24" s="56">
        <v>5251692</v>
      </c>
      <c r="J24" s="56">
        <v>5000109</v>
      </c>
      <c r="K24" s="56">
        <v>4648913</v>
      </c>
      <c r="L24" s="56">
        <v>17528214</v>
      </c>
      <c r="M24" s="56">
        <v>16864919</v>
      </c>
      <c r="N24" s="56">
        <v>16325819</v>
      </c>
      <c r="O24" s="56">
        <v>15812547</v>
      </c>
      <c r="P24" s="56">
        <v>15408095</v>
      </c>
      <c r="Q24" s="56">
        <v>15004697</v>
      </c>
    </row>
    <row r="25" spans="1:17">
      <c r="A25" s="43" t="s">
        <v>53</v>
      </c>
      <c r="B25" s="66">
        <v>0</v>
      </c>
      <c r="C25" s="66">
        <v>0</v>
      </c>
      <c r="D25" s="66">
        <v>0.38</v>
      </c>
      <c r="E25" s="66">
        <v>1.64</v>
      </c>
      <c r="F25" s="67">
        <v>1.82</v>
      </c>
      <c r="G25" s="67">
        <v>1.98</v>
      </c>
      <c r="H25" s="67">
        <v>2.1800000000000002</v>
      </c>
      <c r="I25" s="67">
        <v>2.4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</row>
    <row r="26" spans="1:17"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spans="1:17">
      <c r="A27" s="43"/>
      <c r="B27" s="60"/>
      <c r="C27" s="60"/>
      <c r="D27" s="60"/>
      <c r="E27" s="60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>
      <c r="A28" s="68" t="s">
        <v>15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spans="1:17">
      <c r="A29" s="43" t="s">
        <v>16</v>
      </c>
      <c r="B29" s="60">
        <v>11261</v>
      </c>
      <c r="C29" s="60">
        <v>9815</v>
      </c>
      <c r="D29" s="60">
        <v>10746</v>
      </c>
      <c r="E29" s="60">
        <v>14259</v>
      </c>
      <c r="F29" s="56">
        <v>13844</v>
      </c>
      <c r="G29" s="56">
        <v>21120</v>
      </c>
      <c r="H29" s="56">
        <v>20484</v>
      </c>
      <c r="I29" s="56">
        <v>20289</v>
      </c>
      <c r="J29" s="56">
        <v>25913</v>
      </c>
      <c r="K29" s="56">
        <v>48844</v>
      </c>
      <c r="L29" s="56">
        <v>38016</v>
      </c>
      <c r="M29" s="56">
        <v>34940</v>
      </c>
      <c r="N29" s="56">
        <v>23646</v>
      </c>
      <c r="O29" s="56">
        <v>29965</v>
      </c>
      <c r="P29" s="56">
        <v>29943</v>
      </c>
      <c r="Q29" s="56">
        <v>35934</v>
      </c>
    </row>
    <row r="30" spans="1:17">
      <c r="A30" s="43" t="s">
        <v>17</v>
      </c>
      <c r="B30" s="60">
        <v>14359</v>
      </c>
      <c r="C30" s="60">
        <v>16137</v>
      </c>
      <c r="D30" s="60">
        <v>18383</v>
      </c>
      <c r="E30" s="60">
        <v>26287</v>
      </c>
      <c r="F30" s="60">
        <v>11233</v>
      </c>
      <c r="G30" s="60">
        <v>20481</v>
      </c>
      <c r="H30" s="60">
        <v>46671</v>
      </c>
      <c r="I30" s="60">
        <v>53892</v>
      </c>
      <c r="J30" s="56">
        <v>40388</v>
      </c>
      <c r="K30" s="56">
        <v>51713</v>
      </c>
      <c r="L30" s="56">
        <v>52927</v>
      </c>
      <c r="M30" s="56">
        <v>27699</v>
      </c>
      <c r="N30" s="56">
        <v>24658</v>
      </c>
      <c r="O30" s="56">
        <v>31590</v>
      </c>
      <c r="P30" s="56">
        <v>35228</v>
      </c>
      <c r="Q30" s="56">
        <v>18763</v>
      </c>
    </row>
    <row r="31" spans="1:17">
      <c r="A31" s="43" t="s">
        <v>18</v>
      </c>
      <c r="B31" s="60">
        <v>5510</v>
      </c>
      <c r="C31" s="60">
        <v>5369</v>
      </c>
      <c r="D31" s="60">
        <v>10930</v>
      </c>
      <c r="E31" s="60">
        <v>13102</v>
      </c>
      <c r="F31" s="60">
        <v>17460</v>
      </c>
      <c r="G31" s="60">
        <v>16849</v>
      </c>
      <c r="H31" s="60">
        <v>15754</v>
      </c>
      <c r="I31" s="60">
        <v>17874</v>
      </c>
      <c r="J31" s="56">
        <v>23186</v>
      </c>
      <c r="K31" s="56">
        <v>22926</v>
      </c>
      <c r="L31" s="56">
        <v>16120</v>
      </c>
      <c r="M31" s="56">
        <v>26278</v>
      </c>
      <c r="N31" s="56">
        <v>28184</v>
      </c>
      <c r="O31" s="56">
        <v>29508</v>
      </c>
      <c r="P31" s="56">
        <v>33410</v>
      </c>
      <c r="Q31" s="56">
        <v>39777</v>
      </c>
    </row>
    <row r="32" spans="1:17">
      <c r="A32" s="43" t="s">
        <v>19</v>
      </c>
      <c r="B32" s="60">
        <v>1051</v>
      </c>
      <c r="C32" s="60">
        <v>776</v>
      </c>
      <c r="D32" s="60">
        <v>791</v>
      </c>
      <c r="E32" s="60">
        <v>1764</v>
      </c>
      <c r="F32" s="56">
        <v>2111</v>
      </c>
      <c r="G32" s="56">
        <v>2349</v>
      </c>
      <c r="H32" s="56">
        <v>2132</v>
      </c>
      <c r="I32" s="56">
        <v>4855</v>
      </c>
      <c r="J32" s="56">
        <v>3956</v>
      </c>
      <c r="K32" s="56">
        <v>4106</v>
      </c>
      <c r="L32" s="56">
        <v>4061</v>
      </c>
      <c r="M32" s="56">
        <v>6580</v>
      </c>
      <c r="N32" s="56">
        <v>4946</v>
      </c>
      <c r="O32" s="56">
        <v>6331</v>
      </c>
      <c r="P32" s="56">
        <v>7286</v>
      </c>
      <c r="Q32" s="56">
        <v>5718</v>
      </c>
    </row>
    <row r="33" spans="1:17">
      <c r="A33" s="43" t="s">
        <v>20</v>
      </c>
      <c r="B33" s="60">
        <v>1636</v>
      </c>
      <c r="C33" s="60">
        <v>2014</v>
      </c>
      <c r="D33" s="60">
        <v>2583</v>
      </c>
      <c r="E33" s="60">
        <v>3453</v>
      </c>
      <c r="F33" s="56">
        <v>4318</v>
      </c>
      <c r="G33" s="56">
        <v>5546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</row>
    <row r="34" spans="1:17">
      <c r="A34" s="43" t="s">
        <v>21</v>
      </c>
      <c r="B34" s="60">
        <v>4414</v>
      </c>
      <c r="C34" s="60">
        <v>6348</v>
      </c>
      <c r="D34" s="60">
        <v>7762</v>
      </c>
      <c r="E34" s="60">
        <v>7539</v>
      </c>
      <c r="F34" s="56">
        <v>9759</v>
      </c>
      <c r="G34" s="56">
        <v>13494</v>
      </c>
      <c r="H34" s="56">
        <v>13545</v>
      </c>
      <c r="I34" s="56">
        <v>17799</v>
      </c>
      <c r="J34" s="56">
        <v>25809</v>
      </c>
      <c r="K34" s="56">
        <v>22878</v>
      </c>
      <c r="L34" s="56">
        <v>21325</v>
      </c>
      <c r="M34" s="56">
        <v>25228</v>
      </c>
      <c r="N34" s="56">
        <v>32748</v>
      </c>
      <c r="O34" s="56">
        <v>31477</v>
      </c>
      <c r="P34" s="56">
        <v>32833</v>
      </c>
      <c r="Q34" s="56">
        <v>33180</v>
      </c>
    </row>
    <row r="35" spans="1:17">
      <c r="A35" s="43" t="s">
        <v>22</v>
      </c>
      <c r="B35" s="60">
        <v>3447</v>
      </c>
      <c r="C35" s="60">
        <v>4529</v>
      </c>
      <c r="D35" s="60">
        <v>6458</v>
      </c>
      <c r="E35" s="60">
        <v>6882</v>
      </c>
      <c r="F35" s="56">
        <v>9806</v>
      </c>
      <c r="G35" s="56">
        <v>9539</v>
      </c>
      <c r="H35" s="56">
        <v>8283</v>
      </c>
      <c r="I35" s="56">
        <v>13936</v>
      </c>
      <c r="J35" s="56">
        <v>12087</v>
      </c>
      <c r="K35" s="56">
        <v>12352</v>
      </c>
      <c r="L35" s="56">
        <v>11264</v>
      </c>
      <c r="M35" s="56">
        <v>14111</v>
      </c>
      <c r="N35" s="56">
        <v>21223</v>
      </c>
      <c r="O35" s="56">
        <v>14695</v>
      </c>
      <c r="P35" s="56">
        <v>14287</v>
      </c>
      <c r="Q35" s="56">
        <v>14585</v>
      </c>
    </row>
    <row r="36" spans="1:17">
      <c r="A36" s="53" t="s">
        <v>23</v>
      </c>
      <c r="B36" s="54">
        <f>B29+B30+B31+B32+B33+B34+B35</f>
        <v>41678</v>
      </c>
      <c r="C36" s="54">
        <f t="shared" ref="C36:Q36" si="7">C29+C30+C31+C32+C33+C34+C35</f>
        <v>44988</v>
      </c>
      <c r="D36" s="54">
        <f t="shared" si="7"/>
        <v>57653</v>
      </c>
      <c r="E36" s="54">
        <f t="shared" si="7"/>
        <v>73286</v>
      </c>
      <c r="F36" s="54">
        <f t="shared" si="7"/>
        <v>68531</v>
      </c>
      <c r="G36" s="54">
        <f t="shared" si="7"/>
        <v>89378</v>
      </c>
      <c r="H36" s="54">
        <f t="shared" si="7"/>
        <v>106869</v>
      </c>
      <c r="I36" s="54">
        <f t="shared" si="7"/>
        <v>128645</v>
      </c>
      <c r="J36" s="54">
        <f t="shared" si="7"/>
        <v>131339</v>
      </c>
      <c r="K36" s="54">
        <f t="shared" si="7"/>
        <v>162819</v>
      </c>
      <c r="L36" s="54">
        <f t="shared" si="7"/>
        <v>143713</v>
      </c>
      <c r="M36" s="54">
        <f t="shared" si="7"/>
        <v>134836</v>
      </c>
      <c r="N36" s="54">
        <f t="shared" si="7"/>
        <v>135405</v>
      </c>
      <c r="O36" s="54">
        <f t="shared" si="7"/>
        <v>143566</v>
      </c>
      <c r="P36" s="54">
        <f t="shared" si="7"/>
        <v>152987</v>
      </c>
      <c r="Q36" s="54">
        <f t="shared" si="7"/>
        <v>147957</v>
      </c>
    </row>
    <row r="37" spans="1:17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spans="1:17">
      <c r="A38" s="70" t="s">
        <v>24</v>
      </c>
      <c r="B38" s="60">
        <v>4768</v>
      </c>
      <c r="C38" s="60">
        <v>7777</v>
      </c>
      <c r="D38" s="60">
        <v>15452</v>
      </c>
      <c r="E38" s="60">
        <v>16597</v>
      </c>
      <c r="F38" s="60">
        <v>20624</v>
      </c>
      <c r="G38" s="60">
        <v>22471</v>
      </c>
      <c r="H38" s="60">
        <v>27010</v>
      </c>
      <c r="I38" s="60">
        <v>33783</v>
      </c>
      <c r="J38" s="60">
        <v>41304</v>
      </c>
      <c r="K38" s="60">
        <v>37378</v>
      </c>
      <c r="L38" s="60">
        <v>36766</v>
      </c>
      <c r="M38" s="60">
        <v>39440</v>
      </c>
      <c r="N38" s="60">
        <v>42117</v>
      </c>
      <c r="O38" s="60">
        <v>43715</v>
      </c>
      <c r="P38" s="60">
        <v>45680</v>
      </c>
      <c r="Q38" s="60">
        <v>49834</v>
      </c>
    </row>
    <row r="39" spans="1:17">
      <c r="A39" s="43" t="s">
        <v>25</v>
      </c>
      <c r="B39" s="60">
        <v>25391</v>
      </c>
      <c r="C39" s="60">
        <v>55618</v>
      </c>
      <c r="D39" s="60">
        <v>92122</v>
      </c>
      <c r="E39" s="60">
        <v>106215</v>
      </c>
      <c r="F39" s="56">
        <v>130162</v>
      </c>
      <c r="G39" s="56">
        <v>164065</v>
      </c>
      <c r="H39" s="56">
        <v>170430</v>
      </c>
      <c r="I39" s="56">
        <v>194714</v>
      </c>
      <c r="J39" s="56">
        <v>170799</v>
      </c>
      <c r="K39" s="56">
        <v>105341</v>
      </c>
      <c r="L39" s="56">
        <v>100887</v>
      </c>
      <c r="M39" s="56">
        <v>127877</v>
      </c>
      <c r="N39" s="56">
        <v>120805</v>
      </c>
      <c r="O39" s="56">
        <v>100544</v>
      </c>
      <c r="P39" s="56">
        <v>91479</v>
      </c>
      <c r="Q39" s="56">
        <v>77723</v>
      </c>
    </row>
    <row r="40" spans="1:17">
      <c r="A40" s="43" t="s">
        <v>26</v>
      </c>
      <c r="B40" s="60">
        <v>741</v>
      </c>
      <c r="C40" s="60">
        <v>896</v>
      </c>
      <c r="D40" s="60">
        <v>1135</v>
      </c>
      <c r="E40" s="60">
        <v>1577</v>
      </c>
      <c r="F40" s="56">
        <v>4616</v>
      </c>
      <c r="G40" s="56">
        <v>5116</v>
      </c>
      <c r="H40" s="56">
        <v>5414</v>
      </c>
      <c r="I40" s="56">
        <v>5717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</row>
    <row r="41" spans="1:17">
      <c r="A41" s="43" t="s">
        <v>27</v>
      </c>
      <c r="B41" s="60">
        <v>342</v>
      </c>
      <c r="C41" s="60">
        <v>3536</v>
      </c>
      <c r="D41" s="60">
        <v>4224</v>
      </c>
      <c r="E41" s="60">
        <v>4179</v>
      </c>
      <c r="F41" s="56">
        <v>4142</v>
      </c>
      <c r="G41" s="56">
        <v>3893</v>
      </c>
      <c r="H41" s="56">
        <v>3206</v>
      </c>
      <c r="I41" s="56">
        <v>2298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</row>
    <row r="42" spans="1:17">
      <c r="A42" s="43" t="s">
        <v>28</v>
      </c>
      <c r="B42" s="60">
        <v>2263</v>
      </c>
      <c r="C42" s="60">
        <v>3556</v>
      </c>
      <c r="D42" s="60">
        <v>5478</v>
      </c>
      <c r="E42" s="60">
        <v>5146</v>
      </c>
      <c r="F42" s="56">
        <v>3764</v>
      </c>
      <c r="G42" s="56">
        <v>5556</v>
      </c>
      <c r="H42" s="56">
        <v>8757</v>
      </c>
      <c r="I42" s="56">
        <v>10162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</row>
    <row r="43" spans="1:17">
      <c r="A43" s="43" t="s">
        <v>29</v>
      </c>
      <c r="B43" s="60">
        <v>0</v>
      </c>
      <c r="C43" s="60">
        <v>0</v>
      </c>
      <c r="D43" s="60">
        <v>0</v>
      </c>
      <c r="E43" s="60">
        <v>0</v>
      </c>
      <c r="F43" s="56">
        <v>0</v>
      </c>
      <c r="G43" s="56">
        <v>0</v>
      </c>
      <c r="H43" s="56">
        <v>0</v>
      </c>
      <c r="I43" s="56">
        <v>0</v>
      </c>
      <c r="J43" s="56">
        <v>22283</v>
      </c>
      <c r="K43" s="56">
        <v>32978</v>
      </c>
      <c r="L43" s="56">
        <v>42522</v>
      </c>
      <c r="M43" s="56">
        <v>48849</v>
      </c>
      <c r="N43" s="56">
        <v>54428</v>
      </c>
      <c r="O43" s="56">
        <v>64758</v>
      </c>
      <c r="P43" s="56">
        <v>74834</v>
      </c>
      <c r="Q43" s="56">
        <v>83727</v>
      </c>
    </row>
    <row r="44" spans="1:17">
      <c r="A44" s="53" t="s">
        <v>30</v>
      </c>
      <c r="B44" s="54">
        <f>B38+B39+B40+B41+B42+B43</f>
        <v>33505</v>
      </c>
      <c r="C44" s="54">
        <f t="shared" ref="C44:Q44" si="8">C38+C39+C40+C41+C42+C43</f>
        <v>71383</v>
      </c>
      <c r="D44" s="54">
        <f t="shared" si="8"/>
        <v>118411</v>
      </c>
      <c r="E44" s="54">
        <f t="shared" si="8"/>
        <v>133714</v>
      </c>
      <c r="F44" s="54">
        <f t="shared" si="8"/>
        <v>163308</v>
      </c>
      <c r="G44" s="54">
        <f t="shared" si="8"/>
        <v>201101</v>
      </c>
      <c r="H44" s="54">
        <f t="shared" si="8"/>
        <v>214817</v>
      </c>
      <c r="I44" s="54">
        <f t="shared" si="8"/>
        <v>246674</v>
      </c>
      <c r="J44" s="54">
        <f t="shared" si="8"/>
        <v>234386</v>
      </c>
      <c r="K44" s="54">
        <f t="shared" si="8"/>
        <v>175697</v>
      </c>
      <c r="L44" s="54">
        <f t="shared" si="8"/>
        <v>180175</v>
      </c>
      <c r="M44" s="54">
        <f t="shared" si="8"/>
        <v>216166</v>
      </c>
      <c r="N44" s="54">
        <f t="shared" si="8"/>
        <v>217350</v>
      </c>
      <c r="O44" s="54">
        <f t="shared" si="8"/>
        <v>209017</v>
      </c>
      <c r="P44" s="54">
        <f t="shared" si="8"/>
        <v>211993</v>
      </c>
      <c r="Q44" s="54">
        <f t="shared" si="8"/>
        <v>211284</v>
      </c>
    </row>
    <row r="45" spans="1:17">
      <c r="A45" s="53" t="s">
        <v>31</v>
      </c>
      <c r="B45" s="54">
        <f t="shared" ref="B45:Q45" si="9">B36+B44</f>
        <v>75183</v>
      </c>
      <c r="C45" s="54">
        <f t="shared" si="9"/>
        <v>116371</v>
      </c>
      <c r="D45" s="54">
        <f t="shared" si="9"/>
        <v>176064</v>
      </c>
      <c r="E45" s="54">
        <f t="shared" si="9"/>
        <v>207000</v>
      </c>
      <c r="F45" s="57">
        <f t="shared" si="9"/>
        <v>231839</v>
      </c>
      <c r="G45" s="57">
        <f t="shared" si="9"/>
        <v>290479</v>
      </c>
      <c r="H45" s="57">
        <f t="shared" si="9"/>
        <v>321686</v>
      </c>
      <c r="I45" s="57">
        <f t="shared" si="9"/>
        <v>375319</v>
      </c>
      <c r="J45" s="57">
        <f t="shared" si="9"/>
        <v>365725</v>
      </c>
      <c r="K45" s="57">
        <f t="shared" si="9"/>
        <v>338516</v>
      </c>
      <c r="L45" s="57">
        <f t="shared" si="9"/>
        <v>323888</v>
      </c>
      <c r="M45" s="57">
        <f t="shared" si="9"/>
        <v>351002</v>
      </c>
      <c r="N45" s="57">
        <f t="shared" si="9"/>
        <v>352755</v>
      </c>
      <c r="O45" s="57">
        <f t="shared" si="9"/>
        <v>352583</v>
      </c>
      <c r="P45" s="57">
        <f t="shared" si="9"/>
        <v>364980</v>
      </c>
      <c r="Q45" s="57">
        <f t="shared" si="9"/>
        <v>359241</v>
      </c>
    </row>
    <row r="46" spans="1:17">
      <c r="A46" s="70"/>
      <c r="B46" s="71"/>
      <c r="C46" s="71"/>
      <c r="D46" s="71"/>
      <c r="E46" s="71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</row>
    <row r="47" spans="1:17">
      <c r="A47" s="43" t="s">
        <v>32</v>
      </c>
      <c r="B47" s="60">
        <v>0</v>
      </c>
      <c r="C47" s="60">
        <v>0</v>
      </c>
      <c r="D47" s="60">
        <v>0</v>
      </c>
      <c r="E47" s="60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</row>
    <row r="48" spans="1:17">
      <c r="A48" s="43" t="s">
        <v>33</v>
      </c>
      <c r="B48" s="60">
        <v>12015</v>
      </c>
      <c r="C48" s="60">
        <v>14632</v>
      </c>
      <c r="D48" s="60">
        <v>21175</v>
      </c>
      <c r="E48" s="60">
        <v>22367</v>
      </c>
      <c r="F48" s="60">
        <v>30196</v>
      </c>
      <c r="G48" s="60">
        <v>35490</v>
      </c>
      <c r="H48" s="60">
        <v>37294</v>
      </c>
      <c r="I48" s="60">
        <v>49049</v>
      </c>
      <c r="J48" s="60">
        <v>55888</v>
      </c>
      <c r="K48" s="60">
        <v>46236</v>
      </c>
      <c r="L48" s="60">
        <v>42296</v>
      </c>
      <c r="M48" s="60">
        <v>54763</v>
      </c>
      <c r="N48" s="60">
        <v>64115</v>
      </c>
      <c r="O48" s="60">
        <v>62611</v>
      </c>
      <c r="P48" s="56">
        <v>68960</v>
      </c>
      <c r="Q48" s="56">
        <v>69860</v>
      </c>
    </row>
    <row r="49" spans="1:17">
      <c r="A49" s="43" t="s">
        <v>34</v>
      </c>
      <c r="B49" s="60">
        <v>5723</v>
      </c>
      <c r="C49" s="60">
        <v>9247</v>
      </c>
      <c r="D49" s="60">
        <v>11414</v>
      </c>
      <c r="E49" s="60">
        <v>13856</v>
      </c>
      <c r="F49" s="56">
        <v>18453</v>
      </c>
      <c r="G49" s="56">
        <v>25181</v>
      </c>
      <c r="H49" s="56">
        <v>22027</v>
      </c>
      <c r="I49" s="56">
        <v>25744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</row>
    <row r="50" spans="1:17">
      <c r="A50" s="43" t="s">
        <v>35</v>
      </c>
      <c r="B50" s="60">
        <v>2984</v>
      </c>
      <c r="C50" s="60">
        <v>4091</v>
      </c>
      <c r="D50" s="60">
        <v>5953</v>
      </c>
      <c r="E50" s="60">
        <v>7435</v>
      </c>
      <c r="F50" s="60">
        <v>8491</v>
      </c>
      <c r="G50" s="60">
        <v>8940</v>
      </c>
      <c r="H50" s="60">
        <v>8080</v>
      </c>
      <c r="I50" s="60">
        <v>7548</v>
      </c>
      <c r="J50" s="60">
        <v>7543</v>
      </c>
      <c r="K50" s="60">
        <v>5522</v>
      </c>
      <c r="L50" s="60">
        <v>6643</v>
      </c>
      <c r="M50" s="60">
        <v>7612</v>
      </c>
      <c r="N50" s="56">
        <v>7912</v>
      </c>
      <c r="O50" s="56">
        <v>8061</v>
      </c>
      <c r="P50" s="56">
        <v>8249</v>
      </c>
      <c r="Q50" s="56">
        <v>9055</v>
      </c>
    </row>
    <row r="51" spans="1:17">
      <c r="A51" s="43" t="s">
        <v>36</v>
      </c>
      <c r="B51" s="60">
        <v>0</v>
      </c>
      <c r="C51" s="60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32687</v>
      </c>
      <c r="K51" s="60">
        <v>37720</v>
      </c>
      <c r="L51" s="60">
        <v>42684</v>
      </c>
      <c r="M51" s="60">
        <v>47493</v>
      </c>
      <c r="N51" s="56">
        <v>60845</v>
      </c>
      <c r="O51" s="56">
        <v>58829</v>
      </c>
      <c r="P51" s="56">
        <v>78304</v>
      </c>
      <c r="Q51" s="56">
        <v>66387</v>
      </c>
    </row>
    <row r="52" spans="1:17">
      <c r="A52" s="43" t="s">
        <v>37</v>
      </c>
      <c r="B52" s="60">
        <v>0</v>
      </c>
      <c r="C52" s="60">
        <v>0</v>
      </c>
      <c r="D52" s="60">
        <v>0</v>
      </c>
      <c r="E52" s="60">
        <v>0</v>
      </c>
      <c r="F52" s="56">
        <v>6308</v>
      </c>
      <c r="G52" s="56">
        <v>8499</v>
      </c>
      <c r="H52" s="56">
        <v>8105</v>
      </c>
      <c r="I52" s="56">
        <v>11977</v>
      </c>
      <c r="J52" s="56">
        <v>11964</v>
      </c>
      <c r="K52" s="56">
        <v>5980</v>
      </c>
      <c r="L52" s="56">
        <v>4996</v>
      </c>
      <c r="M52" s="56">
        <v>6000</v>
      </c>
      <c r="N52" s="56">
        <v>9982</v>
      </c>
      <c r="O52" s="56">
        <v>5985</v>
      </c>
      <c r="P52" s="56">
        <v>9967</v>
      </c>
      <c r="Q52" s="56">
        <v>7979</v>
      </c>
    </row>
    <row r="53" spans="1:17">
      <c r="A53" s="43" t="s">
        <v>38</v>
      </c>
      <c r="B53" s="60">
        <v>0</v>
      </c>
      <c r="C53" s="60">
        <v>0</v>
      </c>
      <c r="D53" s="60">
        <v>0</v>
      </c>
      <c r="E53" s="60">
        <v>0</v>
      </c>
      <c r="F53" s="56">
        <v>0</v>
      </c>
      <c r="G53" s="56">
        <v>2500</v>
      </c>
      <c r="H53" s="56">
        <v>3500</v>
      </c>
      <c r="I53" s="56">
        <v>6496</v>
      </c>
      <c r="J53" s="56">
        <v>8784</v>
      </c>
      <c r="K53" s="56">
        <v>10260</v>
      </c>
      <c r="L53" s="56">
        <v>8773</v>
      </c>
      <c r="M53" s="56">
        <v>9613</v>
      </c>
      <c r="N53" s="56">
        <v>11128</v>
      </c>
      <c r="O53" s="56">
        <v>9822</v>
      </c>
      <c r="P53" s="56">
        <v>10912</v>
      </c>
      <c r="Q53" s="56">
        <v>12350</v>
      </c>
    </row>
    <row r="54" spans="1:17">
      <c r="A54" s="53" t="s">
        <v>39</v>
      </c>
      <c r="B54" s="54">
        <f t="shared" ref="B54:Q54" si="10">SUM(B47:B53)</f>
        <v>20722</v>
      </c>
      <c r="C54" s="54">
        <f t="shared" si="10"/>
        <v>27970</v>
      </c>
      <c r="D54" s="54">
        <f t="shared" si="10"/>
        <v>38542</v>
      </c>
      <c r="E54" s="54">
        <f t="shared" si="10"/>
        <v>43658</v>
      </c>
      <c r="F54" s="57">
        <f t="shared" si="10"/>
        <v>63448</v>
      </c>
      <c r="G54" s="57">
        <f t="shared" si="10"/>
        <v>80610</v>
      </c>
      <c r="H54" s="57">
        <f t="shared" si="10"/>
        <v>79006</v>
      </c>
      <c r="I54" s="57">
        <f t="shared" si="10"/>
        <v>100814</v>
      </c>
      <c r="J54" s="57">
        <f t="shared" si="10"/>
        <v>116866</v>
      </c>
      <c r="K54" s="57">
        <f t="shared" si="10"/>
        <v>105718</v>
      </c>
      <c r="L54" s="57">
        <f t="shared" si="10"/>
        <v>105392</v>
      </c>
      <c r="M54" s="57">
        <f t="shared" si="10"/>
        <v>125481</v>
      </c>
      <c r="N54" s="57">
        <f t="shared" si="10"/>
        <v>153982</v>
      </c>
      <c r="O54" s="57">
        <f t="shared" si="10"/>
        <v>145308</v>
      </c>
      <c r="P54" s="57">
        <f t="shared" si="10"/>
        <v>176392</v>
      </c>
      <c r="Q54" s="57">
        <f t="shared" si="10"/>
        <v>165631</v>
      </c>
    </row>
    <row r="55" spans="1:17">
      <c r="A55" s="70"/>
      <c r="B55" s="71"/>
      <c r="C55" s="71"/>
      <c r="D55" s="71"/>
      <c r="E55" s="71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</row>
    <row r="56" spans="1:17">
      <c r="A56" s="43" t="s">
        <v>40</v>
      </c>
      <c r="B56" s="60">
        <v>0</v>
      </c>
      <c r="C56" s="60">
        <v>0</v>
      </c>
      <c r="D56" s="60">
        <v>0</v>
      </c>
      <c r="E56" s="60">
        <v>16960</v>
      </c>
      <c r="F56" s="56">
        <v>28987</v>
      </c>
      <c r="G56" s="56">
        <v>53463</v>
      </c>
      <c r="H56" s="56">
        <v>75427</v>
      </c>
      <c r="I56" s="56">
        <v>97207</v>
      </c>
      <c r="J56" s="56">
        <v>93735</v>
      </c>
      <c r="K56" s="56">
        <v>91807</v>
      </c>
      <c r="L56" s="56">
        <v>98667</v>
      </c>
      <c r="M56" s="56">
        <v>109106</v>
      </c>
      <c r="N56" s="56">
        <v>98959</v>
      </c>
      <c r="O56" s="56">
        <v>95281</v>
      </c>
      <c r="P56" s="56">
        <v>85750</v>
      </c>
      <c r="Q56" s="56">
        <v>78328</v>
      </c>
    </row>
    <row r="57" spans="1:17">
      <c r="A57" s="43" t="s">
        <v>41</v>
      </c>
      <c r="B57" s="60">
        <v>1139</v>
      </c>
      <c r="C57" s="60">
        <v>1686</v>
      </c>
      <c r="D57" s="60">
        <v>2648</v>
      </c>
      <c r="E57" s="60">
        <v>2625</v>
      </c>
      <c r="F57" s="60">
        <v>3031</v>
      </c>
      <c r="G57" s="60">
        <v>3624</v>
      </c>
      <c r="H57" s="60">
        <v>2930</v>
      </c>
      <c r="I57" s="60">
        <v>2836</v>
      </c>
      <c r="J57" s="60">
        <v>2797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</row>
    <row r="58" spans="1:17">
      <c r="A58" s="43" t="s">
        <v>42</v>
      </c>
      <c r="B58" s="60">
        <v>5531</v>
      </c>
      <c r="C58" s="60">
        <v>10100</v>
      </c>
      <c r="D58" s="60">
        <v>16664</v>
      </c>
      <c r="E58" s="60">
        <v>20208</v>
      </c>
      <c r="F58" s="60">
        <v>24826</v>
      </c>
      <c r="G58" s="60">
        <v>33427</v>
      </c>
      <c r="H58" s="60">
        <v>36074</v>
      </c>
      <c r="I58" s="60">
        <v>40415</v>
      </c>
      <c r="J58" s="60">
        <v>45180</v>
      </c>
      <c r="K58" s="60">
        <v>50503</v>
      </c>
      <c r="L58" s="60">
        <v>54490</v>
      </c>
      <c r="M58" s="60">
        <v>53325</v>
      </c>
      <c r="N58" s="60">
        <v>49142</v>
      </c>
      <c r="O58" s="60">
        <v>49848</v>
      </c>
      <c r="P58" s="60">
        <v>45888</v>
      </c>
      <c r="Q58" s="60">
        <v>41549</v>
      </c>
    </row>
    <row r="59" spans="1:17">
      <c r="A59" s="53" t="s">
        <v>43</v>
      </c>
      <c r="B59" s="73">
        <f t="shared" ref="B59:Q59" si="11">SUM(B56:B58)</f>
        <v>6670</v>
      </c>
      <c r="C59" s="73">
        <f t="shared" si="11"/>
        <v>11786</v>
      </c>
      <c r="D59" s="73">
        <f t="shared" si="11"/>
        <v>19312</v>
      </c>
      <c r="E59" s="73">
        <f t="shared" si="11"/>
        <v>39793</v>
      </c>
      <c r="F59" s="74">
        <f t="shared" si="11"/>
        <v>56844</v>
      </c>
      <c r="G59" s="74">
        <f t="shared" si="11"/>
        <v>90514</v>
      </c>
      <c r="H59" s="74">
        <f t="shared" si="11"/>
        <v>114431</v>
      </c>
      <c r="I59" s="74">
        <f t="shared" si="11"/>
        <v>140458</v>
      </c>
      <c r="J59" s="74">
        <f t="shared" si="11"/>
        <v>141712</v>
      </c>
      <c r="K59" s="74">
        <f t="shared" si="11"/>
        <v>142310</v>
      </c>
      <c r="L59" s="74">
        <f t="shared" si="11"/>
        <v>153157</v>
      </c>
      <c r="M59" s="74">
        <f t="shared" si="11"/>
        <v>162431</v>
      </c>
      <c r="N59" s="74">
        <f t="shared" si="11"/>
        <v>148101</v>
      </c>
      <c r="O59" s="74">
        <f t="shared" si="11"/>
        <v>145129</v>
      </c>
      <c r="P59" s="74">
        <f t="shared" si="11"/>
        <v>131638</v>
      </c>
      <c r="Q59" s="74">
        <f t="shared" si="11"/>
        <v>119877</v>
      </c>
    </row>
    <row r="60" spans="1:17">
      <c r="A60" s="53" t="s">
        <v>44</v>
      </c>
      <c r="B60" s="50">
        <f t="shared" ref="B60:Q60" si="12">B54+B59</f>
        <v>27392</v>
      </c>
      <c r="C60" s="50">
        <f t="shared" si="12"/>
        <v>39756</v>
      </c>
      <c r="D60" s="50">
        <f t="shared" si="12"/>
        <v>57854</v>
      </c>
      <c r="E60" s="50">
        <f t="shared" si="12"/>
        <v>83451</v>
      </c>
      <c r="F60" s="50">
        <f t="shared" si="12"/>
        <v>120292</v>
      </c>
      <c r="G60" s="50">
        <f t="shared" si="12"/>
        <v>171124</v>
      </c>
      <c r="H60" s="50">
        <f t="shared" si="12"/>
        <v>193437</v>
      </c>
      <c r="I60" s="50">
        <f t="shared" si="12"/>
        <v>241272</v>
      </c>
      <c r="J60" s="50">
        <f t="shared" si="12"/>
        <v>258578</v>
      </c>
      <c r="K60" s="50">
        <f t="shared" si="12"/>
        <v>248028</v>
      </c>
      <c r="L60" s="50">
        <f t="shared" si="12"/>
        <v>258549</v>
      </c>
      <c r="M60" s="50">
        <f t="shared" si="12"/>
        <v>287912</v>
      </c>
      <c r="N60" s="50">
        <f t="shared" si="12"/>
        <v>302083</v>
      </c>
      <c r="O60" s="50">
        <f t="shared" si="12"/>
        <v>290437</v>
      </c>
      <c r="P60" s="50">
        <f t="shared" si="12"/>
        <v>308030</v>
      </c>
      <c r="Q60" s="50">
        <f t="shared" si="12"/>
        <v>285508</v>
      </c>
    </row>
    <row r="61" spans="1:17">
      <c r="A61" s="43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>
      <c r="A62" s="43" t="s">
        <v>45</v>
      </c>
      <c r="B62" s="56">
        <v>10668</v>
      </c>
      <c r="C62" s="56">
        <v>13331</v>
      </c>
      <c r="D62" s="56">
        <v>16422</v>
      </c>
      <c r="E62" s="56">
        <v>19764</v>
      </c>
      <c r="F62" s="56">
        <v>23313</v>
      </c>
      <c r="G62" s="56">
        <v>27416</v>
      </c>
      <c r="H62" s="56">
        <v>31251</v>
      </c>
      <c r="I62" s="56">
        <v>35867</v>
      </c>
      <c r="J62" s="56">
        <v>40201</v>
      </c>
      <c r="K62" s="56">
        <v>45174</v>
      </c>
      <c r="L62" s="56">
        <v>50779</v>
      </c>
      <c r="M62" s="56">
        <v>57365</v>
      </c>
      <c r="N62" s="56">
        <v>64849</v>
      </c>
      <c r="O62" s="56">
        <v>73812</v>
      </c>
      <c r="P62" s="56">
        <v>83276</v>
      </c>
      <c r="Q62" s="56">
        <v>93568</v>
      </c>
    </row>
    <row r="63" spans="1:17">
      <c r="A63" s="43" t="s">
        <v>46</v>
      </c>
      <c r="B63" s="56">
        <v>37169</v>
      </c>
      <c r="C63" s="56">
        <v>62841</v>
      </c>
      <c r="D63" s="56">
        <v>101289</v>
      </c>
      <c r="E63" s="56">
        <v>104256</v>
      </c>
      <c r="F63" s="56">
        <v>87152</v>
      </c>
      <c r="G63" s="56">
        <v>92284</v>
      </c>
      <c r="H63" s="56">
        <v>96364</v>
      </c>
      <c r="I63" s="56">
        <v>98330</v>
      </c>
      <c r="J63" s="56">
        <v>70400</v>
      </c>
      <c r="K63" s="56">
        <v>45898</v>
      </c>
      <c r="L63" s="56">
        <v>14966</v>
      </c>
      <c r="M63" s="56">
        <v>5562</v>
      </c>
      <c r="N63" s="56">
        <v>0</v>
      </c>
      <c r="O63" s="56">
        <v>0</v>
      </c>
      <c r="P63" s="56">
        <v>0</v>
      </c>
      <c r="Q63" s="56">
        <v>0</v>
      </c>
    </row>
    <row r="64" spans="1:17">
      <c r="A64" s="43" t="s">
        <v>47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75">
        <v>-3068</v>
      </c>
      <c r="O64" s="75">
        <v>-214</v>
      </c>
      <c r="P64" s="75">
        <v>-19154</v>
      </c>
      <c r="Q64" s="75">
        <v>-14264</v>
      </c>
    </row>
    <row r="65" spans="1:17">
      <c r="A65" s="43" t="s">
        <v>48</v>
      </c>
      <c r="B65" s="75">
        <v>-46</v>
      </c>
      <c r="C65" s="56">
        <v>443</v>
      </c>
      <c r="D65" s="56">
        <v>499</v>
      </c>
      <c r="E65" s="75">
        <v>-471</v>
      </c>
      <c r="F65" s="56">
        <v>1082</v>
      </c>
      <c r="G65" s="75">
        <v>-345</v>
      </c>
      <c r="H65" s="56">
        <v>634</v>
      </c>
      <c r="I65" s="75">
        <v>-150</v>
      </c>
      <c r="J65" s="75">
        <v>-3454</v>
      </c>
      <c r="K65" s="75">
        <v>-584</v>
      </c>
      <c r="L65" s="75">
        <v>-406</v>
      </c>
      <c r="M65" s="56">
        <v>163</v>
      </c>
      <c r="N65" s="75">
        <v>-11109</v>
      </c>
      <c r="O65" s="75">
        <v>-11452</v>
      </c>
      <c r="P65" s="75">
        <v>-7172</v>
      </c>
      <c r="Q65" s="75">
        <v>-5571</v>
      </c>
    </row>
    <row r="66" spans="1:17">
      <c r="A66" s="53" t="s">
        <v>49</v>
      </c>
      <c r="B66" s="76">
        <f t="shared" ref="B66:Q66" si="13">SUM(B62:B65)</f>
        <v>47791</v>
      </c>
      <c r="C66" s="76">
        <f t="shared" si="13"/>
        <v>76615</v>
      </c>
      <c r="D66" s="76">
        <f t="shared" si="13"/>
        <v>118210</v>
      </c>
      <c r="E66" s="76">
        <f t="shared" si="13"/>
        <v>123549</v>
      </c>
      <c r="F66" s="76">
        <f t="shared" si="13"/>
        <v>111547</v>
      </c>
      <c r="G66" s="76">
        <f t="shared" si="13"/>
        <v>119355</v>
      </c>
      <c r="H66" s="76">
        <f t="shared" si="13"/>
        <v>128249</v>
      </c>
      <c r="I66" s="76">
        <f t="shared" si="13"/>
        <v>134047</v>
      </c>
      <c r="J66" s="76">
        <f t="shared" si="13"/>
        <v>107147</v>
      </c>
      <c r="K66" s="76">
        <f t="shared" si="13"/>
        <v>90488</v>
      </c>
      <c r="L66" s="76">
        <f t="shared" si="13"/>
        <v>65339</v>
      </c>
      <c r="M66" s="76">
        <f t="shared" si="13"/>
        <v>63090</v>
      </c>
      <c r="N66" s="76">
        <f t="shared" si="13"/>
        <v>50672</v>
      </c>
      <c r="O66" s="76">
        <f t="shared" si="13"/>
        <v>62146</v>
      </c>
      <c r="P66" s="76">
        <f t="shared" si="13"/>
        <v>56950</v>
      </c>
      <c r="Q66" s="76">
        <f t="shared" si="13"/>
        <v>73733</v>
      </c>
    </row>
    <row r="67" spans="1:17">
      <c r="A67" s="53" t="s">
        <v>50</v>
      </c>
      <c r="B67" s="77">
        <f t="shared" ref="B67:Q67" si="14">B60+B66</f>
        <v>75183</v>
      </c>
      <c r="C67" s="77">
        <f t="shared" si="14"/>
        <v>116371</v>
      </c>
      <c r="D67" s="77">
        <f t="shared" si="14"/>
        <v>176064</v>
      </c>
      <c r="E67" s="77">
        <f t="shared" si="14"/>
        <v>207000</v>
      </c>
      <c r="F67" s="77">
        <f t="shared" si="14"/>
        <v>231839</v>
      </c>
      <c r="G67" s="77">
        <f t="shared" si="14"/>
        <v>290479</v>
      </c>
      <c r="H67" s="77">
        <f t="shared" si="14"/>
        <v>321686</v>
      </c>
      <c r="I67" s="77">
        <f t="shared" si="14"/>
        <v>375319</v>
      </c>
      <c r="J67" s="77">
        <f t="shared" si="14"/>
        <v>365725</v>
      </c>
      <c r="K67" s="77">
        <f t="shared" si="14"/>
        <v>338516</v>
      </c>
      <c r="L67" s="77">
        <f t="shared" si="14"/>
        <v>323888</v>
      </c>
      <c r="M67" s="77">
        <f t="shared" si="14"/>
        <v>351002</v>
      </c>
      <c r="N67" s="77">
        <f t="shared" si="14"/>
        <v>352755</v>
      </c>
      <c r="O67" s="77">
        <f t="shared" si="14"/>
        <v>352583</v>
      </c>
      <c r="P67" s="77">
        <f t="shared" si="14"/>
        <v>364980</v>
      </c>
      <c r="Q67" s="77">
        <f t="shared" si="14"/>
        <v>359241</v>
      </c>
    </row>
    <row r="72" spans="1:17" ht="19.2" customHeight="1">
      <c r="A72" s="78" t="s">
        <v>54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</row>
    <row r="73" spans="1:17">
      <c r="A73" s="42" t="s">
        <v>55</v>
      </c>
      <c r="B73" s="79" t="str">
        <f>""</f>
        <v/>
      </c>
      <c r="C73" s="79">
        <f t="shared" ref="C73:Q73" si="15">IFERROR(C4/B4-1,"")</f>
        <v>0.65962437715599842</v>
      </c>
      <c r="D73" s="79">
        <f t="shared" si="15"/>
        <v>0.44581474193756976</v>
      </c>
      <c r="E73" s="79">
        <f t="shared" si="15"/>
        <v>9.2020855163953197E-2</v>
      </c>
      <c r="F73" s="79">
        <f t="shared" si="15"/>
        <v>6.9539523725937524E-2</v>
      </c>
      <c r="G73" s="79">
        <f t="shared" si="15"/>
        <v>0.27856341803659834</v>
      </c>
      <c r="H73" s="79">
        <f t="shared" si="15"/>
        <v>-7.7342061913013738E-2</v>
      </c>
      <c r="I73" s="79">
        <f t="shared" si="15"/>
        <v>6.304518199398057E-2</v>
      </c>
      <c r="J73" s="79">
        <f t="shared" si="15"/>
        <v>0.15861957650261305</v>
      </c>
      <c r="K73" s="79">
        <f t="shared" si="15"/>
        <v>-2.04107758052674E-2</v>
      </c>
      <c r="L73" s="79">
        <f t="shared" si="15"/>
        <v>5.5120803769784787E-2</v>
      </c>
      <c r="M73" s="79">
        <f t="shared" si="15"/>
        <v>0.33259384733074704</v>
      </c>
      <c r="N73" s="79">
        <f t="shared" si="15"/>
        <v>7.7937876041846099E-2</v>
      </c>
      <c r="O73" s="79">
        <f t="shared" si="15"/>
        <v>-2.800460530319937E-2</v>
      </c>
      <c r="P73" s="79">
        <f t="shared" si="15"/>
        <v>2.021994077514111E-2</v>
      </c>
      <c r="Q73" s="79">
        <f t="shared" si="15"/>
        <v>6.425511782832749E-2</v>
      </c>
    </row>
    <row r="74" spans="1:17">
      <c r="A74" s="42" t="s">
        <v>56</v>
      </c>
      <c r="B74" s="79">
        <f t="shared" ref="B74:Q74" si="16">IFERROR(B6/B4,"")</f>
        <v>0.39377539287083174</v>
      </c>
      <c r="C74" s="79">
        <f t="shared" si="16"/>
        <v>0.40478895878945764</v>
      </c>
      <c r="D74" s="79">
        <f t="shared" si="16"/>
        <v>0.43871239808827661</v>
      </c>
      <c r="E74" s="79">
        <f t="shared" si="16"/>
        <v>0.37624480720847231</v>
      </c>
      <c r="F74" s="79">
        <f t="shared" si="16"/>
        <v>0.38588035777783858</v>
      </c>
      <c r="G74" s="79">
        <f t="shared" si="16"/>
        <v>0.40059902017414373</v>
      </c>
      <c r="H74" s="79">
        <f t="shared" si="16"/>
        <v>0.39075955648097049</v>
      </c>
      <c r="I74" s="79">
        <f t="shared" si="16"/>
        <v>0.38469860491899105</v>
      </c>
      <c r="J74" s="79">
        <f t="shared" si="16"/>
        <v>0.38343718820007905</v>
      </c>
      <c r="K74" s="79">
        <f t="shared" si="16"/>
        <v>0.37817768109034722</v>
      </c>
      <c r="L74" s="79">
        <f t="shared" si="16"/>
        <v>0.38233247727810865</v>
      </c>
      <c r="M74" s="79">
        <f t="shared" si="16"/>
        <v>0.41779359625167778</v>
      </c>
      <c r="N74" s="79">
        <f t="shared" si="16"/>
        <v>0.43309630561360085</v>
      </c>
      <c r="O74" s="79">
        <f t="shared" si="16"/>
        <v>0.44131129577207562</v>
      </c>
      <c r="P74" s="79">
        <f t="shared" si="16"/>
        <v>0.46206349815233932</v>
      </c>
      <c r="Q74" s="79">
        <f t="shared" si="16"/>
        <v>0.46905164107160452</v>
      </c>
    </row>
    <row r="75" spans="1:17">
      <c r="A75" s="42" t="s">
        <v>57</v>
      </c>
      <c r="B75" s="79">
        <f t="shared" ref="B75:Q75" si="17">IFERROR(B11/B4,"")</f>
        <v>0.28187044844768111</v>
      </c>
      <c r="C75" s="79">
        <f t="shared" si="17"/>
        <v>0.31215068961376086</v>
      </c>
      <c r="D75" s="79">
        <f t="shared" si="17"/>
        <v>0.35295959311984054</v>
      </c>
      <c r="E75" s="79">
        <f t="shared" si="17"/>
        <v>0.28669475162366159</v>
      </c>
      <c r="F75" s="79">
        <f t="shared" si="17"/>
        <v>0.28722339232473537</v>
      </c>
      <c r="G75" s="79">
        <f t="shared" si="17"/>
        <v>0.30477290717326661</v>
      </c>
      <c r="H75" s="79">
        <f t="shared" si="17"/>
        <v>0.27835410106706115</v>
      </c>
      <c r="I75" s="79">
        <f t="shared" si="17"/>
        <v>0.26760428208729942</v>
      </c>
      <c r="J75" s="79">
        <f t="shared" si="17"/>
        <v>0.26694026619477024</v>
      </c>
      <c r="K75" s="79">
        <f t="shared" si="17"/>
        <v>0.24572017188496928</v>
      </c>
      <c r="L75" s="79">
        <f t="shared" si="17"/>
        <v>0.24147314354406862</v>
      </c>
      <c r="M75" s="79">
        <f t="shared" si="17"/>
        <v>0.29782377527561593</v>
      </c>
      <c r="N75" s="79">
        <f t="shared" si="17"/>
        <v>0.30288744395528594</v>
      </c>
      <c r="O75" s="79">
        <f t="shared" si="17"/>
        <v>0.29821412265024722</v>
      </c>
      <c r="P75" s="79">
        <f t="shared" si="17"/>
        <v>0.31510222870075566</v>
      </c>
      <c r="Q75" s="79">
        <f t="shared" si="17"/>
        <v>0.31970799762591884</v>
      </c>
    </row>
    <row r="76" spans="1:17">
      <c r="A76" s="42" t="s">
        <v>58</v>
      </c>
      <c r="B76" s="79">
        <f t="shared" ref="B76:Q76" si="18">IFERROR(B20/B4,"")</f>
        <v>0.21484093522422384</v>
      </c>
      <c r="C76" s="79">
        <f t="shared" si="18"/>
        <v>0.2394664153941376</v>
      </c>
      <c r="D76" s="79">
        <f t="shared" si="18"/>
        <v>0.26665090602397323</v>
      </c>
      <c r="E76" s="79">
        <f t="shared" si="18"/>
        <v>0.21670469837926393</v>
      </c>
      <c r="F76" s="79">
        <f t="shared" si="18"/>
        <v>0.21614376760852322</v>
      </c>
      <c r="G76" s="79">
        <f t="shared" si="18"/>
        <v>0.22845773698735639</v>
      </c>
      <c r="H76" s="79">
        <f t="shared" si="18"/>
        <v>0.211867983064288</v>
      </c>
      <c r="I76" s="79">
        <f t="shared" si="18"/>
        <v>0.21092420845075338</v>
      </c>
      <c r="J76" s="79">
        <f t="shared" si="18"/>
        <v>0.22414202074587247</v>
      </c>
      <c r="K76" s="79">
        <f t="shared" si="18"/>
        <v>0.21238094505984456</v>
      </c>
      <c r="L76" s="79">
        <f t="shared" si="18"/>
        <v>0.20913611278072236</v>
      </c>
      <c r="M76" s="79">
        <f t="shared" si="18"/>
        <v>0.25881793355694238</v>
      </c>
      <c r="N76" s="79">
        <f t="shared" si="18"/>
        <v>0.25309640705199732</v>
      </c>
      <c r="O76" s="79">
        <f t="shared" si="18"/>
        <v>0.25306234264320282</v>
      </c>
      <c r="P76" s="79">
        <f t="shared" si="18"/>
        <v>0.23971255769943867</v>
      </c>
      <c r="Q76" s="79">
        <f t="shared" si="18"/>
        <v>0.26915064121818238</v>
      </c>
    </row>
    <row r="77" spans="1:17">
      <c r="A77" s="42" t="s">
        <v>59</v>
      </c>
      <c r="B77" s="79" t="str">
        <f>""</f>
        <v/>
      </c>
      <c r="C77" s="79">
        <f t="shared" ref="C77:Q77" si="19">IFERROR(C20/AVERAGE(B66:C66),"")</f>
        <v>0.41673231194636917</v>
      </c>
      <c r="D77" s="79">
        <f t="shared" si="19"/>
        <v>0.42841524445014756</v>
      </c>
      <c r="E77" s="79">
        <f t="shared" si="19"/>
        <v>0.30639603903060486</v>
      </c>
      <c r="F77" s="79">
        <f t="shared" si="19"/>
        <v>0.33611801136556979</v>
      </c>
      <c r="G77" s="79">
        <f t="shared" si="19"/>
        <v>0.46248191873608718</v>
      </c>
      <c r="H77" s="79">
        <f t="shared" si="19"/>
        <v>0.36903281045540459</v>
      </c>
      <c r="I77" s="79">
        <f t="shared" si="19"/>
        <v>0.36867508463720378</v>
      </c>
      <c r="J77" s="79">
        <f t="shared" si="19"/>
        <v>0.49363582842027581</v>
      </c>
      <c r="K77" s="79">
        <f t="shared" si="19"/>
        <v>0.55917221139980267</v>
      </c>
      <c r="L77" s="79">
        <f t="shared" si="19"/>
        <v>0.73685561552234213</v>
      </c>
      <c r="M77" s="79">
        <f t="shared" si="19"/>
        <v>1.4744333444938449</v>
      </c>
      <c r="N77" s="79">
        <f t="shared" si="19"/>
        <v>1.7545929220653644</v>
      </c>
      <c r="O77" s="79">
        <f t="shared" si="19"/>
        <v>1.7194951160275842</v>
      </c>
      <c r="P77" s="79">
        <f t="shared" si="19"/>
        <v>1.5741250755692886</v>
      </c>
      <c r="Q77" s="79">
        <f t="shared" si="19"/>
        <v>1.7142244974480232</v>
      </c>
    </row>
    <row r="78" spans="1:17">
      <c r="A78" s="42" t="s">
        <v>60</v>
      </c>
      <c r="B78" s="79" t="str">
        <f>""</f>
        <v/>
      </c>
      <c r="C78" s="79">
        <f t="shared" ref="C78:Q78" si="20">IFERROR(C20/AVERAGE(B45:C45),"")</f>
        <v>0.27064952963655159</v>
      </c>
      <c r="D78" s="79">
        <f t="shared" si="20"/>
        <v>0.28541727221433821</v>
      </c>
      <c r="E78" s="79">
        <f t="shared" si="20"/>
        <v>0.19337238685963704</v>
      </c>
      <c r="F78" s="79">
        <f t="shared" si="20"/>
        <v>0.18006603788633188</v>
      </c>
      <c r="G78" s="79">
        <f t="shared" si="20"/>
        <v>0.2044501625446567</v>
      </c>
      <c r="H78" s="79">
        <f t="shared" si="20"/>
        <v>0.14926367891009776</v>
      </c>
      <c r="I78" s="79">
        <f t="shared" si="20"/>
        <v>0.1387393203779026</v>
      </c>
      <c r="J78" s="79">
        <f t="shared" si="20"/>
        <v>0.160667922552507</v>
      </c>
      <c r="K78" s="79">
        <f t="shared" si="20"/>
        <v>0.15692355315864881</v>
      </c>
      <c r="L78" s="79">
        <f t="shared" si="20"/>
        <v>0.1733413445570981</v>
      </c>
      <c r="M78" s="79">
        <f t="shared" si="20"/>
        <v>0.28057905732786081</v>
      </c>
      <c r="N78" s="79">
        <f t="shared" si="20"/>
        <v>0.28362915040276687</v>
      </c>
      <c r="O78" s="79">
        <f t="shared" si="20"/>
        <v>0.27503126160790997</v>
      </c>
      <c r="P78" s="79">
        <f t="shared" si="20"/>
        <v>0.26126207733676349</v>
      </c>
      <c r="Q78" s="79">
        <f t="shared" si="20"/>
        <v>0.3093254683307996</v>
      </c>
    </row>
    <row r="79" spans="1:17">
      <c r="A79" s="42" t="s">
        <v>61</v>
      </c>
      <c r="B79" s="79">
        <f t="shared" ref="B79:Q79" si="21">IFERROR(B8/B4,"")</f>
        <v>2.7320812571866616E-2</v>
      </c>
      <c r="C79" s="79">
        <f t="shared" si="21"/>
        <v>2.2439006364954873E-2</v>
      </c>
      <c r="D79" s="79">
        <f t="shared" si="21"/>
        <v>2.1602729572929181E-2</v>
      </c>
      <c r="E79" s="79">
        <f t="shared" si="21"/>
        <v>2.6183371365045931E-2</v>
      </c>
      <c r="F79" s="79">
        <f t="shared" si="21"/>
        <v>3.3047949889220163E-2</v>
      </c>
      <c r="G79" s="79">
        <f t="shared" si="21"/>
        <v>3.4516398177267184E-2</v>
      </c>
      <c r="H79" s="79">
        <f t="shared" si="21"/>
        <v>4.6582482760539605E-2</v>
      </c>
      <c r="I79" s="79">
        <f t="shared" si="21"/>
        <v>5.0520428906706681E-2</v>
      </c>
      <c r="J79" s="79">
        <f t="shared" si="21"/>
        <v>5.3600406634161032E-2</v>
      </c>
      <c r="K79" s="79">
        <f t="shared" si="21"/>
        <v>6.233136285716482E-2</v>
      </c>
      <c r="L79" s="79">
        <f t="shared" si="21"/>
        <v>6.8309564140393061E-2</v>
      </c>
      <c r="M79" s="79">
        <f t="shared" si="21"/>
        <v>5.9904269074427925E-2</v>
      </c>
      <c r="N79" s="79">
        <f t="shared" si="21"/>
        <v>6.657148363798665E-2</v>
      </c>
      <c r="O79" s="79">
        <f t="shared" si="21"/>
        <v>7.8048971392045086E-2</v>
      </c>
      <c r="P79" s="79">
        <f t="shared" si="21"/>
        <v>8.0222997941360744E-2</v>
      </c>
      <c r="Q79" s="79">
        <f t="shared" si="21"/>
        <v>8.3020753987038676E-2</v>
      </c>
    </row>
    <row r="80" spans="1:17">
      <c r="A80" s="42" t="s">
        <v>62</v>
      </c>
      <c r="B80" s="79">
        <f t="shared" ref="B80:Q80" si="22">IFERROR(B19/B18,"")</f>
        <v>0.24417475728155341</v>
      </c>
      <c r="C80" s="79">
        <f t="shared" si="22"/>
        <v>0.24215757930127174</v>
      </c>
      <c r="D80" s="79">
        <f t="shared" si="22"/>
        <v>0.25160052364471064</v>
      </c>
      <c r="E80" s="79">
        <f t="shared" si="22"/>
        <v>0.26154919748778788</v>
      </c>
      <c r="F80" s="79">
        <f t="shared" si="22"/>
        <v>0.26126058747639436</v>
      </c>
      <c r="G80" s="79">
        <f t="shared" si="22"/>
        <v>0.26368337585327173</v>
      </c>
      <c r="H80" s="79">
        <f t="shared" si="22"/>
        <v>0.25557257381216192</v>
      </c>
      <c r="I80" s="79">
        <f t="shared" si="22"/>
        <v>0.24556476150353415</v>
      </c>
      <c r="J80" s="79">
        <f t="shared" si="22"/>
        <v>0.18342180705869443</v>
      </c>
      <c r="K80" s="79">
        <f t="shared" si="22"/>
        <v>0.15943836804235059</v>
      </c>
      <c r="L80" s="79">
        <f t="shared" si="22"/>
        <v>0.14428164731484103</v>
      </c>
      <c r="M80" s="79">
        <f t="shared" si="22"/>
        <v>0.13302260844085087</v>
      </c>
      <c r="N80" s="79">
        <f t="shared" si="22"/>
        <v>0.16204461684424407</v>
      </c>
      <c r="O80" s="79">
        <f t="shared" si="22"/>
        <v>0.14719174228036858</v>
      </c>
      <c r="P80" s="79">
        <f t="shared" si="22"/>
        <v>0.24091185164189982</v>
      </c>
      <c r="Q80" s="79">
        <f t="shared" si="22"/>
        <v>0.15610002335586043</v>
      </c>
    </row>
    <row r="83" spans="1:17" ht="19.2" customHeight="1">
      <c r="A83" s="78" t="s">
        <v>63</v>
      </c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</row>
    <row r="84" spans="1:17">
      <c r="A84" s="42" t="s">
        <v>64</v>
      </c>
      <c r="B84" s="80">
        <f t="shared" ref="B84:Q84" si="23">IFERROR(B36/B54,"")</f>
        <v>2.0112923462986196</v>
      </c>
      <c r="C84" s="80">
        <f t="shared" si="23"/>
        <v>1.6084376117268502</v>
      </c>
      <c r="D84" s="80">
        <f t="shared" si="23"/>
        <v>1.4958486845519174</v>
      </c>
      <c r="E84" s="80">
        <f t="shared" si="23"/>
        <v>1.6786385084062485</v>
      </c>
      <c r="F84" s="80">
        <f t="shared" si="23"/>
        <v>1.0801128483167317</v>
      </c>
      <c r="G84" s="80">
        <f t="shared" si="23"/>
        <v>1.1087706239920605</v>
      </c>
      <c r="H84" s="80">
        <f t="shared" si="23"/>
        <v>1.352669417512594</v>
      </c>
      <c r="I84" s="80">
        <f t="shared" si="23"/>
        <v>1.2760628484139107</v>
      </c>
      <c r="J84" s="80">
        <f t="shared" si="23"/>
        <v>1.1238426916297297</v>
      </c>
      <c r="K84" s="80">
        <f t="shared" si="23"/>
        <v>1.540125617208044</v>
      </c>
      <c r="L84" s="80">
        <f t="shared" si="23"/>
        <v>1.3636044481554577</v>
      </c>
      <c r="M84" s="80">
        <f t="shared" si="23"/>
        <v>1.0745531195957954</v>
      </c>
      <c r="N84" s="80">
        <f t="shared" si="23"/>
        <v>0.87935602862672257</v>
      </c>
      <c r="O84" s="80">
        <f t="shared" si="23"/>
        <v>0.98801167175929749</v>
      </c>
      <c r="P84" s="80">
        <f t="shared" si="23"/>
        <v>0.86731257653408322</v>
      </c>
      <c r="Q84" s="80">
        <f t="shared" si="23"/>
        <v>0.89329292221866674</v>
      </c>
    </row>
    <row r="85" spans="1:17">
      <c r="A85" s="42" t="s">
        <v>65</v>
      </c>
      <c r="B85" s="80">
        <f t="shared" ref="B85:Q85" si="24">IFERROR((B29+B30+B31)/B54,"")</f>
        <v>1.5022681208377571</v>
      </c>
      <c r="C85" s="80">
        <f t="shared" si="24"/>
        <v>1.1198069360028602</v>
      </c>
      <c r="D85" s="80">
        <f t="shared" si="24"/>
        <v>1.0393596595921333</v>
      </c>
      <c r="E85" s="80">
        <f t="shared" si="24"/>
        <v>1.2288240414127996</v>
      </c>
      <c r="F85" s="80">
        <f t="shared" si="24"/>
        <v>0.67042302357836336</v>
      </c>
      <c r="G85" s="80">
        <f t="shared" si="24"/>
        <v>0.72509614191787619</v>
      </c>
      <c r="H85" s="80">
        <f t="shared" si="24"/>
        <v>1.0494013112928131</v>
      </c>
      <c r="I85" s="80">
        <f t="shared" si="24"/>
        <v>0.91311722578213339</v>
      </c>
      <c r="J85" s="80">
        <f t="shared" si="24"/>
        <v>0.76572313589923502</v>
      </c>
      <c r="K85" s="80">
        <f t="shared" si="24"/>
        <v>1.1680413931402409</v>
      </c>
      <c r="L85" s="80">
        <f t="shared" si="24"/>
        <v>1.0158550933657204</v>
      </c>
      <c r="M85" s="80">
        <f t="shared" si="24"/>
        <v>0.70860927152317876</v>
      </c>
      <c r="N85" s="80">
        <f t="shared" si="24"/>
        <v>0.49673338442155579</v>
      </c>
      <c r="O85" s="80">
        <f t="shared" si="24"/>
        <v>0.62668951468604617</v>
      </c>
      <c r="P85" s="80">
        <f t="shared" si="24"/>
        <v>0.5588745521338836</v>
      </c>
      <c r="Q85" s="80">
        <f t="shared" si="24"/>
        <v>0.57038839347706649</v>
      </c>
    </row>
    <row r="86" spans="1:17">
      <c r="A86" s="42" t="s">
        <v>66</v>
      </c>
      <c r="B86" s="80">
        <f t="shared" ref="B86:Q86" si="25">IFERROR((B29+B30)/B54,"")</f>
        <v>1.2363671460283756</v>
      </c>
      <c r="C86" s="80">
        <f t="shared" si="25"/>
        <v>0.92785126921701822</v>
      </c>
      <c r="D86" s="80">
        <f t="shared" si="25"/>
        <v>0.75577292304498989</v>
      </c>
      <c r="E86" s="80">
        <f t="shared" si="25"/>
        <v>0.92871867698932609</v>
      </c>
      <c r="F86" s="80">
        <f t="shared" si="25"/>
        <v>0.39523704450888919</v>
      </c>
      <c r="G86" s="80">
        <f t="shared" si="25"/>
        <v>0.51607740975065131</v>
      </c>
      <c r="H86" s="80">
        <f t="shared" si="25"/>
        <v>0.84999873427334638</v>
      </c>
      <c r="I86" s="80">
        <f t="shared" si="25"/>
        <v>0.73582042176681806</v>
      </c>
      <c r="J86" s="80">
        <f t="shared" si="25"/>
        <v>0.56732497047901009</v>
      </c>
      <c r="K86" s="80">
        <f t="shared" si="25"/>
        <v>0.95118144497625756</v>
      </c>
      <c r="L86" s="80">
        <f t="shared" si="25"/>
        <v>0.86290230757552755</v>
      </c>
      <c r="M86" s="80">
        <f t="shared" si="25"/>
        <v>0.49919111259872012</v>
      </c>
      <c r="N86" s="80">
        <f t="shared" si="25"/>
        <v>0.31369900377966253</v>
      </c>
      <c r="O86" s="80">
        <f t="shared" si="25"/>
        <v>0.42361741955019683</v>
      </c>
      <c r="P86" s="80">
        <f t="shared" si="25"/>
        <v>0.36946686924577077</v>
      </c>
      <c r="Q86" s="80">
        <f t="shared" si="25"/>
        <v>0.33023407453918652</v>
      </c>
    </row>
    <row r="87" spans="1:17">
      <c r="A87" s="42" t="s">
        <v>67</v>
      </c>
      <c r="B87" s="81">
        <f t="shared" ref="B87:Q87" si="26">IFERROR(B36-B54,"")</f>
        <v>20956</v>
      </c>
      <c r="C87" s="81">
        <f t="shared" si="26"/>
        <v>17018</v>
      </c>
      <c r="D87" s="81">
        <f t="shared" si="26"/>
        <v>19111</v>
      </c>
      <c r="E87" s="81">
        <f t="shared" si="26"/>
        <v>29628</v>
      </c>
      <c r="F87" s="81">
        <f t="shared" si="26"/>
        <v>5083</v>
      </c>
      <c r="G87" s="81">
        <f t="shared" si="26"/>
        <v>8768</v>
      </c>
      <c r="H87" s="81">
        <f t="shared" si="26"/>
        <v>27863</v>
      </c>
      <c r="I87" s="81">
        <f t="shared" si="26"/>
        <v>27831</v>
      </c>
      <c r="J87" s="81">
        <f t="shared" si="26"/>
        <v>14473</v>
      </c>
      <c r="K87" s="81">
        <f t="shared" si="26"/>
        <v>57101</v>
      </c>
      <c r="L87" s="81">
        <f t="shared" si="26"/>
        <v>38321</v>
      </c>
      <c r="M87" s="81">
        <f t="shared" si="26"/>
        <v>9355</v>
      </c>
      <c r="N87" s="81">
        <f t="shared" si="26"/>
        <v>-18577</v>
      </c>
      <c r="O87" s="81">
        <f t="shared" si="26"/>
        <v>-1742</v>
      </c>
      <c r="P87" s="81">
        <f t="shared" si="26"/>
        <v>-23405</v>
      </c>
      <c r="Q87" s="81">
        <f t="shared" si="26"/>
        <v>-17674</v>
      </c>
    </row>
    <row r="90" spans="1:17" ht="19.2" customHeight="1">
      <c r="A90" s="78" t="s">
        <v>68</v>
      </c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>
      <c r="A91" s="42" t="s">
        <v>69</v>
      </c>
      <c r="B91" s="80" t="str">
        <f>""</f>
        <v/>
      </c>
      <c r="C91" s="80">
        <f t="shared" ref="C91:Q91" si="27">IFERROR(C5/AVERAGE(B32:C32),"")</f>
        <v>70.532019704433495</v>
      </c>
      <c r="D91" s="80">
        <f t="shared" si="27"/>
        <v>112.11997447351628</v>
      </c>
      <c r="E91" s="80">
        <f t="shared" si="27"/>
        <v>83.44892367906067</v>
      </c>
      <c r="F91" s="80">
        <f t="shared" si="27"/>
        <v>57.939612903225807</v>
      </c>
      <c r="G91" s="80">
        <f t="shared" si="27"/>
        <v>62.820179372197309</v>
      </c>
      <c r="H91" s="80">
        <f t="shared" si="27"/>
        <v>58.636911403704531</v>
      </c>
      <c r="I91" s="80">
        <f t="shared" si="27"/>
        <v>40.374409617861744</v>
      </c>
      <c r="J91" s="80">
        <f t="shared" si="27"/>
        <v>37.170809215753039</v>
      </c>
      <c r="K91" s="80">
        <f t="shared" si="27"/>
        <v>40.134457950880673</v>
      </c>
      <c r="L91" s="80">
        <f t="shared" si="27"/>
        <v>41.52295824660218</v>
      </c>
      <c r="M91" s="80">
        <f t="shared" si="27"/>
        <v>40.030260313880277</v>
      </c>
      <c r="N91" s="80">
        <f t="shared" si="27"/>
        <v>38.789866389033492</v>
      </c>
      <c r="O91" s="80">
        <f t="shared" si="27"/>
        <v>37.977653631284916</v>
      </c>
      <c r="P91" s="80">
        <f t="shared" si="27"/>
        <v>30.895498274216052</v>
      </c>
      <c r="Q91" s="80">
        <f t="shared" si="27"/>
        <v>33.98338972623808</v>
      </c>
    </row>
    <row r="92" spans="1:17">
      <c r="A92" s="42" t="s">
        <v>70</v>
      </c>
      <c r="B92" s="80" t="str">
        <f>""</f>
        <v/>
      </c>
      <c r="C92" s="80">
        <f t="shared" ref="C92:Q92" si="28">IFERROR(C4/AVERAGE(B31:C31),"")</f>
        <v>19.900542329258204</v>
      </c>
      <c r="D92" s="80">
        <f t="shared" si="28"/>
        <v>19.204613779986502</v>
      </c>
      <c r="E92" s="80">
        <f t="shared" si="28"/>
        <v>14.223535286284953</v>
      </c>
      <c r="F92" s="80">
        <f t="shared" si="28"/>
        <v>11.96224069105425</v>
      </c>
      <c r="G92" s="80">
        <f t="shared" si="28"/>
        <v>13.624121950508613</v>
      </c>
      <c r="H92" s="80">
        <f t="shared" si="28"/>
        <v>13.228169186884642</v>
      </c>
      <c r="I92" s="80">
        <f t="shared" si="28"/>
        <v>13.633519685975973</v>
      </c>
      <c r="J92" s="80">
        <f t="shared" si="28"/>
        <v>12.936921578178275</v>
      </c>
      <c r="K92" s="80">
        <f t="shared" si="28"/>
        <v>11.284437890353921</v>
      </c>
      <c r="L92" s="80">
        <f t="shared" si="28"/>
        <v>14.061107411770731</v>
      </c>
      <c r="M92" s="80">
        <f t="shared" si="28"/>
        <v>17.256332845888956</v>
      </c>
      <c r="N92" s="80">
        <f t="shared" si="28"/>
        <v>14.480849032352832</v>
      </c>
      <c r="O92" s="80">
        <f t="shared" si="28"/>
        <v>13.287284198849061</v>
      </c>
      <c r="P92" s="80">
        <f t="shared" si="28"/>
        <v>12.429988238659844</v>
      </c>
      <c r="Q92" s="80">
        <f t="shared" si="28"/>
        <v>11.372538838864825</v>
      </c>
    </row>
    <row r="93" spans="1:17">
      <c r="A93" s="42" t="s">
        <v>71</v>
      </c>
      <c r="B93" s="80" t="str">
        <f>""</f>
        <v/>
      </c>
      <c r="C93" s="80">
        <f t="shared" ref="C93:Q93" si="29">IFERROR(C5/AVERAGE(B48:C48),"")</f>
        <v>4.8358914699590949</v>
      </c>
      <c r="D93" s="80">
        <f t="shared" si="29"/>
        <v>4.9066383667997879</v>
      </c>
      <c r="E93" s="80">
        <f t="shared" si="29"/>
        <v>4.8966974415506863</v>
      </c>
      <c r="F93" s="80">
        <f t="shared" si="29"/>
        <v>4.2713695945817403</v>
      </c>
      <c r="G93" s="80">
        <f t="shared" si="29"/>
        <v>4.265414243522212</v>
      </c>
      <c r="H93" s="80">
        <f t="shared" si="29"/>
        <v>3.6100241811387117</v>
      </c>
      <c r="I93" s="80">
        <f t="shared" si="29"/>
        <v>3.2671554150307496</v>
      </c>
      <c r="J93" s="80">
        <f t="shared" si="29"/>
        <v>3.121034525477191</v>
      </c>
      <c r="K93" s="80">
        <f t="shared" si="29"/>
        <v>3.1683443656731032</v>
      </c>
      <c r="L93" s="80">
        <f t="shared" si="29"/>
        <v>3.8304567839877106</v>
      </c>
      <c r="M93" s="80">
        <f t="shared" si="29"/>
        <v>4.3886914145004585</v>
      </c>
      <c r="N93" s="80">
        <f t="shared" si="29"/>
        <v>3.7609313750231328</v>
      </c>
      <c r="O93" s="80">
        <f t="shared" si="29"/>
        <v>3.3795274844941052</v>
      </c>
      <c r="P93" s="80">
        <f t="shared" si="29"/>
        <v>3.1975435316293104</v>
      </c>
      <c r="Q93" s="80">
        <f t="shared" si="29"/>
        <v>3.1834029678720643</v>
      </c>
    </row>
    <row r="94" spans="1:17">
      <c r="A94" s="42" t="s">
        <v>72</v>
      </c>
      <c r="B94" s="82" t="str">
        <f>""</f>
        <v/>
      </c>
      <c r="C94" s="82">
        <f t="shared" ref="C94:Q94" si="30">IFERROR(360*AVERAGE(B32:C32)/C5,"")</f>
        <v>5.1040648135214415</v>
      </c>
      <c r="D94" s="82">
        <f t="shared" si="30"/>
        <v>3.2108462536711975</v>
      </c>
      <c r="E94" s="82">
        <f t="shared" si="30"/>
        <v>4.3140160966549725</v>
      </c>
      <c r="F94" s="82">
        <f t="shared" si="30"/>
        <v>6.2133656398653105</v>
      </c>
      <c r="G94" s="82">
        <f t="shared" si="30"/>
        <v>5.7306426628785987</v>
      </c>
      <c r="H94" s="82">
        <f t="shared" si="30"/>
        <v>6.139477530142492</v>
      </c>
      <c r="I94" s="82">
        <f t="shared" si="30"/>
        <v>8.9165390505359881</v>
      </c>
      <c r="J94" s="82">
        <f t="shared" si="30"/>
        <v>9.6850191748699288</v>
      </c>
      <c r="K94" s="82">
        <f t="shared" si="30"/>
        <v>8.9698483143983871</v>
      </c>
      <c r="L94" s="82">
        <f t="shared" si="30"/>
        <v>8.669902511810049</v>
      </c>
      <c r="M94" s="82">
        <f t="shared" si="30"/>
        <v>8.9931965762204147</v>
      </c>
      <c r="N94" s="82">
        <f t="shared" si="30"/>
        <v>9.2807744267399102</v>
      </c>
      <c r="O94" s="82">
        <f t="shared" si="30"/>
        <v>9.4792586054721983</v>
      </c>
      <c r="P94" s="82">
        <f t="shared" si="30"/>
        <v>11.652183007530235</v>
      </c>
      <c r="Q94" s="82">
        <f t="shared" si="30"/>
        <v>10.59341057204924</v>
      </c>
    </row>
    <row r="95" spans="1:17">
      <c r="A95" s="42" t="s">
        <v>73</v>
      </c>
      <c r="B95" s="82" t="str">
        <f>""</f>
        <v/>
      </c>
      <c r="C95" s="82">
        <f t="shared" ref="C95:Q95" si="31">IFERROR(360*AVERAGE(B31:C31)/C4,"")</f>
        <v>18.089959260593631</v>
      </c>
      <c r="D95" s="82">
        <f t="shared" si="31"/>
        <v>18.745495437932885</v>
      </c>
      <c r="E95" s="82">
        <f t="shared" si="31"/>
        <v>25.310163243812532</v>
      </c>
      <c r="F95" s="82">
        <f t="shared" si="31"/>
        <v>30.094696244426817</v>
      </c>
      <c r="G95" s="82">
        <f t="shared" si="31"/>
        <v>26.423721198896093</v>
      </c>
      <c r="H95" s="82">
        <f t="shared" si="31"/>
        <v>27.214650411103744</v>
      </c>
      <c r="I95" s="82">
        <f t="shared" si="31"/>
        <v>26.40550703647801</v>
      </c>
      <c r="J95" s="82">
        <f t="shared" si="31"/>
        <v>27.827331086805099</v>
      </c>
      <c r="K95" s="82">
        <f t="shared" si="31"/>
        <v>31.902342278628918</v>
      </c>
      <c r="L95" s="82">
        <f t="shared" si="31"/>
        <v>25.602535380580296</v>
      </c>
      <c r="M95" s="82">
        <f t="shared" si="31"/>
        <v>20.861906363017575</v>
      </c>
      <c r="N95" s="82">
        <f t="shared" si="31"/>
        <v>24.860420766468522</v>
      </c>
      <c r="O95" s="82">
        <f t="shared" si="31"/>
        <v>27.093572667858123</v>
      </c>
      <c r="P95" s="82">
        <f t="shared" si="31"/>
        <v>28.962215658444897</v>
      </c>
      <c r="Q95" s="82">
        <f t="shared" si="31"/>
        <v>31.655200751632179</v>
      </c>
    </row>
    <row r="96" spans="1:17">
      <c r="A96" s="42" t="s">
        <v>74</v>
      </c>
      <c r="B96" s="82" t="str">
        <f>""</f>
        <v/>
      </c>
      <c r="C96" s="82">
        <f t="shared" ref="C96:Q96" si="32">IFERROR(360*AVERAGE(B48:C48)/C5,"")</f>
        <v>74.443358010895381</v>
      </c>
      <c r="D96" s="82">
        <f t="shared" si="32"/>
        <v>73.369988388771262</v>
      </c>
      <c r="E96" s="82">
        <f t="shared" si="32"/>
        <v>73.518938896497389</v>
      </c>
      <c r="F96" s="82">
        <f t="shared" si="32"/>
        <v>84.282100162126525</v>
      </c>
      <c r="G96" s="82">
        <f t="shared" si="32"/>
        <v>84.399774429112924</v>
      </c>
      <c r="H96" s="82">
        <f t="shared" si="32"/>
        <v>99.722323712093527</v>
      </c>
      <c r="I96" s="82">
        <f t="shared" si="32"/>
        <v>110.18759571209802</v>
      </c>
      <c r="J96" s="82">
        <f t="shared" si="32"/>
        <v>115.34636898800655</v>
      </c>
      <c r="K96" s="82">
        <f t="shared" si="32"/>
        <v>113.62401256011175</v>
      </c>
      <c r="L96" s="82">
        <f t="shared" si="32"/>
        <v>93.983569141124917</v>
      </c>
      <c r="M96" s="82">
        <f t="shared" si="32"/>
        <v>82.029007282339734</v>
      </c>
      <c r="N96" s="82">
        <f t="shared" si="32"/>
        <v>95.720970180633969</v>
      </c>
      <c r="O96" s="82">
        <f t="shared" si="32"/>
        <v>106.52376749464128</v>
      </c>
      <c r="P96" s="82">
        <f t="shared" si="32"/>
        <v>112.58642656119267</v>
      </c>
      <c r="Q96" s="82">
        <f t="shared" si="32"/>
        <v>113.08653149891383</v>
      </c>
    </row>
    <row r="97" spans="1:17">
      <c r="A97" s="42" t="s">
        <v>75</v>
      </c>
      <c r="B97" s="82" t="str">
        <f>""</f>
        <v/>
      </c>
      <c r="C97" s="82">
        <f t="shared" ref="C97:Q97" si="33">IFERROR(360*AVERAGE(B32:C32)/C5+360*AVERAGE(B31:C31)/C4-360*AVERAGE(B48:C48)/C5,"")</f>
        <v>-51.24933393678031</v>
      </c>
      <c r="D97" s="82">
        <f t="shared" si="33"/>
        <v>-51.413646697167181</v>
      </c>
      <c r="E97" s="82">
        <f t="shared" si="33"/>
        <v>-43.894759556029882</v>
      </c>
      <c r="F97" s="82">
        <f t="shared" si="33"/>
        <v>-47.974038277834396</v>
      </c>
      <c r="G97" s="82">
        <f t="shared" si="33"/>
        <v>-52.245410567338233</v>
      </c>
      <c r="H97" s="82">
        <f t="shared" si="33"/>
        <v>-66.368195770847294</v>
      </c>
      <c r="I97" s="82">
        <f t="shared" si="33"/>
        <v>-74.865549625084014</v>
      </c>
      <c r="J97" s="82">
        <f t="shared" si="33"/>
        <v>-77.834018726331522</v>
      </c>
      <c r="K97" s="82">
        <f t="shared" si="33"/>
        <v>-72.751821967084453</v>
      </c>
      <c r="L97" s="82">
        <f t="shared" si="33"/>
        <v>-59.711131248734574</v>
      </c>
      <c r="M97" s="82">
        <f t="shared" si="33"/>
        <v>-52.173904343101746</v>
      </c>
      <c r="N97" s="82">
        <f t="shared" si="33"/>
        <v>-61.579774987425537</v>
      </c>
      <c r="O97" s="82">
        <f t="shared" si="33"/>
        <v>-69.950936221310954</v>
      </c>
      <c r="P97" s="82">
        <f t="shared" si="33"/>
        <v>-71.972027895217536</v>
      </c>
      <c r="Q97" s="82">
        <f t="shared" si="33"/>
        <v>-70.837920175232412</v>
      </c>
    </row>
    <row r="98" spans="1:17">
      <c r="A98" s="42" t="s">
        <v>76</v>
      </c>
      <c r="B98" s="80" t="str">
        <f>""</f>
        <v/>
      </c>
      <c r="C98" s="80">
        <f t="shared" ref="C98:Q98" si="34">IFERROR(C4/AVERAGE(B45:C45),"")</f>
        <v>1.1302191549119309</v>
      </c>
      <c r="D98" s="80">
        <f t="shared" si="34"/>
        <v>1.070378032725221</v>
      </c>
      <c r="E98" s="80">
        <f t="shared" si="34"/>
        <v>0.89233130756218282</v>
      </c>
      <c r="F98" s="80">
        <f t="shared" si="34"/>
        <v>0.83308457087906951</v>
      </c>
      <c r="G98" s="80">
        <f t="shared" si="34"/>
        <v>0.89491459225988768</v>
      </c>
      <c r="H98" s="80">
        <f t="shared" si="34"/>
        <v>0.70451267223706027</v>
      </c>
      <c r="I98" s="80">
        <f t="shared" si="34"/>
        <v>0.65776859563417767</v>
      </c>
      <c r="J98" s="80">
        <f t="shared" si="34"/>
        <v>0.71681303674275754</v>
      </c>
      <c r="K98" s="80">
        <f t="shared" si="34"/>
        <v>0.73887774213656976</v>
      </c>
      <c r="L98" s="80">
        <f t="shared" si="34"/>
        <v>0.82884463258072116</v>
      </c>
      <c r="M98" s="80">
        <f t="shared" si="34"/>
        <v>1.084078886929722</v>
      </c>
      <c r="N98" s="80">
        <f t="shared" si="34"/>
        <v>1.1206368107173357</v>
      </c>
      <c r="O98" s="80">
        <f t="shared" si="34"/>
        <v>1.0868122800699807</v>
      </c>
      <c r="P98" s="80">
        <f t="shared" si="34"/>
        <v>1.0898973330564703</v>
      </c>
      <c r="Q98" s="80">
        <f t="shared" si="34"/>
        <v>1.149265210481331</v>
      </c>
    </row>
    <row r="101" spans="1:17" ht="19.2" customHeight="1">
      <c r="A101" s="78" t="s">
        <v>77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>
      <c r="A102" s="42" t="s">
        <v>78</v>
      </c>
      <c r="B102" s="79">
        <f t="shared" ref="B102:Q102" si="35">IFERROR(B60/B45,"")</f>
        <v>0.36433768272082784</v>
      </c>
      <c r="C102" s="79">
        <f t="shared" si="35"/>
        <v>0.34163150613125265</v>
      </c>
      <c r="D102" s="79">
        <f t="shared" si="35"/>
        <v>0.32859641948382406</v>
      </c>
      <c r="E102" s="79">
        <f t="shared" si="35"/>
        <v>0.40314492753623188</v>
      </c>
      <c r="F102" s="79">
        <f t="shared" si="35"/>
        <v>0.51886007099754572</v>
      </c>
      <c r="G102" s="79">
        <f t="shared" si="35"/>
        <v>0.58910971188967187</v>
      </c>
      <c r="H102" s="79">
        <f t="shared" si="35"/>
        <v>0.60132240756514121</v>
      </c>
      <c r="I102" s="79">
        <f t="shared" si="35"/>
        <v>0.64284515305646661</v>
      </c>
      <c r="J102" s="79">
        <f t="shared" si="35"/>
        <v>0.70702850502426684</v>
      </c>
      <c r="K102" s="79">
        <f t="shared" si="35"/>
        <v>0.73269210317976108</v>
      </c>
      <c r="L102" s="79">
        <f t="shared" si="35"/>
        <v>0.79826668477992391</v>
      </c>
      <c r="M102" s="79">
        <f t="shared" si="35"/>
        <v>0.82025743443057308</v>
      </c>
      <c r="N102" s="79">
        <f t="shared" si="35"/>
        <v>0.85635355983614692</v>
      </c>
      <c r="O102" s="79">
        <f t="shared" si="35"/>
        <v>0.82374079294804348</v>
      </c>
      <c r="P102" s="79">
        <f t="shared" si="35"/>
        <v>0.84396405282481235</v>
      </c>
      <c r="Q102" s="79">
        <f t="shared" si="35"/>
        <v>0.79475338282657049</v>
      </c>
    </row>
    <row r="103" spans="1:17">
      <c r="A103" s="42" t="s">
        <v>79</v>
      </c>
      <c r="B103" s="80">
        <f t="shared" ref="B103:Q103" si="36">IFERROR((B47+B52+B53+B56)/B66,"")</f>
        <v>0</v>
      </c>
      <c r="C103" s="80">
        <f t="shared" si="36"/>
        <v>0</v>
      </c>
      <c r="D103" s="80">
        <f t="shared" si="36"/>
        <v>0</v>
      </c>
      <c r="E103" s="80">
        <f t="shared" si="36"/>
        <v>0.13727347044492469</v>
      </c>
      <c r="F103" s="80">
        <f t="shared" si="36"/>
        <v>0.31641370901951643</v>
      </c>
      <c r="G103" s="80">
        <f t="shared" si="36"/>
        <v>0.54008629718067946</v>
      </c>
      <c r="H103" s="80">
        <f t="shared" si="36"/>
        <v>0.67861737713354486</v>
      </c>
      <c r="I103" s="80">
        <f t="shared" si="36"/>
        <v>0.86298089476079287</v>
      </c>
      <c r="J103" s="80">
        <f t="shared" si="36"/>
        <v>1.0684666859548098</v>
      </c>
      <c r="K103" s="80">
        <f t="shared" si="36"/>
        <v>1.1940478295464592</v>
      </c>
      <c r="L103" s="80">
        <f t="shared" si="36"/>
        <v>1.7208099297509909</v>
      </c>
      <c r="M103" s="80">
        <f t="shared" si="36"/>
        <v>1.9768426058012363</v>
      </c>
      <c r="N103" s="80">
        <f t="shared" si="36"/>
        <v>2.3695334701610355</v>
      </c>
      <c r="O103" s="80">
        <f t="shared" si="36"/>
        <v>1.7875325845589418</v>
      </c>
      <c r="P103" s="80">
        <f t="shared" si="36"/>
        <v>1.8723266022827041</v>
      </c>
      <c r="Q103" s="80">
        <f t="shared" si="36"/>
        <v>1.3380304612588665</v>
      </c>
    </row>
    <row r="104" spans="1:17">
      <c r="A104" s="42" t="s">
        <v>80</v>
      </c>
      <c r="B104" s="79">
        <f t="shared" ref="B104:Q104" si="37">IFERROR((B47+B52+B53+B56)/B45,"")</f>
        <v>0</v>
      </c>
      <c r="C104" s="79">
        <f t="shared" si="37"/>
        <v>0</v>
      </c>
      <c r="D104" s="79">
        <f t="shared" si="37"/>
        <v>0</v>
      </c>
      <c r="E104" s="79">
        <f t="shared" si="37"/>
        <v>8.1932367149758448E-2</v>
      </c>
      <c r="F104" s="79">
        <f t="shared" si="37"/>
        <v>0.15223926949305336</v>
      </c>
      <c r="G104" s="79">
        <f t="shared" si="37"/>
        <v>0.2219162142530097</v>
      </c>
      <c r="H104" s="79">
        <f t="shared" si="37"/>
        <v>0.27054954210006033</v>
      </c>
      <c r="I104" s="79">
        <f t="shared" si="37"/>
        <v>0.30821780938348448</v>
      </c>
      <c r="J104" s="79">
        <f t="shared" si="37"/>
        <v>0.31303028231594776</v>
      </c>
      <c r="K104" s="79">
        <f t="shared" si="37"/>
        <v>0.31917841401883518</v>
      </c>
      <c r="L104" s="79">
        <f t="shared" si="37"/>
        <v>0.34714469199229364</v>
      </c>
      <c r="M104" s="79">
        <f t="shared" si="37"/>
        <v>0.35532276169366556</v>
      </c>
      <c r="N104" s="79">
        <f t="shared" si="37"/>
        <v>0.34037504783773442</v>
      </c>
      <c r="O104" s="79">
        <f t="shared" si="37"/>
        <v>0.31506907593389361</v>
      </c>
      <c r="P104" s="79">
        <f t="shared" si="37"/>
        <v>0.29215025480848267</v>
      </c>
      <c r="Q104" s="79">
        <f t="shared" si="37"/>
        <v>0.27462622584838592</v>
      </c>
    </row>
    <row r="105" spans="1:17">
      <c r="A105" s="42" t="s">
        <v>81</v>
      </c>
      <c r="B105" s="80">
        <f t="shared" ref="B105:Q105" si="38">IFERROR(B45/B66,"")</f>
        <v>1.573162310895357</v>
      </c>
      <c r="C105" s="80">
        <f t="shared" si="38"/>
        <v>1.5189062194087319</v>
      </c>
      <c r="D105" s="80">
        <f t="shared" si="38"/>
        <v>1.4894171389899331</v>
      </c>
      <c r="E105" s="80">
        <f t="shared" si="38"/>
        <v>1.6754486074351067</v>
      </c>
      <c r="F105" s="80">
        <f t="shared" si="38"/>
        <v>2.0783974468161404</v>
      </c>
      <c r="G105" s="80">
        <f t="shared" si="38"/>
        <v>2.4337396841355621</v>
      </c>
      <c r="H105" s="80">
        <f t="shared" si="38"/>
        <v>2.5082924623193943</v>
      </c>
      <c r="I105" s="80">
        <f t="shared" si="38"/>
        <v>2.7999060031183092</v>
      </c>
      <c r="J105" s="80">
        <f t="shared" si="38"/>
        <v>3.4133013523477094</v>
      </c>
      <c r="K105" s="80">
        <f t="shared" si="38"/>
        <v>3.7410043320661304</v>
      </c>
      <c r="L105" s="80">
        <f t="shared" si="38"/>
        <v>4.9570394404566951</v>
      </c>
      <c r="M105" s="80">
        <f t="shared" si="38"/>
        <v>5.5635124425423994</v>
      </c>
      <c r="N105" s="80">
        <f t="shared" si="38"/>
        <v>6.9615369434796337</v>
      </c>
      <c r="O105" s="80">
        <f t="shared" si="38"/>
        <v>5.6734624915521517</v>
      </c>
      <c r="P105" s="80">
        <f t="shared" si="38"/>
        <v>6.408779631255487</v>
      </c>
      <c r="Q105" s="80">
        <f t="shared" si="38"/>
        <v>4.8721874872852045</v>
      </c>
    </row>
    <row r="106" spans="1:17">
      <c r="A106" s="42" t="s">
        <v>82</v>
      </c>
      <c r="B106" s="79">
        <f t="shared" ref="B106:Q106" si="39">IFERROR(B56/(B56+B66),"")</f>
        <v>0</v>
      </c>
      <c r="C106" s="79">
        <f t="shared" si="39"/>
        <v>0</v>
      </c>
      <c r="D106" s="79">
        <f t="shared" si="39"/>
        <v>0</v>
      </c>
      <c r="E106" s="79">
        <f t="shared" si="39"/>
        <v>0.12070401184265776</v>
      </c>
      <c r="F106" s="79">
        <f t="shared" si="39"/>
        <v>0.20626325302062135</v>
      </c>
      <c r="G106" s="79">
        <f t="shared" si="39"/>
        <v>0.30936013609693436</v>
      </c>
      <c r="H106" s="79">
        <f t="shared" si="39"/>
        <v>0.37032836465759345</v>
      </c>
      <c r="I106" s="79">
        <f t="shared" si="39"/>
        <v>0.42034732372196804</v>
      </c>
      <c r="J106" s="79">
        <f t="shared" si="39"/>
        <v>0.46661721806831874</v>
      </c>
      <c r="K106" s="79">
        <f t="shared" si="39"/>
        <v>0.50361776241805867</v>
      </c>
      <c r="L106" s="79">
        <f t="shared" si="39"/>
        <v>0.60160603880345842</v>
      </c>
      <c r="M106" s="79">
        <f t="shared" si="39"/>
        <v>0.63361518269878514</v>
      </c>
      <c r="N106" s="79">
        <f t="shared" si="39"/>
        <v>0.66135359651409131</v>
      </c>
      <c r="O106" s="79">
        <f t="shared" si="39"/>
        <v>0.60523925374935683</v>
      </c>
      <c r="P106" s="79">
        <f t="shared" si="39"/>
        <v>0.60091100210231252</v>
      </c>
      <c r="Q106" s="79">
        <f t="shared" si="39"/>
        <v>0.51510906807136614</v>
      </c>
    </row>
    <row r="135" spans="1:1">
      <c r="A135" s="42" t="s">
        <v>83</v>
      </c>
    </row>
  </sheetData>
  <mergeCells count="1">
    <mergeCell ref="A3:Q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75E-2B77-40D3-B072-85B8863F2DD5}">
  <dimension ref="A1:T100"/>
  <sheetViews>
    <sheetView tabSelected="1" workbookViewId="0">
      <pane xSplit="1" ySplit="3" topLeftCell="J61" activePane="bottomRight" state="frozen"/>
      <selection pane="topRight"/>
      <selection pane="bottomLeft"/>
      <selection pane="bottomRight" activeCell="T70" sqref="T70"/>
    </sheetView>
  </sheetViews>
  <sheetFormatPr defaultRowHeight="14.4"/>
  <cols>
    <col min="1" max="1" width="61" style="42" customWidth="1"/>
    <col min="2" max="17" width="14" style="42" customWidth="1"/>
    <col min="18" max="16384" width="8.88671875" style="42"/>
  </cols>
  <sheetData>
    <row r="1" spans="1:17">
      <c r="A1" s="39" t="s">
        <v>0</v>
      </c>
      <c r="B1" s="40">
        <v>2010</v>
      </c>
      <c r="C1" s="40">
        <v>2011</v>
      </c>
      <c r="D1" s="40">
        <v>2012</v>
      </c>
      <c r="E1" s="40">
        <v>2013</v>
      </c>
      <c r="F1" s="41">
        <v>2014</v>
      </c>
      <c r="G1" s="41">
        <v>2015</v>
      </c>
      <c r="H1" s="41">
        <v>2016</v>
      </c>
      <c r="I1" s="41">
        <v>2017</v>
      </c>
      <c r="J1" s="41">
        <v>2018</v>
      </c>
      <c r="K1" s="41">
        <v>2019</v>
      </c>
      <c r="L1" s="41">
        <v>2020</v>
      </c>
      <c r="M1" s="41">
        <v>2021</v>
      </c>
      <c r="N1" s="41">
        <v>2022</v>
      </c>
      <c r="O1" s="41">
        <v>2023</v>
      </c>
      <c r="P1" s="41">
        <v>2024</v>
      </c>
      <c r="Q1" s="41">
        <v>2025</v>
      </c>
    </row>
    <row r="2" spans="1:17">
      <c r="A2" s="43"/>
      <c r="B2" s="44"/>
      <c r="C2" s="44"/>
      <c r="D2" s="44"/>
      <c r="E2" s="44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17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7">
      <c r="A4" s="46" t="s">
        <v>3</v>
      </c>
      <c r="B4" s="47">
        <v>65225</v>
      </c>
      <c r="C4" s="47">
        <v>108249</v>
      </c>
      <c r="D4" s="47">
        <v>156508</v>
      </c>
      <c r="E4" s="48">
        <v>170910</v>
      </c>
      <c r="F4" s="49">
        <v>182795</v>
      </c>
      <c r="G4" s="49">
        <v>233715</v>
      </c>
      <c r="H4" s="49">
        <v>215639</v>
      </c>
      <c r="I4" s="49">
        <v>229234</v>
      </c>
      <c r="J4" s="49">
        <v>265595</v>
      </c>
      <c r="K4" s="50">
        <v>260174</v>
      </c>
      <c r="L4" s="50">
        <v>274515</v>
      </c>
      <c r="M4" s="50">
        <v>365817</v>
      </c>
      <c r="N4" s="50">
        <v>394328</v>
      </c>
      <c r="O4" s="50">
        <v>383285</v>
      </c>
      <c r="P4" s="50">
        <v>391035</v>
      </c>
      <c r="Q4" s="50">
        <v>416161</v>
      </c>
    </row>
    <row r="5" spans="1:17">
      <c r="A5" s="51" t="s">
        <v>4</v>
      </c>
      <c r="B5" s="52">
        <v>39541</v>
      </c>
      <c r="C5" s="52">
        <v>64431</v>
      </c>
      <c r="D5" s="52">
        <v>87846</v>
      </c>
      <c r="E5" s="52">
        <v>106606</v>
      </c>
      <c r="F5" s="52">
        <v>112258</v>
      </c>
      <c r="G5" s="52">
        <v>140089</v>
      </c>
      <c r="H5" s="52">
        <v>131376</v>
      </c>
      <c r="I5" s="52">
        <v>141048</v>
      </c>
      <c r="J5" s="52">
        <v>163756</v>
      </c>
      <c r="K5" s="52">
        <v>161782</v>
      </c>
      <c r="L5" s="52">
        <v>169559</v>
      </c>
      <c r="M5" s="52">
        <v>212981</v>
      </c>
      <c r="N5" s="52">
        <v>223546</v>
      </c>
      <c r="O5" s="52">
        <v>214137</v>
      </c>
      <c r="P5" s="52">
        <v>210352</v>
      </c>
      <c r="Q5" s="52">
        <v>220960</v>
      </c>
    </row>
    <row r="6" spans="1:17">
      <c r="A6" s="53" t="s">
        <v>5</v>
      </c>
      <c r="B6" s="54">
        <f>B4-B5</f>
        <v>25684</v>
      </c>
      <c r="C6" s="54">
        <f t="shared" ref="C6:Q6" si="0">C4-C5</f>
        <v>43818</v>
      </c>
      <c r="D6" s="54">
        <f t="shared" si="0"/>
        <v>68662</v>
      </c>
      <c r="E6" s="54">
        <f t="shared" si="0"/>
        <v>64304</v>
      </c>
      <c r="F6" s="54">
        <f t="shared" si="0"/>
        <v>70537</v>
      </c>
      <c r="G6" s="54">
        <f t="shared" si="0"/>
        <v>93626</v>
      </c>
      <c r="H6" s="54">
        <f t="shared" si="0"/>
        <v>84263</v>
      </c>
      <c r="I6" s="54">
        <f t="shared" si="0"/>
        <v>88186</v>
      </c>
      <c r="J6" s="54">
        <f t="shared" si="0"/>
        <v>101839</v>
      </c>
      <c r="K6" s="54">
        <f t="shared" si="0"/>
        <v>98392</v>
      </c>
      <c r="L6" s="54">
        <f t="shared" si="0"/>
        <v>104956</v>
      </c>
      <c r="M6" s="54">
        <f t="shared" si="0"/>
        <v>152836</v>
      </c>
      <c r="N6" s="54">
        <f t="shared" si="0"/>
        <v>170782</v>
      </c>
      <c r="O6" s="54">
        <f t="shared" si="0"/>
        <v>169148</v>
      </c>
      <c r="P6" s="54">
        <f t="shared" si="0"/>
        <v>180683</v>
      </c>
      <c r="Q6" s="54">
        <f t="shared" si="0"/>
        <v>195201</v>
      </c>
    </row>
    <row r="7" spans="1:17">
      <c r="L7" s="55"/>
    </row>
    <row r="8" spans="1:17">
      <c r="A8" s="42" t="s">
        <v>6</v>
      </c>
      <c r="B8" s="56">
        <v>1782</v>
      </c>
      <c r="C8" s="56">
        <v>2429</v>
      </c>
      <c r="D8" s="56">
        <v>3381</v>
      </c>
      <c r="E8" s="56">
        <v>4475</v>
      </c>
      <c r="F8" s="56">
        <v>6041</v>
      </c>
      <c r="G8" s="56">
        <v>8067</v>
      </c>
      <c r="H8" s="56">
        <v>10045</v>
      </c>
      <c r="I8" s="56">
        <v>11581</v>
      </c>
      <c r="J8" s="56">
        <v>14236</v>
      </c>
      <c r="K8" s="56">
        <v>16217</v>
      </c>
      <c r="L8" s="56">
        <v>18752</v>
      </c>
      <c r="M8" s="56">
        <v>21914</v>
      </c>
      <c r="N8" s="56">
        <v>26251</v>
      </c>
      <c r="O8" s="56">
        <v>29915</v>
      </c>
      <c r="P8" s="56">
        <v>31370</v>
      </c>
      <c r="Q8" s="56">
        <v>34550</v>
      </c>
    </row>
    <row r="9" spans="1:17">
      <c r="A9" s="42" t="s">
        <v>7</v>
      </c>
      <c r="B9" s="56">
        <v>5517</v>
      </c>
      <c r="C9" s="56">
        <v>7599</v>
      </c>
      <c r="D9" s="56">
        <v>10040</v>
      </c>
      <c r="E9" s="56">
        <v>10830</v>
      </c>
      <c r="F9" s="56">
        <v>11993</v>
      </c>
      <c r="G9" s="56">
        <v>14329</v>
      </c>
      <c r="H9" s="56">
        <v>14194</v>
      </c>
      <c r="I9" s="56">
        <v>15261</v>
      </c>
      <c r="J9" s="56">
        <v>16705</v>
      </c>
      <c r="K9" s="56">
        <v>18245</v>
      </c>
      <c r="L9" s="56">
        <v>19916</v>
      </c>
      <c r="M9" s="56">
        <v>21973</v>
      </c>
      <c r="N9" s="56">
        <v>25094</v>
      </c>
      <c r="O9" s="56">
        <v>24932</v>
      </c>
      <c r="P9" s="56">
        <v>26097</v>
      </c>
      <c r="Q9" s="56">
        <v>27601</v>
      </c>
    </row>
    <row r="10" spans="1:17">
      <c r="A10" s="53" t="s">
        <v>8</v>
      </c>
      <c r="B10" s="54">
        <f t="shared" ref="B10:Q10" si="1">B8+B9</f>
        <v>7299</v>
      </c>
      <c r="C10" s="54">
        <f t="shared" si="1"/>
        <v>10028</v>
      </c>
      <c r="D10" s="54">
        <f t="shared" si="1"/>
        <v>13421</v>
      </c>
      <c r="E10" s="54">
        <f t="shared" si="1"/>
        <v>15305</v>
      </c>
      <c r="F10" s="54">
        <f t="shared" si="1"/>
        <v>18034</v>
      </c>
      <c r="G10" s="54">
        <f t="shared" si="1"/>
        <v>22396</v>
      </c>
      <c r="H10" s="54">
        <f t="shared" si="1"/>
        <v>24239</v>
      </c>
      <c r="I10" s="54">
        <f t="shared" si="1"/>
        <v>26842</v>
      </c>
      <c r="J10" s="54">
        <f t="shared" si="1"/>
        <v>30941</v>
      </c>
      <c r="K10" s="54">
        <f t="shared" si="1"/>
        <v>34462</v>
      </c>
      <c r="L10" s="54">
        <f t="shared" si="1"/>
        <v>38668</v>
      </c>
      <c r="M10" s="54">
        <f t="shared" si="1"/>
        <v>43887</v>
      </c>
      <c r="N10" s="54">
        <f t="shared" si="1"/>
        <v>51345</v>
      </c>
      <c r="O10" s="54">
        <f t="shared" si="1"/>
        <v>54847</v>
      </c>
      <c r="P10" s="54">
        <f t="shared" si="1"/>
        <v>57467</v>
      </c>
      <c r="Q10" s="54">
        <f t="shared" si="1"/>
        <v>62151</v>
      </c>
    </row>
    <row r="11" spans="1:17">
      <c r="A11" s="53" t="s">
        <v>9</v>
      </c>
      <c r="B11" s="54">
        <f t="shared" ref="B11:Q11" si="2">B6-B10</f>
        <v>18385</v>
      </c>
      <c r="C11" s="54">
        <f t="shared" si="2"/>
        <v>33790</v>
      </c>
      <c r="D11" s="54">
        <f t="shared" si="2"/>
        <v>55241</v>
      </c>
      <c r="E11" s="54">
        <f t="shared" si="2"/>
        <v>48999</v>
      </c>
      <c r="F11" s="57">
        <f t="shared" si="2"/>
        <v>52503</v>
      </c>
      <c r="G11" s="57">
        <f t="shared" si="2"/>
        <v>71230</v>
      </c>
      <c r="H11" s="57">
        <f t="shared" si="2"/>
        <v>60024</v>
      </c>
      <c r="I11" s="57">
        <f t="shared" si="2"/>
        <v>61344</v>
      </c>
      <c r="J11" s="57">
        <f t="shared" si="2"/>
        <v>70898</v>
      </c>
      <c r="K11" s="57">
        <f t="shared" si="2"/>
        <v>63930</v>
      </c>
      <c r="L11" s="57">
        <f t="shared" si="2"/>
        <v>66288</v>
      </c>
      <c r="M11" s="57">
        <f t="shared" si="2"/>
        <v>108949</v>
      </c>
      <c r="N11" s="57">
        <f t="shared" si="2"/>
        <v>119437</v>
      </c>
      <c r="O11" s="57">
        <f t="shared" si="2"/>
        <v>114301</v>
      </c>
      <c r="P11" s="57">
        <f t="shared" si="2"/>
        <v>123216</v>
      </c>
      <c r="Q11" s="57">
        <f t="shared" si="2"/>
        <v>133050</v>
      </c>
    </row>
    <row r="12" spans="1:17">
      <c r="A12" s="58" t="s">
        <v>2</v>
      </c>
      <c r="B12" s="59" t="str">
        <f>IFERROR(B11/#REF!-1,"")</f>
        <v/>
      </c>
      <c r="C12" s="59">
        <f t="shared" ref="C12:Q12" si="3">IFERROR(C11/B11-1,"")</f>
        <v>0.83791134076692964</v>
      </c>
      <c r="D12" s="59">
        <f t="shared" si="3"/>
        <v>0.63483279076649901</v>
      </c>
      <c r="E12" s="59">
        <f t="shared" si="3"/>
        <v>-0.11299578211835415</v>
      </c>
      <c r="F12" s="59">
        <f t="shared" si="3"/>
        <v>7.151166350333682E-2</v>
      </c>
      <c r="G12" s="59">
        <f t="shared" si="3"/>
        <v>0.35668437994019397</v>
      </c>
      <c r="H12" s="59">
        <f t="shared" si="3"/>
        <v>-0.15732135336234732</v>
      </c>
      <c r="I12" s="59">
        <f t="shared" si="3"/>
        <v>2.1991203518592517E-2</v>
      </c>
      <c r="J12" s="59">
        <f t="shared" si="3"/>
        <v>0.15574465310380803</v>
      </c>
      <c r="K12" s="59">
        <f t="shared" si="3"/>
        <v>-9.8282038985584963E-2</v>
      </c>
      <c r="L12" s="59">
        <f t="shared" si="3"/>
        <v>3.6884091975598388E-2</v>
      </c>
      <c r="M12" s="59">
        <f t="shared" si="3"/>
        <v>0.64357048032826447</v>
      </c>
      <c r="N12" s="59">
        <f t="shared" si="3"/>
        <v>9.6265225013538513E-2</v>
      </c>
      <c r="O12" s="59">
        <f t="shared" si="3"/>
        <v>-4.3001749876503959E-2</v>
      </c>
      <c r="P12" s="59">
        <f t="shared" si="3"/>
        <v>7.7995818059334532E-2</v>
      </c>
      <c r="Q12" s="59">
        <f t="shared" si="3"/>
        <v>7.9811063498246959E-2</v>
      </c>
    </row>
    <row r="14" spans="1:17">
      <c r="A14" s="42" t="s">
        <v>10</v>
      </c>
      <c r="B14" s="60">
        <v>155</v>
      </c>
      <c r="C14" s="60">
        <v>415</v>
      </c>
      <c r="D14" s="60">
        <v>522</v>
      </c>
      <c r="E14" s="60">
        <v>1156</v>
      </c>
      <c r="F14" s="60">
        <v>980</v>
      </c>
      <c r="G14" s="60">
        <v>1285</v>
      </c>
      <c r="H14" s="60">
        <v>1348</v>
      </c>
      <c r="I14" s="60">
        <v>2745</v>
      </c>
      <c r="J14" s="60">
        <v>2005</v>
      </c>
      <c r="K14" s="60">
        <v>1807</v>
      </c>
      <c r="L14" s="60">
        <v>803</v>
      </c>
      <c r="M14" s="61">
        <v>258</v>
      </c>
      <c r="N14" s="61">
        <v>-334</v>
      </c>
      <c r="O14" s="61">
        <v>-565</v>
      </c>
      <c r="P14" s="61">
        <v>269</v>
      </c>
      <c r="Q14" s="61">
        <v>-321</v>
      </c>
    </row>
    <row r="15" spans="1:17">
      <c r="A15" s="62" t="s">
        <v>11</v>
      </c>
      <c r="B15" s="63">
        <f>B14</f>
        <v>155</v>
      </c>
      <c r="C15" s="63">
        <f t="shared" ref="C15:Q15" si="4">C14</f>
        <v>415</v>
      </c>
      <c r="D15" s="63">
        <f t="shared" si="4"/>
        <v>522</v>
      </c>
      <c r="E15" s="63">
        <f t="shared" si="4"/>
        <v>1156</v>
      </c>
      <c r="F15" s="63">
        <f t="shared" si="4"/>
        <v>980</v>
      </c>
      <c r="G15" s="63">
        <f t="shared" si="4"/>
        <v>1285</v>
      </c>
      <c r="H15" s="63">
        <f t="shared" si="4"/>
        <v>1348</v>
      </c>
      <c r="I15" s="63">
        <f t="shared" si="4"/>
        <v>2745</v>
      </c>
      <c r="J15" s="63">
        <f t="shared" si="4"/>
        <v>2005</v>
      </c>
      <c r="K15" s="63">
        <f t="shared" si="4"/>
        <v>1807</v>
      </c>
      <c r="L15" s="63">
        <f t="shared" si="4"/>
        <v>803</v>
      </c>
      <c r="M15" s="63">
        <f t="shared" si="4"/>
        <v>258</v>
      </c>
      <c r="N15" s="63">
        <f t="shared" si="4"/>
        <v>-334</v>
      </c>
      <c r="O15" s="63">
        <f t="shared" si="4"/>
        <v>-565</v>
      </c>
      <c r="P15" s="63">
        <f t="shared" si="4"/>
        <v>269</v>
      </c>
      <c r="Q15" s="63">
        <f t="shared" si="4"/>
        <v>-321</v>
      </c>
    </row>
    <row r="16" spans="1:17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17"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spans="1:17">
      <c r="A18" s="42" t="s">
        <v>12</v>
      </c>
      <c r="B18" s="60">
        <f t="shared" ref="B18:Q18" si="5">B11+B15</f>
        <v>18540</v>
      </c>
      <c r="C18" s="60">
        <f t="shared" si="5"/>
        <v>34205</v>
      </c>
      <c r="D18" s="60">
        <f t="shared" si="5"/>
        <v>55763</v>
      </c>
      <c r="E18" s="60">
        <f t="shared" si="5"/>
        <v>50155</v>
      </c>
      <c r="F18" s="60">
        <f t="shared" si="5"/>
        <v>53483</v>
      </c>
      <c r="G18" s="60">
        <f t="shared" si="5"/>
        <v>72515</v>
      </c>
      <c r="H18" s="60">
        <f t="shared" si="5"/>
        <v>61372</v>
      </c>
      <c r="I18" s="60">
        <f t="shared" si="5"/>
        <v>64089</v>
      </c>
      <c r="J18" s="60">
        <f t="shared" si="5"/>
        <v>72903</v>
      </c>
      <c r="K18" s="60">
        <f t="shared" si="5"/>
        <v>65737</v>
      </c>
      <c r="L18" s="60">
        <f t="shared" si="5"/>
        <v>67091</v>
      </c>
      <c r="M18" s="60">
        <f t="shared" si="5"/>
        <v>109207</v>
      </c>
      <c r="N18" s="60">
        <f t="shared" si="5"/>
        <v>119103</v>
      </c>
      <c r="O18" s="60">
        <f t="shared" si="5"/>
        <v>113736</v>
      </c>
      <c r="P18" s="60">
        <f t="shared" si="5"/>
        <v>123485</v>
      </c>
      <c r="Q18" s="60">
        <f t="shared" si="5"/>
        <v>132729</v>
      </c>
    </row>
    <row r="19" spans="1:17">
      <c r="A19" s="42" t="s">
        <v>13</v>
      </c>
      <c r="B19" s="60">
        <v>4527</v>
      </c>
      <c r="C19" s="60">
        <v>8283</v>
      </c>
      <c r="D19" s="60">
        <v>14030</v>
      </c>
      <c r="E19" s="60">
        <v>13118</v>
      </c>
      <c r="F19" s="60">
        <v>13973</v>
      </c>
      <c r="G19" s="60">
        <v>19121</v>
      </c>
      <c r="H19" s="60">
        <v>15685</v>
      </c>
      <c r="I19" s="60">
        <v>15738</v>
      </c>
      <c r="J19" s="60">
        <v>13372</v>
      </c>
      <c r="K19" s="60">
        <v>10481</v>
      </c>
      <c r="L19" s="60">
        <v>9680</v>
      </c>
      <c r="M19" s="60">
        <v>14527</v>
      </c>
      <c r="N19" s="60">
        <v>19300</v>
      </c>
      <c r="O19" s="60">
        <v>16741</v>
      </c>
      <c r="P19" s="60">
        <v>29749</v>
      </c>
      <c r="Q19" s="60">
        <v>20719</v>
      </c>
    </row>
    <row r="20" spans="1:17">
      <c r="A20" s="62" t="s">
        <v>14</v>
      </c>
      <c r="B20" s="54">
        <f t="shared" ref="B20:Q20" si="6">B18-B19</f>
        <v>14013</v>
      </c>
      <c r="C20" s="54">
        <f t="shared" si="6"/>
        <v>25922</v>
      </c>
      <c r="D20" s="54">
        <f t="shared" si="6"/>
        <v>41733</v>
      </c>
      <c r="E20" s="54">
        <f t="shared" si="6"/>
        <v>37037</v>
      </c>
      <c r="F20" s="54">
        <f t="shared" si="6"/>
        <v>39510</v>
      </c>
      <c r="G20" s="54">
        <f t="shared" si="6"/>
        <v>53394</v>
      </c>
      <c r="H20" s="54">
        <f t="shared" si="6"/>
        <v>45687</v>
      </c>
      <c r="I20" s="54">
        <f t="shared" si="6"/>
        <v>48351</v>
      </c>
      <c r="J20" s="54">
        <f t="shared" si="6"/>
        <v>59531</v>
      </c>
      <c r="K20" s="54">
        <f t="shared" si="6"/>
        <v>55256</v>
      </c>
      <c r="L20" s="54">
        <f t="shared" si="6"/>
        <v>57411</v>
      </c>
      <c r="M20" s="54">
        <f t="shared" si="6"/>
        <v>94680</v>
      </c>
      <c r="N20" s="54">
        <f t="shared" si="6"/>
        <v>99803</v>
      </c>
      <c r="O20" s="54">
        <f t="shared" si="6"/>
        <v>96995</v>
      </c>
      <c r="P20" s="54">
        <f t="shared" si="6"/>
        <v>93736</v>
      </c>
      <c r="Q20" s="54">
        <f t="shared" si="6"/>
        <v>112010</v>
      </c>
    </row>
    <row r="21" spans="1:17">
      <c r="A21" s="62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spans="1:17">
      <c r="A22" s="62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 spans="1:17">
      <c r="A23" s="43" t="s">
        <v>51</v>
      </c>
      <c r="B23" s="60">
        <v>909461</v>
      </c>
      <c r="C23" s="60">
        <v>924258</v>
      </c>
      <c r="D23" s="60">
        <v>934818</v>
      </c>
      <c r="E23" s="60">
        <v>925331</v>
      </c>
      <c r="F23" s="56">
        <v>6085572</v>
      </c>
      <c r="G23" s="56">
        <v>5753421</v>
      </c>
      <c r="H23" s="56">
        <v>5470820</v>
      </c>
      <c r="I23" s="56">
        <v>5217242</v>
      </c>
      <c r="J23" s="56">
        <v>4955377</v>
      </c>
      <c r="K23" s="56">
        <v>4617834</v>
      </c>
      <c r="L23" s="56">
        <v>17352119</v>
      </c>
      <c r="M23" s="56">
        <v>16701272</v>
      </c>
      <c r="N23" s="56">
        <v>16215963</v>
      </c>
      <c r="O23" s="56">
        <v>15744231</v>
      </c>
      <c r="P23" s="56">
        <v>15343783</v>
      </c>
      <c r="Q23" s="56">
        <v>14948500</v>
      </c>
    </row>
    <row r="24" spans="1:17">
      <c r="A24" s="43" t="s">
        <v>52</v>
      </c>
      <c r="B24" s="60">
        <v>924712</v>
      </c>
      <c r="C24" s="60">
        <v>936645</v>
      </c>
      <c r="D24" s="60">
        <v>945355</v>
      </c>
      <c r="E24" s="60">
        <v>931662</v>
      </c>
      <c r="F24" s="56">
        <v>6122663</v>
      </c>
      <c r="G24" s="56">
        <v>5793069</v>
      </c>
      <c r="H24" s="56">
        <v>5500281</v>
      </c>
      <c r="I24" s="56">
        <v>5251692</v>
      </c>
      <c r="J24" s="56">
        <v>5000109</v>
      </c>
      <c r="K24" s="56">
        <v>4648913</v>
      </c>
      <c r="L24" s="56">
        <v>17528214</v>
      </c>
      <c r="M24" s="56">
        <v>16864919</v>
      </c>
      <c r="N24" s="56">
        <v>16325819</v>
      </c>
      <c r="O24" s="56">
        <v>15812547</v>
      </c>
      <c r="P24" s="56">
        <v>15408095</v>
      </c>
      <c r="Q24" s="56">
        <v>15004697</v>
      </c>
    </row>
    <row r="25" spans="1:17">
      <c r="A25" s="43" t="s">
        <v>53</v>
      </c>
      <c r="B25" s="66">
        <v>0</v>
      </c>
      <c r="C25" s="66">
        <v>0</v>
      </c>
      <c r="D25" s="66">
        <v>0.38</v>
      </c>
      <c r="E25" s="66">
        <v>1.64</v>
      </c>
      <c r="F25" s="67">
        <v>1.82</v>
      </c>
      <c r="G25" s="67">
        <v>1.98</v>
      </c>
      <c r="H25" s="67">
        <v>2.1800000000000002</v>
      </c>
      <c r="I25" s="67">
        <v>2.4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</row>
    <row r="26" spans="1:17"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spans="1:17">
      <c r="A27" s="43"/>
      <c r="B27" s="60"/>
      <c r="C27" s="60"/>
      <c r="D27" s="60"/>
      <c r="E27" s="60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>
      <c r="A28" s="68" t="s">
        <v>15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spans="1:17">
      <c r="A29" s="43" t="s">
        <v>16</v>
      </c>
      <c r="B29" s="60">
        <v>11261</v>
      </c>
      <c r="C29" s="60">
        <v>9815</v>
      </c>
      <c r="D29" s="60">
        <v>10746</v>
      </c>
      <c r="E29" s="60">
        <v>14259</v>
      </c>
      <c r="F29" s="56">
        <v>13844</v>
      </c>
      <c r="G29" s="56">
        <v>21120</v>
      </c>
      <c r="H29" s="56">
        <v>20484</v>
      </c>
      <c r="I29" s="56">
        <v>20289</v>
      </c>
      <c r="J29" s="56">
        <v>25913</v>
      </c>
      <c r="K29" s="56">
        <v>48844</v>
      </c>
      <c r="L29" s="56">
        <v>38016</v>
      </c>
      <c r="M29" s="56">
        <v>34940</v>
      </c>
      <c r="N29" s="56">
        <v>23646</v>
      </c>
      <c r="O29" s="56">
        <v>29965</v>
      </c>
      <c r="P29" s="56">
        <v>29943</v>
      </c>
      <c r="Q29" s="56">
        <v>35934</v>
      </c>
    </row>
    <row r="30" spans="1:17">
      <c r="A30" s="43" t="s">
        <v>17</v>
      </c>
      <c r="B30" s="60">
        <v>14359</v>
      </c>
      <c r="C30" s="60">
        <v>16137</v>
      </c>
      <c r="D30" s="60">
        <v>18383</v>
      </c>
      <c r="E30" s="60">
        <v>26287</v>
      </c>
      <c r="F30" s="60">
        <v>11233</v>
      </c>
      <c r="G30" s="60">
        <v>20481</v>
      </c>
      <c r="H30" s="60">
        <v>46671</v>
      </c>
      <c r="I30" s="60">
        <v>53892</v>
      </c>
      <c r="J30" s="56">
        <v>40388</v>
      </c>
      <c r="K30" s="56">
        <v>51713</v>
      </c>
      <c r="L30" s="56">
        <v>52927</v>
      </c>
      <c r="M30" s="56">
        <v>27699</v>
      </c>
      <c r="N30" s="56">
        <v>24658</v>
      </c>
      <c r="O30" s="56">
        <v>31590</v>
      </c>
      <c r="P30" s="56">
        <v>35228</v>
      </c>
      <c r="Q30" s="56">
        <v>18763</v>
      </c>
    </row>
    <row r="31" spans="1:17">
      <c r="A31" s="43" t="s">
        <v>18</v>
      </c>
      <c r="B31" s="60">
        <v>5510</v>
      </c>
      <c r="C31" s="60">
        <v>5369</v>
      </c>
      <c r="D31" s="60">
        <v>10930</v>
      </c>
      <c r="E31" s="60">
        <v>13102</v>
      </c>
      <c r="F31" s="60">
        <v>17460</v>
      </c>
      <c r="G31" s="60">
        <v>16849</v>
      </c>
      <c r="H31" s="60">
        <v>15754</v>
      </c>
      <c r="I31" s="60">
        <v>17874</v>
      </c>
      <c r="J31" s="56">
        <v>23186</v>
      </c>
      <c r="K31" s="56">
        <v>22926</v>
      </c>
      <c r="L31" s="56">
        <v>16120</v>
      </c>
      <c r="M31" s="56">
        <v>26278</v>
      </c>
      <c r="N31" s="56">
        <v>28184</v>
      </c>
      <c r="O31" s="56">
        <v>29508</v>
      </c>
      <c r="P31" s="56">
        <v>33410</v>
      </c>
      <c r="Q31" s="56">
        <v>39777</v>
      </c>
    </row>
    <row r="32" spans="1:17">
      <c r="A32" s="43" t="s">
        <v>19</v>
      </c>
      <c r="B32" s="60">
        <v>1051</v>
      </c>
      <c r="C32" s="60">
        <v>776</v>
      </c>
      <c r="D32" s="60">
        <v>791</v>
      </c>
      <c r="E32" s="60">
        <v>1764</v>
      </c>
      <c r="F32" s="56">
        <v>2111</v>
      </c>
      <c r="G32" s="56">
        <v>2349</v>
      </c>
      <c r="H32" s="56">
        <v>2132</v>
      </c>
      <c r="I32" s="56">
        <v>4855</v>
      </c>
      <c r="J32" s="56">
        <v>3956</v>
      </c>
      <c r="K32" s="56">
        <v>4106</v>
      </c>
      <c r="L32" s="56">
        <v>4061</v>
      </c>
      <c r="M32" s="56">
        <v>6580</v>
      </c>
      <c r="N32" s="56">
        <v>4946</v>
      </c>
      <c r="O32" s="56">
        <v>6331</v>
      </c>
      <c r="P32" s="56">
        <v>7286</v>
      </c>
      <c r="Q32" s="56">
        <v>5718</v>
      </c>
    </row>
    <row r="33" spans="1:17">
      <c r="A33" s="43" t="s">
        <v>20</v>
      </c>
      <c r="B33" s="60">
        <v>1636</v>
      </c>
      <c r="C33" s="60">
        <v>2014</v>
      </c>
      <c r="D33" s="60">
        <v>2583</v>
      </c>
      <c r="E33" s="60">
        <v>3453</v>
      </c>
      <c r="F33" s="56">
        <v>4318</v>
      </c>
      <c r="G33" s="56">
        <v>5546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</row>
    <row r="34" spans="1:17">
      <c r="A34" s="43" t="s">
        <v>21</v>
      </c>
      <c r="B34" s="60">
        <v>4414</v>
      </c>
      <c r="C34" s="60">
        <v>6348</v>
      </c>
      <c r="D34" s="60">
        <v>7762</v>
      </c>
      <c r="E34" s="60">
        <v>7539</v>
      </c>
      <c r="F34" s="56">
        <v>9759</v>
      </c>
      <c r="G34" s="56">
        <v>13494</v>
      </c>
      <c r="H34" s="56">
        <v>13545</v>
      </c>
      <c r="I34" s="56">
        <v>17799</v>
      </c>
      <c r="J34" s="56">
        <v>25809</v>
      </c>
      <c r="K34" s="56">
        <v>22878</v>
      </c>
      <c r="L34" s="56">
        <v>21325</v>
      </c>
      <c r="M34" s="56">
        <v>25228</v>
      </c>
      <c r="N34" s="56">
        <v>32748</v>
      </c>
      <c r="O34" s="56">
        <v>31477</v>
      </c>
      <c r="P34" s="56">
        <v>32833</v>
      </c>
      <c r="Q34" s="56">
        <v>33180</v>
      </c>
    </row>
    <row r="35" spans="1:17">
      <c r="A35" s="43" t="s">
        <v>22</v>
      </c>
      <c r="B35" s="60">
        <v>3447</v>
      </c>
      <c r="C35" s="60">
        <v>4529</v>
      </c>
      <c r="D35" s="60">
        <v>6458</v>
      </c>
      <c r="E35" s="60">
        <v>6882</v>
      </c>
      <c r="F35" s="56">
        <v>9806</v>
      </c>
      <c r="G35" s="56">
        <v>9539</v>
      </c>
      <c r="H35" s="56">
        <v>8283</v>
      </c>
      <c r="I35" s="56">
        <v>13936</v>
      </c>
      <c r="J35" s="56">
        <v>12087</v>
      </c>
      <c r="K35" s="56">
        <v>12352</v>
      </c>
      <c r="L35" s="56">
        <v>11264</v>
      </c>
      <c r="M35" s="56">
        <v>14111</v>
      </c>
      <c r="N35" s="56">
        <v>21223</v>
      </c>
      <c r="O35" s="56">
        <v>14695</v>
      </c>
      <c r="P35" s="56">
        <v>14287</v>
      </c>
      <c r="Q35" s="56">
        <v>14585</v>
      </c>
    </row>
    <row r="36" spans="1:17">
      <c r="A36" s="53" t="s">
        <v>23</v>
      </c>
      <c r="B36" s="54">
        <f>B29+B30+B31+B32+B33+B34+B35</f>
        <v>41678</v>
      </c>
      <c r="C36" s="54">
        <f t="shared" ref="C36:Q36" si="7">C29+C30+C31+C32+C33+C34+C35</f>
        <v>44988</v>
      </c>
      <c r="D36" s="54">
        <f t="shared" si="7"/>
        <v>57653</v>
      </c>
      <c r="E36" s="54">
        <f t="shared" si="7"/>
        <v>73286</v>
      </c>
      <c r="F36" s="54">
        <f t="shared" si="7"/>
        <v>68531</v>
      </c>
      <c r="G36" s="54">
        <f t="shared" si="7"/>
        <v>89378</v>
      </c>
      <c r="H36" s="54">
        <f t="shared" si="7"/>
        <v>106869</v>
      </c>
      <c r="I36" s="54">
        <f t="shared" si="7"/>
        <v>128645</v>
      </c>
      <c r="J36" s="54">
        <f t="shared" si="7"/>
        <v>131339</v>
      </c>
      <c r="K36" s="54">
        <f t="shared" si="7"/>
        <v>162819</v>
      </c>
      <c r="L36" s="54">
        <f t="shared" si="7"/>
        <v>143713</v>
      </c>
      <c r="M36" s="54">
        <f t="shared" si="7"/>
        <v>134836</v>
      </c>
      <c r="N36" s="54">
        <f t="shared" si="7"/>
        <v>135405</v>
      </c>
      <c r="O36" s="54">
        <f t="shared" si="7"/>
        <v>143566</v>
      </c>
      <c r="P36" s="54">
        <f t="shared" si="7"/>
        <v>152987</v>
      </c>
      <c r="Q36" s="54">
        <f t="shared" si="7"/>
        <v>147957</v>
      </c>
    </row>
    <row r="37" spans="1:17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spans="1:17">
      <c r="A38" s="70" t="s">
        <v>24</v>
      </c>
      <c r="B38" s="60">
        <v>4768</v>
      </c>
      <c r="C38" s="60">
        <v>7777</v>
      </c>
      <c r="D38" s="60">
        <v>15452</v>
      </c>
      <c r="E38" s="60">
        <v>16597</v>
      </c>
      <c r="F38" s="60">
        <v>20624</v>
      </c>
      <c r="G38" s="60">
        <v>22471</v>
      </c>
      <c r="H38" s="60">
        <v>27010</v>
      </c>
      <c r="I38" s="60">
        <v>33783</v>
      </c>
      <c r="J38" s="60">
        <v>41304</v>
      </c>
      <c r="K38" s="60">
        <v>37378</v>
      </c>
      <c r="L38" s="60">
        <v>36766</v>
      </c>
      <c r="M38" s="60">
        <v>39440</v>
      </c>
      <c r="N38" s="60">
        <v>42117</v>
      </c>
      <c r="O38" s="60">
        <v>43715</v>
      </c>
      <c r="P38" s="60">
        <v>45680</v>
      </c>
      <c r="Q38" s="60">
        <v>49834</v>
      </c>
    </row>
    <row r="39" spans="1:17">
      <c r="A39" s="43" t="s">
        <v>25</v>
      </c>
      <c r="B39" s="60">
        <v>25391</v>
      </c>
      <c r="C39" s="60">
        <v>55618</v>
      </c>
      <c r="D39" s="60">
        <v>92122</v>
      </c>
      <c r="E39" s="60">
        <v>106215</v>
      </c>
      <c r="F39" s="56">
        <v>130162</v>
      </c>
      <c r="G39" s="56">
        <v>164065</v>
      </c>
      <c r="H39" s="56">
        <v>170430</v>
      </c>
      <c r="I39" s="56">
        <v>194714</v>
      </c>
      <c r="J39" s="56">
        <v>170799</v>
      </c>
      <c r="K39" s="56">
        <v>105341</v>
      </c>
      <c r="L39" s="56">
        <v>100887</v>
      </c>
      <c r="M39" s="56">
        <v>127877</v>
      </c>
      <c r="N39" s="56">
        <v>120805</v>
      </c>
      <c r="O39" s="56">
        <v>100544</v>
      </c>
      <c r="P39" s="56">
        <v>91479</v>
      </c>
      <c r="Q39" s="56">
        <v>77723</v>
      </c>
    </row>
    <row r="40" spans="1:17">
      <c r="A40" s="43" t="s">
        <v>26</v>
      </c>
      <c r="B40" s="60">
        <v>741</v>
      </c>
      <c r="C40" s="60">
        <v>896</v>
      </c>
      <c r="D40" s="60">
        <v>1135</v>
      </c>
      <c r="E40" s="60">
        <v>1577</v>
      </c>
      <c r="F40" s="56">
        <v>4616</v>
      </c>
      <c r="G40" s="56">
        <v>5116</v>
      </c>
      <c r="H40" s="56">
        <v>5414</v>
      </c>
      <c r="I40" s="56">
        <v>5717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</row>
    <row r="41" spans="1:17">
      <c r="A41" s="43" t="s">
        <v>27</v>
      </c>
      <c r="B41" s="60">
        <v>342</v>
      </c>
      <c r="C41" s="60">
        <v>3536</v>
      </c>
      <c r="D41" s="60">
        <v>4224</v>
      </c>
      <c r="E41" s="60">
        <v>4179</v>
      </c>
      <c r="F41" s="56">
        <v>4142</v>
      </c>
      <c r="G41" s="56">
        <v>3893</v>
      </c>
      <c r="H41" s="56">
        <v>3206</v>
      </c>
      <c r="I41" s="56">
        <v>2298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</row>
    <row r="42" spans="1:17">
      <c r="A42" s="43" t="s">
        <v>28</v>
      </c>
      <c r="B42" s="60">
        <v>2263</v>
      </c>
      <c r="C42" s="60">
        <v>3556</v>
      </c>
      <c r="D42" s="60">
        <v>5478</v>
      </c>
      <c r="E42" s="60">
        <v>5146</v>
      </c>
      <c r="F42" s="56">
        <v>3764</v>
      </c>
      <c r="G42" s="56">
        <v>5556</v>
      </c>
      <c r="H42" s="56">
        <v>8757</v>
      </c>
      <c r="I42" s="56">
        <v>10162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</row>
    <row r="43" spans="1:17">
      <c r="A43" s="43" t="s">
        <v>29</v>
      </c>
      <c r="B43" s="60">
        <v>0</v>
      </c>
      <c r="C43" s="60">
        <v>0</v>
      </c>
      <c r="D43" s="60">
        <v>0</v>
      </c>
      <c r="E43" s="60">
        <v>0</v>
      </c>
      <c r="F43" s="56">
        <v>0</v>
      </c>
      <c r="G43" s="56">
        <v>0</v>
      </c>
      <c r="H43" s="56">
        <v>0</v>
      </c>
      <c r="I43" s="56">
        <v>0</v>
      </c>
      <c r="J43" s="56">
        <v>22283</v>
      </c>
      <c r="K43" s="56">
        <v>32978</v>
      </c>
      <c r="L43" s="56">
        <v>42522</v>
      </c>
      <c r="M43" s="56">
        <v>48849</v>
      </c>
      <c r="N43" s="56">
        <v>54428</v>
      </c>
      <c r="O43" s="56">
        <v>64758</v>
      </c>
      <c r="P43" s="56">
        <v>74834</v>
      </c>
      <c r="Q43" s="56">
        <v>83727</v>
      </c>
    </row>
    <row r="44" spans="1:17">
      <c r="A44" s="53" t="s">
        <v>30</v>
      </c>
      <c r="B44" s="54">
        <f>B38+B39+B40+B41+B42+B43</f>
        <v>33505</v>
      </c>
      <c r="C44" s="54">
        <f t="shared" ref="C44:Q44" si="8">C38+C39+C40+C41+C42+C43</f>
        <v>71383</v>
      </c>
      <c r="D44" s="54">
        <f t="shared" si="8"/>
        <v>118411</v>
      </c>
      <c r="E44" s="54">
        <f t="shared" si="8"/>
        <v>133714</v>
      </c>
      <c r="F44" s="54">
        <f t="shared" si="8"/>
        <v>163308</v>
      </c>
      <c r="G44" s="54">
        <f t="shared" si="8"/>
        <v>201101</v>
      </c>
      <c r="H44" s="54">
        <f t="shared" si="8"/>
        <v>214817</v>
      </c>
      <c r="I44" s="54">
        <f t="shared" si="8"/>
        <v>246674</v>
      </c>
      <c r="J44" s="54">
        <f t="shared" si="8"/>
        <v>234386</v>
      </c>
      <c r="K44" s="54">
        <f t="shared" si="8"/>
        <v>175697</v>
      </c>
      <c r="L44" s="54">
        <f t="shared" si="8"/>
        <v>180175</v>
      </c>
      <c r="M44" s="54">
        <f t="shared" si="8"/>
        <v>216166</v>
      </c>
      <c r="N44" s="54">
        <f t="shared" si="8"/>
        <v>217350</v>
      </c>
      <c r="O44" s="54">
        <f t="shared" si="8"/>
        <v>209017</v>
      </c>
      <c r="P44" s="54">
        <f t="shared" si="8"/>
        <v>211993</v>
      </c>
      <c r="Q44" s="54">
        <f t="shared" si="8"/>
        <v>211284</v>
      </c>
    </row>
    <row r="45" spans="1:17">
      <c r="A45" s="53" t="s">
        <v>31</v>
      </c>
      <c r="B45" s="54">
        <f t="shared" ref="B45:Q45" si="9">B36+B44</f>
        <v>75183</v>
      </c>
      <c r="C45" s="54">
        <f t="shared" si="9"/>
        <v>116371</v>
      </c>
      <c r="D45" s="54">
        <f t="shared" si="9"/>
        <v>176064</v>
      </c>
      <c r="E45" s="54">
        <f t="shared" si="9"/>
        <v>207000</v>
      </c>
      <c r="F45" s="57">
        <f t="shared" si="9"/>
        <v>231839</v>
      </c>
      <c r="G45" s="57">
        <f t="shared" si="9"/>
        <v>290479</v>
      </c>
      <c r="H45" s="57">
        <f t="shared" si="9"/>
        <v>321686</v>
      </c>
      <c r="I45" s="57">
        <f t="shared" si="9"/>
        <v>375319</v>
      </c>
      <c r="J45" s="57">
        <f t="shared" si="9"/>
        <v>365725</v>
      </c>
      <c r="K45" s="57">
        <f t="shared" si="9"/>
        <v>338516</v>
      </c>
      <c r="L45" s="57">
        <f t="shared" si="9"/>
        <v>323888</v>
      </c>
      <c r="M45" s="57">
        <f t="shared" si="9"/>
        <v>351002</v>
      </c>
      <c r="N45" s="57">
        <f t="shared" si="9"/>
        <v>352755</v>
      </c>
      <c r="O45" s="57">
        <f t="shared" si="9"/>
        <v>352583</v>
      </c>
      <c r="P45" s="57">
        <f t="shared" si="9"/>
        <v>364980</v>
      </c>
      <c r="Q45" s="57">
        <f t="shared" si="9"/>
        <v>359241</v>
      </c>
    </row>
    <row r="46" spans="1:17">
      <c r="A46" s="70"/>
      <c r="B46" s="71"/>
      <c r="C46" s="71"/>
      <c r="D46" s="71"/>
      <c r="E46" s="71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</row>
    <row r="47" spans="1:17">
      <c r="A47" s="43" t="s">
        <v>32</v>
      </c>
      <c r="B47" s="60">
        <v>0</v>
      </c>
      <c r="C47" s="60">
        <v>0</v>
      </c>
      <c r="D47" s="60">
        <v>0</v>
      </c>
      <c r="E47" s="60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</row>
    <row r="48" spans="1:17">
      <c r="A48" s="43" t="s">
        <v>33</v>
      </c>
      <c r="B48" s="60">
        <v>12015</v>
      </c>
      <c r="C48" s="60">
        <v>14632</v>
      </c>
      <c r="D48" s="60">
        <v>21175</v>
      </c>
      <c r="E48" s="60">
        <v>22367</v>
      </c>
      <c r="F48" s="60">
        <v>30196</v>
      </c>
      <c r="G48" s="60">
        <v>35490</v>
      </c>
      <c r="H48" s="60">
        <v>37294</v>
      </c>
      <c r="I48" s="60">
        <v>49049</v>
      </c>
      <c r="J48" s="60">
        <v>55888</v>
      </c>
      <c r="K48" s="60">
        <v>46236</v>
      </c>
      <c r="L48" s="60">
        <v>42296</v>
      </c>
      <c r="M48" s="60">
        <v>54763</v>
      </c>
      <c r="N48" s="60">
        <v>64115</v>
      </c>
      <c r="O48" s="60">
        <v>62611</v>
      </c>
      <c r="P48" s="56">
        <v>68960</v>
      </c>
      <c r="Q48" s="56">
        <v>69860</v>
      </c>
    </row>
    <row r="49" spans="1:17">
      <c r="A49" s="43" t="s">
        <v>34</v>
      </c>
      <c r="B49" s="60">
        <v>5723</v>
      </c>
      <c r="C49" s="60">
        <v>9247</v>
      </c>
      <c r="D49" s="60">
        <v>11414</v>
      </c>
      <c r="E49" s="60">
        <v>13856</v>
      </c>
      <c r="F49" s="56">
        <v>18453</v>
      </c>
      <c r="G49" s="56">
        <v>25181</v>
      </c>
      <c r="H49" s="56">
        <v>22027</v>
      </c>
      <c r="I49" s="56">
        <v>25744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</row>
    <row r="50" spans="1:17">
      <c r="A50" s="43" t="s">
        <v>35</v>
      </c>
      <c r="B50" s="60">
        <v>2984</v>
      </c>
      <c r="C50" s="60">
        <v>4091</v>
      </c>
      <c r="D50" s="60">
        <v>5953</v>
      </c>
      <c r="E50" s="60">
        <v>7435</v>
      </c>
      <c r="F50" s="60">
        <v>8491</v>
      </c>
      <c r="G50" s="60">
        <v>8940</v>
      </c>
      <c r="H50" s="60">
        <v>8080</v>
      </c>
      <c r="I50" s="60">
        <v>7548</v>
      </c>
      <c r="J50" s="60">
        <v>7543</v>
      </c>
      <c r="K50" s="60">
        <v>5522</v>
      </c>
      <c r="L50" s="60">
        <v>6643</v>
      </c>
      <c r="M50" s="60">
        <v>7612</v>
      </c>
      <c r="N50" s="56">
        <v>7912</v>
      </c>
      <c r="O50" s="56">
        <v>8061</v>
      </c>
      <c r="P50" s="56">
        <v>8249</v>
      </c>
      <c r="Q50" s="56">
        <v>9055</v>
      </c>
    </row>
    <row r="51" spans="1:17">
      <c r="A51" s="43" t="s">
        <v>36</v>
      </c>
      <c r="B51" s="60">
        <v>0</v>
      </c>
      <c r="C51" s="60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32687</v>
      </c>
      <c r="K51" s="60">
        <v>37720</v>
      </c>
      <c r="L51" s="60">
        <v>42684</v>
      </c>
      <c r="M51" s="60">
        <v>47493</v>
      </c>
      <c r="N51" s="56">
        <v>60845</v>
      </c>
      <c r="O51" s="56">
        <v>58829</v>
      </c>
      <c r="P51" s="56">
        <v>78304</v>
      </c>
      <c r="Q51" s="56">
        <v>66387</v>
      </c>
    </row>
    <row r="52" spans="1:17">
      <c r="A52" s="43" t="s">
        <v>37</v>
      </c>
      <c r="B52" s="60">
        <v>0</v>
      </c>
      <c r="C52" s="60">
        <v>0</v>
      </c>
      <c r="D52" s="60">
        <v>0</v>
      </c>
      <c r="E52" s="60">
        <v>0</v>
      </c>
      <c r="F52" s="56">
        <v>6308</v>
      </c>
      <c r="G52" s="56">
        <v>8499</v>
      </c>
      <c r="H52" s="56">
        <v>8105</v>
      </c>
      <c r="I52" s="56">
        <v>11977</v>
      </c>
      <c r="J52" s="56">
        <v>11964</v>
      </c>
      <c r="K52" s="56">
        <v>5980</v>
      </c>
      <c r="L52" s="56">
        <v>4996</v>
      </c>
      <c r="M52" s="56">
        <v>6000</v>
      </c>
      <c r="N52" s="56">
        <v>9982</v>
      </c>
      <c r="O52" s="56">
        <v>5985</v>
      </c>
      <c r="P52" s="56">
        <v>9967</v>
      </c>
      <c r="Q52" s="56">
        <v>7979</v>
      </c>
    </row>
    <row r="53" spans="1:17">
      <c r="A53" s="43" t="s">
        <v>38</v>
      </c>
      <c r="B53" s="60">
        <v>0</v>
      </c>
      <c r="C53" s="60">
        <v>0</v>
      </c>
      <c r="D53" s="60">
        <v>0</v>
      </c>
      <c r="E53" s="60">
        <v>0</v>
      </c>
      <c r="F53" s="56">
        <v>0</v>
      </c>
      <c r="G53" s="56">
        <v>2500</v>
      </c>
      <c r="H53" s="56">
        <v>3500</v>
      </c>
      <c r="I53" s="56">
        <v>6496</v>
      </c>
      <c r="J53" s="56">
        <v>8784</v>
      </c>
      <c r="K53" s="56">
        <v>10260</v>
      </c>
      <c r="L53" s="56">
        <v>8773</v>
      </c>
      <c r="M53" s="56">
        <v>9613</v>
      </c>
      <c r="N53" s="56">
        <v>11128</v>
      </c>
      <c r="O53" s="56">
        <v>9822</v>
      </c>
      <c r="P53" s="56">
        <v>10912</v>
      </c>
      <c r="Q53" s="56">
        <v>12350</v>
      </c>
    </row>
    <row r="54" spans="1:17">
      <c r="A54" s="53" t="s">
        <v>39</v>
      </c>
      <c r="B54" s="54">
        <f t="shared" ref="B54:Q54" si="10">SUM(B47:B53)</f>
        <v>20722</v>
      </c>
      <c r="C54" s="54">
        <f t="shared" si="10"/>
        <v>27970</v>
      </c>
      <c r="D54" s="54">
        <f t="shared" si="10"/>
        <v>38542</v>
      </c>
      <c r="E54" s="54">
        <f t="shared" si="10"/>
        <v>43658</v>
      </c>
      <c r="F54" s="57">
        <f t="shared" si="10"/>
        <v>63448</v>
      </c>
      <c r="G54" s="57">
        <f t="shared" si="10"/>
        <v>80610</v>
      </c>
      <c r="H54" s="57">
        <f t="shared" si="10"/>
        <v>79006</v>
      </c>
      <c r="I54" s="57">
        <f t="shared" si="10"/>
        <v>100814</v>
      </c>
      <c r="J54" s="57">
        <f t="shared" si="10"/>
        <v>116866</v>
      </c>
      <c r="K54" s="57">
        <f t="shared" si="10"/>
        <v>105718</v>
      </c>
      <c r="L54" s="57">
        <f t="shared" si="10"/>
        <v>105392</v>
      </c>
      <c r="M54" s="57">
        <f t="shared" si="10"/>
        <v>125481</v>
      </c>
      <c r="N54" s="57">
        <f t="shared" si="10"/>
        <v>153982</v>
      </c>
      <c r="O54" s="57">
        <f t="shared" si="10"/>
        <v>145308</v>
      </c>
      <c r="P54" s="57">
        <f t="shared" si="10"/>
        <v>176392</v>
      </c>
      <c r="Q54" s="57">
        <f t="shared" si="10"/>
        <v>165631</v>
      </c>
    </row>
    <row r="55" spans="1:17">
      <c r="A55" s="70"/>
      <c r="B55" s="71"/>
      <c r="C55" s="71"/>
      <c r="D55" s="71"/>
      <c r="E55" s="71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</row>
    <row r="56" spans="1:17">
      <c r="A56" s="43" t="s">
        <v>40</v>
      </c>
      <c r="B56" s="60">
        <v>0</v>
      </c>
      <c r="C56" s="60">
        <v>0</v>
      </c>
      <c r="D56" s="60">
        <v>0</v>
      </c>
      <c r="E56" s="60">
        <v>16960</v>
      </c>
      <c r="F56" s="56">
        <v>28987</v>
      </c>
      <c r="G56" s="56">
        <v>53463</v>
      </c>
      <c r="H56" s="56">
        <v>75427</v>
      </c>
      <c r="I56" s="56">
        <v>97207</v>
      </c>
      <c r="J56" s="56">
        <v>93735</v>
      </c>
      <c r="K56" s="56">
        <v>91807</v>
      </c>
      <c r="L56" s="56">
        <v>98667</v>
      </c>
      <c r="M56" s="56">
        <v>109106</v>
      </c>
      <c r="N56" s="56">
        <v>98959</v>
      </c>
      <c r="O56" s="56">
        <v>95281</v>
      </c>
      <c r="P56" s="56">
        <v>85750</v>
      </c>
      <c r="Q56" s="56">
        <v>78328</v>
      </c>
    </row>
    <row r="57" spans="1:17">
      <c r="A57" s="43" t="s">
        <v>41</v>
      </c>
      <c r="B57" s="60">
        <v>1139</v>
      </c>
      <c r="C57" s="60">
        <v>1686</v>
      </c>
      <c r="D57" s="60">
        <v>2648</v>
      </c>
      <c r="E57" s="60">
        <v>2625</v>
      </c>
      <c r="F57" s="60">
        <v>3031</v>
      </c>
      <c r="G57" s="60">
        <v>3624</v>
      </c>
      <c r="H57" s="60">
        <v>2930</v>
      </c>
      <c r="I57" s="60">
        <v>2836</v>
      </c>
      <c r="J57" s="60">
        <v>2797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</row>
    <row r="58" spans="1:17">
      <c r="A58" s="43" t="s">
        <v>42</v>
      </c>
      <c r="B58" s="60">
        <v>5531</v>
      </c>
      <c r="C58" s="60">
        <v>10100</v>
      </c>
      <c r="D58" s="60">
        <v>16664</v>
      </c>
      <c r="E58" s="60">
        <v>20208</v>
      </c>
      <c r="F58" s="60">
        <v>24826</v>
      </c>
      <c r="G58" s="60">
        <v>33427</v>
      </c>
      <c r="H58" s="60">
        <v>36074</v>
      </c>
      <c r="I58" s="60">
        <v>40415</v>
      </c>
      <c r="J58" s="60">
        <v>45180</v>
      </c>
      <c r="K58" s="60">
        <v>50503</v>
      </c>
      <c r="L58" s="60">
        <v>54490</v>
      </c>
      <c r="M58" s="60">
        <v>53325</v>
      </c>
      <c r="N58" s="60">
        <v>49142</v>
      </c>
      <c r="O58" s="60">
        <v>49848</v>
      </c>
      <c r="P58" s="60">
        <v>45888</v>
      </c>
      <c r="Q58" s="60">
        <v>41549</v>
      </c>
    </row>
    <row r="59" spans="1:17">
      <c r="A59" s="53" t="s">
        <v>43</v>
      </c>
      <c r="B59" s="73">
        <f t="shared" ref="B59:Q59" si="11">SUM(B56:B58)</f>
        <v>6670</v>
      </c>
      <c r="C59" s="73">
        <f t="shared" si="11"/>
        <v>11786</v>
      </c>
      <c r="D59" s="73">
        <f t="shared" si="11"/>
        <v>19312</v>
      </c>
      <c r="E59" s="73">
        <f t="shared" si="11"/>
        <v>39793</v>
      </c>
      <c r="F59" s="74">
        <f t="shared" si="11"/>
        <v>56844</v>
      </c>
      <c r="G59" s="74">
        <f t="shared" si="11"/>
        <v>90514</v>
      </c>
      <c r="H59" s="74">
        <f t="shared" si="11"/>
        <v>114431</v>
      </c>
      <c r="I59" s="74">
        <f t="shared" si="11"/>
        <v>140458</v>
      </c>
      <c r="J59" s="74">
        <f t="shared" si="11"/>
        <v>141712</v>
      </c>
      <c r="K59" s="74">
        <f t="shared" si="11"/>
        <v>142310</v>
      </c>
      <c r="L59" s="74">
        <f t="shared" si="11"/>
        <v>153157</v>
      </c>
      <c r="M59" s="74">
        <f t="shared" si="11"/>
        <v>162431</v>
      </c>
      <c r="N59" s="74">
        <f t="shared" si="11"/>
        <v>148101</v>
      </c>
      <c r="O59" s="74">
        <f t="shared" si="11"/>
        <v>145129</v>
      </c>
      <c r="P59" s="74">
        <f t="shared" si="11"/>
        <v>131638</v>
      </c>
      <c r="Q59" s="74">
        <f t="shared" si="11"/>
        <v>119877</v>
      </c>
    </row>
    <row r="60" spans="1:17">
      <c r="A60" s="53" t="s">
        <v>44</v>
      </c>
      <c r="B60" s="50">
        <f t="shared" ref="B60:Q60" si="12">B54+B59</f>
        <v>27392</v>
      </c>
      <c r="C60" s="50">
        <f t="shared" si="12"/>
        <v>39756</v>
      </c>
      <c r="D60" s="50">
        <f t="shared" si="12"/>
        <v>57854</v>
      </c>
      <c r="E60" s="50">
        <f t="shared" si="12"/>
        <v>83451</v>
      </c>
      <c r="F60" s="50">
        <f t="shared" si="12"/>
        <v>120292</v>
      </c>
      <c r="G60" s="50">
        <f t="shared" si="12"/>
        <v>171124</v>
      </c>
      <c r="H60" s="50">
        <f t="shared" si="12"/>
        <v>193437</v>
      </c>
      <c r="I60" s="50">
        <f t="shared" si="12"/>
        <v>241272</v>
      </c>
      <c r="J60" s="50">
        <f t="shared" si="12"/>
        <v>258578</v>
      </c>
      <c r="K60" s="50">
        <f t="shared" si="12"/>
        <v>248028</v>
      </c>
      <c r="L60" s="50">
        <f t="shared" si="12"/>
        <v>258549</v>
      </c>
      <c r="M60" s="50">
        <f t="shared" si="12"/>
        <v>287912</v>
      </c>
      <c r="N60" s="50">
        <f t="shared" si="12"/>
        <v>302083</v>
      </c>
      <c r="O60" s="50">
        <f t="shared" si="12"/>
        <v>290437</v>
      </c>
      <c r="P60" s="50">
        <f t="shared" si="12"/>
        <v>308030</v>
      </c>
      <c r="Q60" s="50">
        <f t="shared" si="12"/>
        <v>285508</v>
      </c>
    </row>
    <row r="61" spans="1:17">
      <c r="A61" s="43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>
      <c r="A62" s="43" t="s">
        <v>45</v>
      </c>
      <c r="B62" s="56">
        <v>10668</v>
      </c>
      <c r="C62" s="56">
        <v>13331</v>
      </c>
      <c r="D62" s="56">
        <v>16422</v>
      </c>
      <c r="E62" s="56">
        <v>19764</v>
      </c>
      <c r="F62" s="56">
        <v>23313</v>
      </c>
      <c r="G62" s="56">
        <v>27416</v>
      </c>
      <c r="H62" s="56">
        <v>31251</v>
      </c>
      <c r="I62" s="56">
        <v>35867</v>
      </c>
      <c r="J62" s="56">
        <v>40201</v>
      </c>
      <c r="K62" s="56">
        <v>45174</v>
      </c>
      <c r="L62" s="56">
        <v>50779</v>
      </c>
      <c r="M62" s="56">
        <v>57365</v>
      </c>
      <c r="N62" s="56">
        <v>64849</v>
      </c>
      <c r="O62" s="56">
        <v>73812</v>
      </c>
      <c r="P62" s="56">
        <v>83276</v>
      </c>
      <c r="Q62" s="56">
        <v>93568</v>
      </c>
    </row>
    <row r="63" spans="1:17">
      <c r="A63" s="43" t="s">
        <v>46</v>
      </c>
      <c r="B63" s="56">
        <v>37169</v>
      </c>
      <c r="C63" s="56">
        <v>62841</v>
      </c>
      <c r="D63" s="56">
        <v>101289</v>
      </c>
      <c r="E63" s="56">
        <v>104256</v>
      </c>
      <c r="F63" s="56">
        <v>87152</v>
      </c>
      <c r="G63" s="56">
        <v>92284</v>
      </c>
      <c r="H63" s="56">
        <v>96364</v>
      </c>
      <c r="I63" s="56">
        <v>98330</v>
      </c>
      <c r="J63" s="56">
        <v>70400</v>
      </c>
      <c r="K63" s="56">
        <v>45898</v>
      </c>
      <c r="L63" s="56">
        <v>14966</v>
      </c>
      <c r="M63" s="56">
        <v>5562</v>
      </c>
      <c r="N63" s="56">
        <v>0</v>
      </c>
      <c r="O63" s="56">
        <v>0</v>
      </c>
      <c r="P63" s="56">
        <v>0</v>
      </c>
      <c r="Q63" s="56">
        <v>0</v>
      </c>
    </row>
    <row r="64" spans="1:17">
      <c r="A64" s="43" t="s">
        <v>47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75">
        <v>-3068</v>
      </c>
      <c r="O64" s="75">
        <v>-214</v>
      </c>
      <c r="P64" s="75">
        <v>-19154</v>
      </c>
      <c r="Q64" s="75">
        <v>-14264</v>
      </c>
    </row>
    <row r="65" spans="1:20">
      <c r="A65" s="43" t="s">
        <v>48</v>
      </c>
      <c r="B65" s="75">
        <v>-46</v>
      </c>
      <c r="C65" s="56">
        <v>443</v>
      </c>
      <c r="D65" s="56">
        <v>499</v>
      </c>
      <c r="E65" s="75">
        <v>-471</v>
      </c>
      <c r="F65" s="56">
        <v>1082</v>
      </c>
      <c r="G65" s="75">
        <v>-345</v>
      </c>
      <c r="H65" s="56">
        <v>634</v>
      </c>
      <c r="I65" s="75">
        <v>-150</v>
      </c>
      <c r="J65" s="75">
        <v>-3454</v>
      </c>
      <c r="K65" s="75">
        <v>-584</v>
      </c>
      <c r="L65" s="75">
        <v>-406</v>
      </c>
      <c r="M65" s="56">
        <v>163</v>
      </c>
      <c r="N65" s="75">
        <v>-11109</v>
      </c>
      <c r="O65" s="75">
        <v>-11452</v>
      </c>
      <c r="P65" s="75">
        <v>-7172</v>
      </c>
      <c r="Q65" s="75">
        <v>-5571</v>
      </c>
    </row>
    <row r="66" spans="1:20">
      <c r="A66" s="53" t="s">
        <v>49</v>
      </c>
      <c r="B66" s="76">
        <f t="shared" ref="B66:Q66" si="13">SUM(B62:B65)</f>
        <v>47791</v>
      </c>
      <c r="C66" s="76">
        <f t="shared" si="13"/>
        <v>76615</v>
      </c>
      <c r="D66" s="76">
        <f t="shared" si="13"/>
        <v>118210</v>
      </c>
      <c r="E66" s="76">
        <f t="shared" si="13"/>
        <v>123549</v>
      </c>
      <c r="F66" s="76">
        <f t="shared" si="13"/>
        <v>111547</v>
      </c>
      <c r="G66" s="76">
        <f t="shared" si="13"/>
        <v>119355</v>
      </c>
      <c r="H66" s="76">
        <f t="shared" si="13"/>
        <v>128249</v>
      </c>
      <c r="I66" s="76">
        <f t="shared" si="13"/>
        <v>134047</v>
      </c>
      <c r="J66" s="76">
        <f t="shared" si="13"/>
        <v>107147</v>
      </c>
      <c r="K66" s="76">
        <f t="shared" si="13"/>
        <v>90488</v>
      </c>
      <c r="L66" s="76">
        <f t="shared" si="13"/>
        <v>65339</v>
      </c>
      <c r="M66" s="76">
        <f t="shared" si="13"/>
        <v>63090</v>
      </c>
      <c r="N66" s="76">
        <f t="shared" si="13"/>
        <v>50672</v>
      </c>
      <c r="O66" s="76">
        <f t="shared" si="13"/>
        <v>62146</v>
      </c>
      <c r="P66" s="76">
        <f t="shared" si="13"/>
        <v>56950</v>
      </c>
      <c r="Q66" s="76">
        <f t="shared" si="13"/>
        <v>73733</v>
      </c>
    </row>
    <row r="67" spans="1:20">
      <c r="A67" s="53" t="s">
        <v>50</v>
      </c>
      <c r="B67" s="77">
        <f t="shared" ref="B67:Q67" si="14">B60+B66</f>
        <v>75183</v>
      </c>
      <c r="C67" s="77">
        <f t="shared" si="14"/>
        <v>116371</v>
      </c>
      <c r="D67" s="77">
        <f t="shared" si="14"/>
        <v>176064</v>
      </c>
      <c r="E67" s="77">
        <f t="shared" si="14"/>
        <v>207000</v>
      </c>
      <c r="F67" s="77">
        <f t="shared" si="14"/>
        <v>231839</v>
      </c>
      <c r="G67" s="77">
        <f t="shared" si="14"/>
        <v>290479</v>
      </c>
      <c r="H67" s="77">
        <f t="shared" si="14"/>
        <v>321686</v>
      </c>
      <c r="I67" s="77">
        <f t="shared" si="14"/>
        <v>375319</v>
      </c>
      <c r="J67" s="77">
        <f t="shared" si="14"/>
        <v>365725</v>
      </c>
      <c r="K67" s="77">
        <f t="shared" si="14"/>
        <v>338516</v>
      </c>
      <c r="L67" s="77">
        <f t="shared" si="14"/>
        <v>323888</v>
      </c>
      <c r="M67" s="77">
        <f t="shared" si="14"/>
        <v>351002</v>
      </c>
      <c r="N67" s="77">
        <f t="shared" si="14"/>
        <v>352755</v>
      </c>
      <c r="O67" s="77">
        <f t="shared" si="14"/>
        <v>352583</v>
      </c>
      <c r="P67" s="77">
        <f t="shared" si="14"/>
        <v>364980</v>
      </c>
      <c r="Q67" s="77">
        <f t="shared" si="14"/>
        <v>359241</v>
      </c>
    </row>
    <row r="70" spans="1:20">
      <c r="A70" s="83" t="s">
        <v>84</v>
      </c>
      <c r="B70" s="84">
        <v>10.75</v>
      </c>
      <c r="C70" s="84">
        <v>14.46</v>
      </c>
      <c r="D70" s="84">
        <v>21.26</v>
      </c>
      <c r="E70" s="84">
        <v>18.670000000000002</v>
      </c>
      <c r="F70" s="84">
        <v>27</v>
      </c>
      <c r="G70" s="84">
        <v>29.88</v>
      </c>
      <c r="H70" s="84">
        <v>28.39</v>
      </c>
      <c r="I70" s="84">
        <v>42.26</v>
      </c>
      <c r="J70" s="84">
        <v>54.72</v>
      </c>
      <c r="K70" s="84">
        <v>62.19</v>
      </c>
      <c r="L70" s="84">
        <v>108.86</v>
      </c>
      <c r="M70" s="84">
        <v>149.80000000000001</v>
      </c>
      <c r="N70" s="84">
        <v>153.34</v>
      </c>
      <c r="O70" s="84">
        <v>170.77</v>
      </c>
      <c r="P70" s="84">
        <v>225.91</v>
      </c>
      <c r="Q70" s="84">
        <v>332.27</v>
      </c>
      <c r="T70" s="91">
        <f>(Q70/B70)^(1/15)-1</f>
        <v>0.25701032359250986</v>
      </c>
    </row>
    <row r="71" spans="1:20">
      <c r="A71" s="42" t="s">
        <v>2</v>
      </c>
      <c r="C71" s="91">
        <f>C70/B70-1</f>
        <v>0.3451162790697675</v>
      </c>
      <c r="D71" s="91">
        <f t="shared" ref="D71:Q71" si="15">D70/C70-1</f>
        <v>0.4702627939142463</v>
      </c>
      <c r="E71" s="91">
        <f t="shared" si="15"/>
        <v>-0.12182502351834434</v>
      </c>
      <c r="F71" s="91">
        <f t="shared" si="15"/>
        <v>0.44617032672737</v>
      </c>
      <c r="G71" s="91">
        <f t="shared" si="15"/>
        <v>0.10666666666666669</v>
      </c>
      <c r="H71" s="91">
        <f t="shared" si="15"/>
        <v>-4.986613119143235E-2</v>
      </c>
      <c r="I71" s="91">
        <f t="shared" si="15"/>
        <v>0.48855230715040499</v>
      </c>
      <c r="J71" s="91">
        <f t="shared" si="15"/>
        <v>0.2948414576431615</v>
      </c>
      <c r="K71" s="91">
        <f t="shared" si="15"/>
        <v>0.13651315789473673</v>
      </c>
      <c r="L71" s="91">
        <f t="shared" si="15"/>
        <v>0.75044219327866224</v>
      </c>
      <c r="M71" s="91">
        <f t="shared" si="15"/>
        <v>0.37607936799559072</v>
      </c>
      <c r="N71" s="91">
        <f t="shared" si="15"/>
        <v>2.3631508678237489E-2</v>
      </c>
      <c r="O71" s="91">
        <f t="shared" si="15"/>
        <v>0.11366897091430817</v>
      </c>
      <c r="P71" s="91">
        <f t="shared" si="15"/>
        <v>0.32289043743046197</v>
      </c>
      <c r="Q71" s="91">
        <f t="shared" si="15"/>
        <v>0.47080695852330567</v>
      </c>
    </row>
    <row r="74" spans="1:20" ht="24" customHeight="1">
      <c r="A74" s="78" t="s">
        <v>85</v>
      </c>
      <c r="B74" s="78"/>
      <c r="C74" s="85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</row>
    <row r="75" spans="1:20">
      <c r="A75" s="42" t="s">
        <v>86</v>
      </c>
      <c r="B75" s="86">
        <f t="shared" ref="B75:Q75" si="16">IFERROR(B70,"")</f>
        <v>10.75</v>
      </c>
      <c r="C75" s="86">
        <f t="shared" si="16"/>
        <v>14.46</v>
      </c>
      <c r="D75" s="86">
        <f t="shared" si="16"/>
        <v>21.26</v>
      </c>
      <c r="E75" s="86">
        <f t="shared" si="16"/>
        <v>18.670000000000002</v>
      </c>
      <c r="F75" s="86">
        <f t="shared" si="16"/>
        <v>27</v>
      </c>
      <c r="G75" s="86">
        <f t="shared" si="16"/>
        <v>29.88</v>
      </c>
      <c r="H75" s="86">
        <f t="shared" si="16"/>
        <v>28.39</v>
      </c>
      <c r="I75" s="86">
        <f t="shared" si="16"/>
        <v>42.26</v>
      </c>
      <c r="J75" s="86">
        <f t="shared" si="16"/>
        <v>54.72</v>
      </c>
      <c r="K75" s="86">
        <f t="shared" si="16"/>
        <v>62.19</v>
      </c>
      <c r="L75" s="86">
        <f t="shared" si="16"/>
        <v>108.86</v>
      </c>
      <c r="M75" s="86">
        <f t="shared" si="16"/>
        <v>149.80000000000001</v>
      </c>
      <c r="N75" s="86">
        <f t="shared" si="16"/>
        <v>153.34</v>
      </c>
      <c r="O75" s="86">
        <f t="shared" si="16"/>
        <v>170.77</v>
      </c>
      <c r="P75" s="86">
        <f t="shared" si="16"/>
        <v>225.91</v>
      </c>
      <c r="Q75" s="86">
        <f t="shared" si="16"/>
        <v>332.27</v>
      </c>
    </row>
    <row r="76" spans="1:20">
      <c r="A76" s="42" t="s">
        <v>87</v>
      </c>
      <c r="B76" s="86">
        <f t="shared" ref="B76:Q76" si="17">IFERROR(B20*1000/B23,"")</f>
        <v>15.408027392048696</v>
      </c>
      <c r="C76" s="86">
        <f t="shared" si="17"/>
        <v>28.046281449551966</v>
      </c>
      <c r="D76" s="86">
        <f t="shared" si="17"/>
        <v>44.642914449657582</v>
      </c>
      <c r="E76" s="86">
        <f t="shared" si="17"/>
        <v>40.025677298177627</v>
      </c>
      <c r="F76" s="86">
        <f t="shared" si="17"/>
        <v>6.4924053153918813</v>
      </c>
      <c r="G76" s="86">
        <f t="shared" si="17"/>
        <v>9.280391613963241</v>
      </c>
      <c r="H76" s="86">
        <f t="shared" si="17"/>
        <v>8.3510333003096431</v>
      </c>
      <c r="I76" s="86">
        <f t="shared" si="17"/>
        <v>9.2675402061088974</v>
      </c>
      <c r="J76" s="86">
        <f t="shared" si="17"/>
        <v>12.013414922820202</v>
      </c>
      <c r="K76" s="86">
        <f t="shared" si="17"/>
        <v>11.965783092246278</v>
      </c>
      <c r="L76" s="86">
        <f t="shared" si="17"/>
        <v>3.3085872682177895</v>
      </c>
      <c r="M76" s="86">
        <f t="shared" si="17"/>
        <v>5.6690292811230183</v>
      </c>
      <c r="N76" s="86">
        <f t="shared" si="17"/>
        <v>6.1546144376377772</v>
      </c>
      <c r="O76" s="86">
        <f t="shared" si="17"/>
        <v>6.1606692635543778</v>
      </c>
      <c r="P76" s="86">
        <f t="shared" si="17"/>
        <v>6.1090540709549916</v>
      </c>
      <c r="Q76" s="86">
        <f t="shared" si="17"/>
        <v>7.4930595042980901</v>
      </c>
    </row>
    <row r="77" spans="1:20">
      <c r="A77" s="42" t="s">
        <v>88</v>
      </c>
      <c r="B77" s="86">
        <f t="shared" ref="B77:Q77" si="18">IFERROR(B20*1000/B24,"")</f>
        <v>15.15390737872981</v>
      </c>
      <c r="C77" s="86">
        <f t="shared" si="18"/>
        <v>27.675373273759</v>
      </c>
      <c r="D77" s="86">
        <f t="shared" si="18"/>
        <v>44.145321069862646</v>
      </c>
      <c r="E77" s="86">
        <f t="shared" si="18"/>
        <v>39.753687496109102</v>
      </c>
      <c r="F77" s="86">
        <f t="shared" si="18"/>
        <v>6.4530744220284539</v>
      </c>
      <c r="G77" s="86">
        <f t="shared" si="18"/>
        <v>9.216876236067618</v>
      </c>
      <c r="H77" s="86">
        <f t="shared" si="18"/>
        <v>8.3063028961611227</v>
      </c>
      <c r="I77" s="86">
        <f t="shared" si="18"/>
        <v>9.2067470826545037</v>
      </c>
      <c r="J77" s="86">
        <f t="shared" si="18"/>
        <v>11.905940450498179</v>
      </c>
      <c r="K77" s="86">
        <f t="shared" si="18"/>
        <v>11.885789215672567</v>
      </c>
      <c r="L77" s="86">
        <f t="shared" si="18"/>
        <v>3.2753479618630856</v>
      </c>
      <c r="M77" s="86">
        <f t="shared" si="18"/>
        <v>5.6140204408927197</v>
      </c>
      <c r="N77" s="86">
        <f t="shared" si="18"/>
        <v>6.1132002014722815</v>
      </c>
      <c r="O77" s="86">
        <f t="shared" si="18"/>
        <v>6.1340529138031972</v>
      </c>
      <c r="P77" s="86">
        <f t="shared" si="18"/>
        <v>6.0835554297919376</v>
      </c>
      <c r="Q77" s="86">
        <f t="shared" si="18"/>
        <v>7.4649957943169394</v>
      </c>
    </row>
    <row r="78" spans="1:20">
      <c r="A78" s="42" t="s">
        <v>89</v>
      </c>
      <c r="B78" s="80">
        <f t="shared" ref="B78:Q78" si="19">IFERROR(B70/(B20*1000/B24),"")</f>
        <v>0.70938799686005849</v>
      </c>
      <c r="C78" s="80">
        <f t="shared" si="19"/>
        <v>0.52248617776406148</v>
      </c>
      <c r="D78" s="80">
        <f t="shared" si="19"/>
        <v>0.48159124194282704</v>
      </c>
      <c r="E78" s="80">
        <f t="shared" si="19"/>
        <v>0.46964196722196727</v>
      </c>
      <c r="F78" s="80">
        <f t="shared" si="19"/>
        <v>4.1840521640091115</v>
      </c>
      <c r="G78" s="80">
        <f t="shared" si="19"/>
        <v>3.2418792695808518</v>
      </c>
      <c r="H78" s="80">
        <f t="shared" si="19"/>
        <v>3.4178864357475871</v>
      </c>
      <c r="I78" s="80">
        <f t="shared" si="19"/>
        <v>4.5901119712105229</v>
      </c>
      <c r="J78" s="80">
        <f t="shared" si="19"/>
        <v>4.5960250034435841</v>
      </c>
      <c r="K78" s="80">
        <f t="shared" si="19"/>
        <v>5.2322987452946288</v>
      </c>
      <c r="L78" s="80">
        <f t="shared" si="19"/>
        <v>33.236163384020479</v>
      </c>
      <c r="M78" s="80">
        <f t="shared" si="19"/>
        <v>26.683194615547105</v>
      </c>
      <c r="N78" s="80">
        <f t="shared" si="19"/>
        <v>25.083425202248431</v>
      </c>
      <c r="O78" s="80">
        <f t="shared" si="19"/>
        <v>27.839668551884117</v>
      </c>
      <c r="P78" s="80">
        <f t="shared" si="19"/>
        <v>37.13453466597678</v>
      </c>
      <c r="Q78" s="80">
        <f t="shared" si="19"/>
        <v>44.510406858226943</v>
      </c>
    </row>
    <row r="79" spans="1:20">
      <c r="A79" s="42" t="s">
        <v>90</v>
      </c>
      <c r="B79" s="79">
        <f t="shared" ref="B79:Q79" si="20">IFERROR((B20*1000/B24)/B70,"")</f>
        <v>1.4096658026725406</v>
      </c>
      <c r="C79" s="79">
        <f t="shared" si="20"/>
        <v>1.9139262291672889</v>
      </c>
      <c r="D79" s="79">
        <f t="shared" si="20"/>
        <v>2.0764497210659756</v>
      </c>
      <c r="E79" s="79">
        <f t="shared" si="20"/>
        <v>2.129281601291328</v>
      </c>
      <c r="F79" s="79">
        <f t="shared" si="20"/>
        <v>0.23900275637142421</v>
      </c>
      <c r="G79" s="79">
        <f t="shared" si="20"/>
        <v>0.30846306010935803</v>
      </c>
      <c r="H79" s="79">
        <f t="shared" si="20"/>
        <v>0.29257847467985637</v>
      </c>
      <c r="I79" s="79">
        <f t="shared" si="20"/>
        <v>0.21785960914942035</v>
      </c>
      <c r="J79" s="79">
        <f t="shared" si="20"/>
        <v>0.21757932109828543</v>
      </c>
      <c r="K79" s="79">
        <f t="shared" si="20"/>
        <v>0.19112058555511444</v>
      </c>
      <c r="L79" s="79">
        <f t="shared" si="20"/>
        <v>3.0087708633686254E-2</v>
      </c>
      <c r="M79" s="79">
        <f t="shared" si="20"/>
        <v>3.7476771968576232E-2</v>
      </c>
      <c r="N79" s="79">
        <f t="shared" si="20"/>
        <v>3.986696361987923E-2</v>
      </c>
      <c r="O79" s="79">
        <f t="shared" si="20"/>
        <v>3.5919967873767035E-2</v>
      </c>
      <c r="P79" s="79">
        <f t="shared" si="20"/>
        <v>2.6929110839679242E-2</v>
      </c>
      <c r="Q79" s="79">
        <f t="shared" si="20"/>
        <v>2.2466656015640712E-2</v>
      </c>
    </row>
    <row r="80" spans="1:20">
      <c r="A80" s="42" t="s">
        <v>91</v>
      </c>
      <c r="B80" s="79">
        <f t="shared" ref="B80:Q80" si="21">IFERROR(B25/B70,"")</f>
        <v>0</v>
      </c>
      <c r="C80" s="79">
        <f t="shared" si="21"/>
        <v>0</v>
      </c>
      <c r="D80" s="79">
        <f t="shared" si="21"/>
        <v>1.7873941674506115E-2</v>
      </c>
      <c r="E80" s="79">
        <f t="shared" si="21"/>
        <v>8.7841456882699509E-2</v>
      </c>
      <c r="F80" s="79">
        <f t="shared" si="21"/>
        <v>6.7407407407407416E-2</v>
      </c>
      <c r="G80" s="79">
        <f t="shared" si="21"/>
        <v>6.6265060240963861E-2</v>
      </c>
      <c r="H80" s="79">
        <f t="shared" si="21"/>
        <v>7.6787601268052133E-2</v>
      </c>
      <c r="I80" s="79">
        <f t="shared" si="21"/>
        <v>5.6791292001893041E-2</v>
      </c>
      <c r="J80" s="79">
        <f t="shared" si="21"/>
        <v>0</v>
      </c>
      <c r="K80" s="79">
        <f t="shared" si="21"/>
        <v>0</v>
      </c>
      <c r="L80" s="79">
        <f t="shared" si="21"/>
        <v>0</v>
      </c>
      <c r="M80" s="79">
        <f t="shared" si="21"/>
        <v>0</v>
      </c>
      <c r="N80" s="79">
        <f t="shared" si="21"/>
        <v>0</v>
      </c>
      <c r="O80" s="79">
        <f t="shared" si="21"/>
        <v>0</v>
      </c>
      <c r="P80" s="79">
        <f t="shared" si="21"/>
        <v>0</v>
      </c>
      <c r="Q80" s="79">
        <f t="shared" si="21"/>
        <v>0</v>
      </c>
    </row>
    <row r="81" spans="1:17">
      <c r="A81" s="42" t="s">
        <v>92</v>
      </c>
      <c r="B81" s="79">
        <f t="shared" ref="B81:Q81" si="22">IFERROR(B25/(B20*1000/B24),"")</f>
        <v>0</v>
      </c>
      <c r="C81" s="79">
        <f t="shared" si="22"/>
        <v>0</v>
      </c>
      <c r="D81" s="79">
        <f t="shared" si="22"/>
        <v>8.6079337694390523E-3</v>
      </c>
      <c r="E81" s="79">
        <f t="shared" si="22"/>
        <v>4.1254034614034617E-2</v>
      </c>
      <c r="F81" s="79">
        <f t="shared" si="22"/>
        <v>0.28203610883320679</v>
      </c>
      <c r="G81" s="79">
        <f t="shared" si="22"/>
        <v>0.21482332509270705</v>
      </c>
      <c r="H81" s="79">
        <f t="shared" si="22"/>
        <v>0.2624513008076696</v>
      </c>
      <c r="I81" s="79">
        <f t="shared" si="22"/>
        <v>0.2606783892784017</v>
      </c>
      <c r="J81" s="79">
        <f t="shared" si="22"/>
        <v>0</v>
      </c>
      <c r="K81" s="79">
        <f t="shared" si="22"/>
        <v>0</v>
      </c>
      <c r="L81" s="79">
        <f t="shared" si="22"/>
        <v>0</v>
      </c>
      <c r="M81" s="79">
        <f t="shared" si="22"/>
        <v>0</v>
      </c>
      <c r="N81" s="79">
        <f t="shared" si="22"/>
        <v>0</v>
      </c>
      <c r="O81" s="79">
        <f t="shared" si="22"/>
        <v>0</v>
      </c>
      <c r="P81" s="79">
        <f t="shared" si="22"/>
        <v>0</v>
      </c>
      <c r="Q81" s="79">
        <f t="shared" si="22"/>
        <v>0</v>
      </c>
    </row>
    <row r="82" spans="1:17">
      <c r="A82" s="42" t="s">
        <v>93</v>
      </c>
      <c r="B82" s="79">
        <f t="shared" ref="B82:Q82" si="23">IFERROR(1-B25/(B20*1000/B24),"")</f>
        <v>1</v>
      </c>
      <c r="C82" s="79">
        <f t="shared" si="23"/>
        <v>1</v>
      </c>
      <c r="D82" s="79">
        <f t="shared" si="23"/>
        <v>0.99139206623056098</v>
      </c>
      <c r="E82" s="79">
        <f t="shared" si="23"/>
        <v>0.95874596538596535</v>
      </c>
      <c r="F82" s="79">
        <f t="shared" si="23"/>
        <v>0.71796389116679316</v>
      </c>
      <c r="G82" s="79">
        <f t="shared" si="23"/>
        <v>0.78517667490729293</v>
      </c>
      <c r="H82" s="79">
        <f t="shared" si="23"/>
        <v>0.73754869919233035</v>
      </c>
      <c r="I82" s="79">
        <f t="shared" si="23"/>
        <v>0.7393216107215983</v>
      </c>
      <c r="J82" s="79">
        <f t="shared" si="23"/>
        <v>1</v>
      </c>
      <c r="K82" s="79">
        <f t="shared" si="23"/>
        <v>1</v>
      </c>
      <c r="L82" s="79">
        <f t="shared" si="23"/>
        <v>1</v>
      </c>
      <c r="M82" s="79">
        <f t="shared" si="23"/>
        <v>1</v>
      </c>
      <c r="N82" s="79">
        <f t="shared" si="23"/>
        <v>1</v>
      </c>
      <c r="O82" s="79">
        <f t="shared" si="23"/>
        <v>1</v>
      </c>
      <c r="P82" s="79">
        <f t="shared" si="23"/>
        <v>1</v>
      </c>
      <c r="Q82" s="79">
        <f t="shared" si="23"/>
        <v>1</v>
      </c>
    </row>
    <row r="83" spans="1:17">
      <c r="A83" s="42" t="s">
        <v>94</v>
      </c>
      <c r="B83" s="86">
        <f t="shared" ref="B83:Q83" si="24">IFERROR(B66*1000/B24,"")</f>
        <v>51.682037218074385</v>
      </c>
      <c r="C83" s="86">
        <f t="shared" si="24"/>
        <v>81.797265773051691</v>
      </c>
      <c r="D83" s="86">
        <f t="shared" si="24"/>
        <v>125.04297327458997</v>
      </c>
      <c r="E83" s="86">
        <f t="shared" si="24"/>
        <v>132.61139769573086</v>
      </c>
      <c r="F83" s="86">
        <f t="shared" si="24"/>
        <v>18.218706468084232</v>
      </c>
      <c r="G83" s="86">
        <f t="shared" si="24"/>
        <v>20.603068943249252</v>
      </c>
      <c r="H83" s="86">
        <f t="shared" si="24"/>
        <v>23.316808723045241</v>
      </c>
      <c r="I83" s="86">
        <f t="shared" si="24"/>
        <v>25.524535711538299</v>
      </c>
      <c r="J83" s="86">
        <f t="shared" si="24"/>
        <v>21.428932849263887</v>
      </c>
      <c r="K83" s="86">
        <f t="shared" si="24"/>
        <v>19.464334996159316</v>
      </c>
      <c r="L83" s="86">
        <f t="shared" si="24"/>
        <v>3.7276473233382479</v>
      </c>
      <c r="M83" s="86">
        <f t="shared" si="24"/>
        <v>3.740901453484597</v>
      </c>
      <c r="N83" s="86">
        <f t="shared" si="24"/>
        <v>3.1037952827971447</v>
      </c>
      <c r="O83" s="86">
        <f t="shared" si="24"/>
        <v>3.9301701364112942</v>
      </c>
      <c r="P83" s="86">
        <f t="shared" si="24"/>
        <v>3.6961090907084881</v>
      </c>
      <c r="Q83" s="86">
        <f t="shared" si="24"/>
        <v>4.9139945978249342</v>
      </c>
    </row>
    <row r="84" spans="1:17">
      <c r="A84" s="42" t="s">
        <v>95</v>
      </c>
      <c r="B84" s="80">
        <f t="shared" ref="B84:Q84" si="25">IFERROR(B70/(B66*1000/B24),"")</f>
        <v>0.2080026364796719</v>
      </c>
      <c r="C84" s="80">
        <f t="shared" si="25"/>
        <v>0.17677852509299746</v>
      </c>
      <c r="D84" s="80">
        <f t="shared" si="25"/>
        <v>0.1700215489383301</v>
      </c>
      <c r="E84" s="80">
        <f t="shared" si="25"/>
        <v>0.14078729524318287</v>
      </c>
      <c r="F84" s="80">
        <f t="shared" si="25"/>
        <v>1.4819932494822809</v>
      </c>
      <c r="G84" s="80">
        <f t="shared" si="25"/>
        <v>1.4502693789116501</v>
      </c>
      <c r="H84" s="80">
        <f t="shared" si="25"/>
        <v>1.2175765704995751</v>
      </c>
      <c r="I84" s="80">
        <f t="shared" si="25"/>
        <v>1.6556618493513469</v>
      </c>
      <c r="J84" s="80">
        <f t="shared" si="25"/>
        <v>2.5535569309453368</v>
      </c>
      <c r="K84" s="80">
        <f t="shared" si="25"/>
        <v>3.1950744791574572</v>
      </c>
      <c r="L84" s="80">
        <f t="shared" si="25"/>
        <v>29.203406480662391</v>
      </c>
      <c r="M84" s="80">
        <f t="shared" si="25"/>
        <v>40.043824159137742</v>
      </c>
      <c r="N84" s="80">
        <f t="shared" si="25"/>
        <v>49.404031525497317</v>
      </c>
      <c r="O84" s="80">
        <f t="shared" si="25"/>
        <v>43.451045138705631</v>
      </c>
      <c r="P84" s="80">
        <f t="shared" si="25"/>
        <v>61.12103145654082</v>
      </c>
      <c r="Q84" s="80">
        <f t="shared" si="25"/>
        <v>67.617086951432867</v>
      </c>
    </row>
    <row r="85" spans="1:17">
      <c r="A85" s="42" t="s">
        <v>96</v>
      </c>
      <c r="B85" s="80">
        <f t="shared" ref="B85:Q85" si="26">IFERROR(B70/(B4*1000/B24),"")</f>
        <v>0.15240558068225374</v>
      </c>
      <c r="C85" s="80">
        <f t="shared" si="26"/>
        <v>0.12511789208214397</v>
      </c>
      <c r="D85" s="80">
        <f t="shared" si="26"/>
        <v>0.12841674099726533</v>
      </c>
      <c r="E85" s="80">
        <f t="shared" si="26"/>
        <v>0.10177362085308057</v>
      </c>
      <c r="F85" s="80">
        <f t="shared" si="26"/>
        <v>0.904356798599524</v>
      </c>
      <c r="G85" s="80">
        <f t="shared" si="26"/>
        <v>0.74063240151466525</v>
      </c>
      <c r="H85" s="80">
        <f t="shared" si="26"/>
        <v>0.7241407054846295</v>
      </c>
      <c r="I85" s="80">
        <f t="shared" si="26"/>
        <v>0.96816573422790686</v>
      </c>
      <c r="J85" s="80">
        <f t="shared" si="26"/>
        <v>1.0301623316704005</v>
      </c>
      <c r="K85" s="80">
        <f t="shared" si="26"/>
        <v>1.1112405523611122</v>
      </c>
      <c r="L85" s="80">
        <f t="shared" si="26"/>
        <v>6.9508820138790224</v>
      </c>
      <c r="M85" s="80">
        <f t="shared" si="26"/>
        <v>6.9060892910936342</v>
      </c>
      <c r="N85" s="80">
        <f t="shared" si="26"/>
        <v>6.3485247952465969</v>
      </c>
      <c r="O85" s="80">
        <f t="shared" si="26"/>
        <v>7.0451717421500977</v>
      </c>
      <c r="P85" s="80">
        <f t="shared" si="26"/>
        <v>8.9016142837597663</v>
      </c>
      <c r="Q85" s="80">
        <f t="shared" si="26"/>
        <v>11.980004546773964</v>
      </c>
    </row>
    <row r="86" spans="1:17">
      <c r="A86" s="42" t="s">
        <v>97</v>
      </c>
      <c r="B86" s="81">
        <f t="shared" ref="B86:Q86" si="27">IFERROR(B70*B24/1000,"")</f>
        <v>9940.6540000000005</v>
      </c>
      <c r="C86" s="81">
        <f t="shared" si="27"/>
        <v>13543.886700000001</v>
      </c>
      <c r="D86" s="81">
        <f t="shared" si="27"/>
        <v>20098.247299999999</v>
      </c>
      <c r="E86" s="81">
        <f t="shared" si="27"/>
        <v>17394.129540000002</v>
      </c>
      <c r="F86" s="81">
        <f t="shared" si="27"/>
        <v>165311.90100000001</v>
      </c>
      <c r="G86" s="81">
        <f t="shared" si="27"/>
        <v>173096.90171999999</v>
      </c>
      <c r="H86" s="81">
        <f t="shared" si="27"/>
        <v>156152.97758999999</v>
      </c>
      <c r="I86" s="81">
        <f t="shared" si="27"/>
        <v>221936.50391999999</v>
      </c>
      <c r="J86" s="81">
        <f t="shared" si="27"/>
        <v>273605.96448000002</v>
      </c>
      <c r="K86" s="81">
        <f t="shared" si="27"/>
        <v>289115.89946999995</v>
      </c>
      <c r="L86" s="81">
        <f t="shared" si="27"/>
        <v>1908121.37604</v>
      </c>
      <c r="M86" s="81">
        <f t="shared" si="27"/>
        <v>2526364.8662000005</v>
      </c>
      <c r="N86" s="81">
        <f t="shared" si="27"/>
        <v>2503401.0854600002</v>
      </c>
      <c r="O86" s="81">
        <f t="shared" si="27"/>
        <v>2700308.6511900001</v>
      </c>
      <c r="P86" s="81">
        <f t="shared" si="27"/>
        <v>3480842.7414499996</v>
      </c>
      <c r="Q86" s="81">
        <f t="shared" si="27"/>
        <v>4985610.6721899994</v>
      </c>
    </row>
    <row r="87" spans="1:17">
      <c r="A87" s="42" t="s">
        <v>98</v>
      </c>
      <c r="B87" s="80">
        <f t="shared" ref="B87:Q87" si="28">IFERROR((B70*B24/1000)/B45,"")</f>
        <v>0.13221943790484553</v>
      </c>
      <c r="C87" s="80">
        <f t="shared" si="28"/>
        <v>0.1163854113138153</v>
      </c>
      <c r="D87" s="80">
        <f t="shared" si="28"/>
        <v>0.11415307672210105</v>
      </c>
      <c r="E87" s="80">
        <f t="shared" si="28"/>
        <v>8.4029611304347829E-2</v>
      </c>
      <c r="F87" s="80">
        <f t="shared" si="28"/>
        <v>0.71304612683802127</v>
      </c>
      <c r="G87" s="80">
        <f t="shared" si="28"/>
        <v>0.59590160293859451</v>
      </c>
      <c r="H87" s="80">
        <f t="shared" si="28"/>
        <v>0.48542049573186274</v>
      </c>
      <c r="I87" s="80">
        <f t="shared" si="28"/>
        <v>0.59132765439532764</v>
      </c>
      <c r="J87" s="80">
        <f t="shared" si="28"/>
        <v>0.74811939156470031</v>
      </c>
      <c r="K87" s="80">
        <f t="shared" si="28"/>
        <v>0.85406863920760012</v>
      </c>
      <c r="L87" s="80">
        <f t="shared" si="28"/>
        <v>5.8913000050634787</v>
      </c>
      <c r="M87" s="80">
        <f t="shared" si="28"/>
        <v>7.19757968957442</v>
      </c>
      <c r="N87" s="80">
        <f t="shared" si="28"/>
        <v>7.0967132583804631</v>
      </c>
      <c r="O87" s="80">
        <f t="shared" si="28"/>
        <v>7.6586467617270264</v>
      </c>
      <c r="P87" s="80">
        <f t="shared" si="28"/>
        <v>9.5370780356457878</v>
      </c>
      <c r="Q87" s="80">
        <f t="shared" si="28"/>
        <v>13.878178359903238</v>
      </c>
    </row>
    <row r="88" spans="1:17">
      <c r="A88" s="42" t="s">
        <v>99</v>
      </c>
      <c r="B88" s="79" t="str">
        <f>""</f>
        <v/>
      </c>
      <c r="C88" s="79">
        <f t="shared" ref="C88:Q88" si="29">IFERROR((C20/AVERAGE(B66:C66))*(1-C25/(C20*1000/C24)),"")</f>
        <v>0.41673231194636917</v>
      </c>
      <c r="D88" s="79">
        <f t="shared" si="29"/>
        <v>0.42472747440010267</v>
      </c>
      <c r="E88" s="79">
        <f t="shared" si="29"/>
        <v>0.29375596623083317</v>
      </c>
      <c r="F88" s="79">
        <f t="shared" si="29"/>
        <v>0.2413205953312689</v>
      </c>
      <c r="G88" s="79">
        <f t="shared" si="29"/>
        <v>0.3631300151579458</v>
      </c>
      <c r="H88" s="79">
        <f t="shared" si="29"/>
        <v>0.27217966931067344</v>
      </c>
      <c r="I88" s="79">
        <f t="shared" si="29"/>
        <v>0.27256945740689908</v>
      </c>
      <c r="J88" s="79">
        <f t="shared" si="29"/>
        <v>0.49363582842027581</v>
      </c>
      <c r="K88" s="79">
        <f t="shared" si="29"/>
        <v>0.55917221139980267</v>
      </c>
      <c r="L88" s="79">
        <f t="shared" si="29"/>
        <v>0.73685561552234213</v>
      </c>
      <c r="M88" s="79">
        <f t="shared" si="29"/>
        <v>1.4744333444938449</v>
      </c>
      <c r="N88" s="79">
        <f t="shared" si="29"/>
        <v>1.7545929220653644</v>
      </c>
      <c r="O88" s="79">
        <f t="shared" si="29"/>
        <v>1.7194951160275842</v>
      </c>
      <c r="P88" s="79">
        <f t="shared" si="29"/>
        <v>1.5741250755692886</v>
      </c>
      <c r="Q88" s="79">
        <f t="shared" si="29"/>
        <v>1.7142244974480232</v>
      </c>
    </row>
    <row r="89" spans="1:17">
      <c r="A89" s="42" t="s">
        <v>55</v>
      </c>
      <c r="B89" s="79" t="str">
        <f>""</f>
        <v/>
      </c>
      <c r="C89" s="79">
        <f t="shared" ref="C89:Q89" si="30">IFERROR(C4/B4-1,"")</f>
        <v>0.65962437715599842</v>
      </c>
      <c r="D89" s="79">
        <f t="shared" si="30"/>
        <v>0.44581474193756976</v>
      </c>
      <c r="E89" s="79">
        <f t="shared" si="30"/>
        <v>9.2020855163953197E-2</v>
      </c>
      <c r="F89" s="79">
        <f t="shared" si="30"/>
        <v>6.9539523725937524E-2</v>
      </c>
      <c r="G89" s="79">
        <f t="shared" si="30"/>
        <v>0.27856341803659834</v>
      </c>
      <c r="H89" s="79">
        <f t="shared" si="30"/>
        <v>-7.7342061913013738E-2</v>
      </c>
      <c r="I89" s="79">
        <f t="shared" si="30"/>
        <v>6.304518199398057E-2</v>
      </c>
      <c r="J89" s="79">
        <f t="shared" si="30"/>
        <v>0.15861957650261305</v>
      </c>
      <c r="K89" s="79">
        <f t="shared" si="30"/>
        <v>-2.04107758052674E-2</v>
      </c>
      <c r="L89" s="79">
        <f t="shared" si="30"/>
        <v>5.5120803769784787E-2</v>
      </c>
      <c r="M89" s="79">
        <f t="shared" si="30"/>
        <v>0.33259384733074704</v>
      </c>
      <c r="N89" s="79">
        <f t="shared" si="30"/>
        <v>7.7937876041846099E-2</v>
      </c>
      <c r="O89" s="79">
        <f t="shared" si="30"/>
        <v>-2.800460530319937E-2</v>
      </c>
      <c r="P89" s="79">
        <f t="shared" si="30"/>
        <v>2.021994077514111E-2</v>
      </c>
      <c r="Q89" s="79">
        <f t="shared" si="30"/>
        <v>6.425511782832749E-2</v>
      </c>
    </row>
    <row r="90" spans="1:17">
      <c r="A90" s="42" t="s">
        <v>100</v>
      </c>
      <c r="B90" s="79" t="str">
        <f>""</f>
        <v/>
      </c>
      <c r="C90" s="79">
        <f t="shared" ref="C90:Q90" si="31">IFERROR(C20/B20-1,"")</f>
        <v>0.84985370727181908</v>
      </c>
      <c r="D90" s="79">
        <f t="shared" si="31"/>
        <v>0.60994522027621323</v>
      </c>
      <c r="E90" s="79">
        <f t="shared" si="31"/>
        <v>-0.11252486042220788</v>
      </c>
      <c r="F90" s="79">
        <f t="shared" si="31"/>
        <v>6.6771066771066812E-2</v>
      </c>
      <c r="G90" s="79">
        <f t="shared" si="31"/>
        <v>0.3514047076689446</v>
      </c>
      <c r="H90" s="79">
        <f t="shared" si="31"/>
        <v>-0.14434206090571977</v>
      </c>
      <c r="I90" s="79">
        <f t="shared" si="31"/>
        <v>5.830980366406191E-2</v>
      </c>
      <c r="J90" s="79">
        <f t="shared" si="31"/>
        <v>0.23122582780087275</v>
      </c>
      <c r="K90" s="79">
        <f t="shared" si="31"/>
        <v>-7.1811325191916797E-2</v>
      </c>
      <c r="L90" s="79">
        <f t="shared" si="31"/>
        <v>3.9000289561314627E-2</v>
      </c>
      <c r="M90" s="79">
        <f t="shared" si="31"/>
        <v>0.64916131055024295</v>
      </c>
      <c r="N90" s="79">
        <f t="shared" si="31"/>
        <v>5.410857625686516E-2</v>
      </c>
      <c r="O90" s="79">
        <f t="shared" si="31"/>
        <v>-2.8135426790777851E-2</v>
      </c>
      <c r="P90" s="79">
        <f t="shared" si="31"/>
        <v>-3.3599670086086886E-2</v>
      </c>
      <c r="Q90" s="79">
        <f t="shared" si="31"/>
        <v>0.19495177946573361</v>
      </c>
    </row>
    <row r="91" spans="1:17">
      <c r="A91" s="42" t="s">
        <v>101</v>
      </c>
      <c r="B91" s="79" t="str">
        <f>""</f>
        <v/>
      </c>
      <c r="C91" s="79">
        <f t="shared" ref="C91:Q91" si="32">IFERROR((C20/C24)/(B20/B24)-1,"")</f>
        <v>0.82628628921174863</v>
      </c>
      <c r="D91" s="79">
        <f t="shared" si="32"/>
        <v>0.59511203817149516</v>
      </c>
      <c r="E91" s="79">
        <f t="shared" si="32"/>
        <v>-9.9481291953988027E-2</v>
      </c>
      <c r="F91" s="79">
        <f t="shared" si="32"/>
        <v>-0.83767356367481505</v>
      </c>
      <c r="G91" s="79">
        <f t="shared" si="32"/>
        <v>0.42829225781195812</v>
      </c>
      <c r="H91" s="79">
        <f t="shared" si="32"/>
        <v>-9.8794137686608385E-2</v>
      </c>
      <c r="I91" s="79">
        <f t="shared" si="32"/>
        <v>0.10840493029811538</v>
      </c>
      <c r="J91" s="79">
        <f t="shared" si="32"/>
        <v>0.29317557478351408</v>
      </c>
      <c r="K91" s="79">
        <f t="shared" si="32"/>
        <v>-1.6925361679235307E-3</v>
      </c>
      <c r="L91" s="79">
        <f t="shared" si="32"/>
        <v>-0.72443159621708408</v>
      </c>
      <c r="M91" s="79">
        <f t="shared" si="32"/>
        <v>0.71402260347915791</v>
      </c>
      <c r="N91" s="79">
        <f t="shared" si="32"/>
        <v>8.8916626833689394E-2</v>
      </c>
      <c r="O91" s="79">
        <f t="shared" si="32"/>
        <v>3.4110959307194211E-3</v>
      </c>
      <c r="P91" s="79">
        <f t="shared" si="32"/>
        <v>-8.2323195969874474E-3</v>
      </c>
      <c r="Q91" s="79">
        <f t="shared" si="32"/>
        <v>0.22707779693432473</v>
      </c>
    </row>
    <row r="100" spans="1:1">
      <c r="A100" s="42" t="s">
        <v>102</v>
      </c>
    </row>
  </sheetData>
  <mergeCells count="1">
    <mergeCell ref="A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Vertical Analysis</vt:lpstr>
      <vt:lpstr>Horizontal Analysis</vt:lpstr>
      <vt:lpstr>Common Size</vt:lpstr>
      <vt:lpstr>Index Analysis</vt:lpstr>
      <vt:lpstr>Financial Analyst</vt:lpstr>
      <vt:lpstr>Investment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Choga</dc:creator>
  <cp:lastModifiedBy>Simba Choga</cp:lastModifiedBy>
  <dcterms:created xsi:type="dcterms:W3CDTF">2015-06-05T18:17:20Z</dcterms:created>
  <dcterms:modified xsi:type="dcterms:W3CDTF">2026-10-19T18:28:56Z</dcterms:modified>
</cp:coreProperties>
</file>