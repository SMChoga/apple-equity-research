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Simba\U.S Companies - Equity Reseach\Technology Hardware &amp; Equipment Sector\Technology Hardware, Storage &amp; Peripherals Industry\Apple - Research Excel Documents\"/>
    </mc:Choice>
  </mc:AlternateContent>
  <xr:revisionPtr revIDLastSave="0" documentId="13_ncr:1_{9058CF3F-97D0-41E7-8353-70ABE0305DEF}" xr6:coauthVersionLast="47" xr6:coauthVersionMax="47" xr10:uidLastSave="{00000000-0000-0000-0000-000000000000}"/>
  <bookViews>
    <workbookView xWindow="-108" yWindow="-108" windowWidth="23256" windowHeight="13176" firstSheet="1" activeTab="5" xr2:uid="{00000000-000D-0000-FFFF-FFFF00000000}"/>
  </bookViews>
  <sheets>
    <sheet name="Vertical Analysis" sheetId="2" r:id="rId1"/>
    <sheet name="Horizontal Analysis" sheetId="1" r:id="rId2"/>
    <sheet name="Common Size" sheetId="5" r:id="rId3"/>
    <sheet name="Index Analysis" sheetId="4" r:id="rId4"/>
    <sheet name="Financial Analyst" sheetId="6" r:id="rId5"/>
    <sheet name="Investment Ratios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1" i="7" l="1"/>
  <c r="B90" i="7"/>
  <c r="Q89" i="7"/>
  <c r="P89" i="7"/>
  <c r="O89" i="7"/>
  <c r="N89" i="7"/>
  <c r="M89" i="7"/>
  <c r="L89" i="7"/>
  <c r="K89" i="7"/>
  <c r="J89" i="7"/>
  <c r="I89" i="7"/>
  <c r="H89" i="7"/>
  <c r="G89" i="7"/>
  <c r="F89" i="7"/>
  <c r="E89" i="7"/>
  <c r="D89" i="7"/>
  <c r="C89" i="7"/>
  <c r="B89" i="7"/>
  <c r="B88" i="7"/>
  <c r="P87" i="7"/>
  <c r="Q86" i="7"/>
  <c r="P86" i="7"/>
  <c r="O86" i="7"/>
  <c r="N86" i="7"/>
  <c r="M86" i="7"/>
  <c r="L86" i="7"/>
  <c r="K86" i="7"/>
  <c r="J86" i="7"/>
  <c r="I86" i="7"/>
  <c r="H86" i="7"/>
  <c r="G86" i="7"/>
  <c r="F86" i="7"/>
  <c r="E86" i="7"/>
  <c r="D86" i="7"/>
  <c r="C86" i="7"/>
  <c r="B86" i="7"/>
  <c r="Q85" i="7"/>
  <c r="P85" i="7"/>
  <c r="O85" i="7"/>
  <c r="N85" i="7"/>
  <c r="M85" i="7"/>
  <c r="L85" i="7"/>
  <c r="K85" i="7"/>
  <c r="J85" i="7"/>
  <c r="I85" i="7"/>
  <c r="H85" i="7"/>
  <c r="G85" i="7"/>
  <c r="F85" i="7"/>
  <c r="E85" i="7"/>
  <c r="D85" i="7"/>
  <c r="C85" i="7"/>
  <c r="B85" i="7"/>
  <c r="Q84" i="7"/>
  <c r="P84" i="7"/>
  <c r="O84" i="7"/>
  <c r="J84" i="7"/>
  <c r="E84" i="7"/>
  <c r="D84" i="7"/>
  <c r="C84" i="7"/>
  <c r="Q83" i="7"/>
  <c r="P83" i="7"/>
  <c r="O83" i="7"/>
  <c r="N83" i="7"/>
  <c r="J83" i="7"/>
  <c r="I83" i="7"/>
  <c r="H83" i="7"/>
  <c r="E83" i="7"/>
  <c r="D83" i="7"/>
  <c r="C83" i="7"/>
  <c r="B83" i="7"/>
  <c r="Q80" i="7"/>
  <c r="P80" i="7"/>
  <c r="O80" i="7"/>
  <c r="N80" i="7"/>
  <c r="M80" i="7"/>
  <c r="L80" i="7"/>
  <c r="K80" i="7"/>
  <c r="J80" i="7"/>
  <c r="I80" i="7"/>
  <c r="H80" i="7"/>
  <c r="G80" i="7"/>
  <c r="F80" i="7"/>
  <c r="E80" i="7"/>
  <c r="D80" i="7"/>
  <c r="C80" i="7"/>
  <c r="B80" i="7"/>
  <c r="H77" i="7"/>
  <c r="Q75" i="7"/>
  <c r="P75" i="7"/>
  <c r="O75" i="7"/>
  <c r="N75" i="7"/>
  <c r="M75" i="7"/>
  <c r="L75" i="7"/>
  <c r="K75" i="7"/>
  <c r="J75" i="7"/>
  <c r="I75" i="7"/>
  <c r="H75" i="7"/>
  <c r="G75" i="7"/>
  <c r="F75" i="7"/>
  <c r="E75" i="7"/>
  <c r="D75" i="7"/>
  <c r="C75" i="7"/>
  <c r="B75" i="7"/>
  <c r="Q66" i="7"/>
  <c r="P66" i="7"/>
  <c r="O66" i="7"/>
  <c r="N66" i="7"/>
  <c r="N84" i="7" s="1"/>
  <c r="M66" i="7"/>
  <c r="L66" i="7"/>
  <c r="K66" i="7"/>
  <c r="J66" i="7"/>
  <c r="I66" i="7"/>
  <c r="I84" i="7" s="1"/>
  <c r="H66" i="7"/>
  <c r="H84" i="7" s="1"/>
  <c r="G66" i="7"/>
  <c r="G84" i="7" s="1"/>
  <c r="F66" i="7"/>
  <c r="E66" i="7"/>
  <c r="D66" i="7"/>
  <c r="C66" i="7"/>
  <c r="B66" i="7"/>
  <c r="B84" i="7" s="1"/>
  <c r="Q60" i="7"/>
  <c r="Q67" i="7" s="1"/>
  <c r="P60" i="7"/>
  <c r="P67" i="7" s="1"/>
  <c r="J60" i="7"/>
  <c r="J67" i="7" s="1"/>
  <c r="E60" i="7"/>
  <c r="E67" i="7" s="1"/>
  <c r="D60" i="7"/>
  <c r="D67" i="7" s="1"/>
  <c r="Q59" i="7"/>
  <c r="P59" i="7"/>
  <c r="O59" i="7"/>
  <c r="O60" i="7" s="1"/>
  <c r="O67" i="7" s="1"/>
  <c r="N59" i="7"/>
  <c r="M59" i="7"/>
  <c r="L59" i="7"/>
  <c r="K59" i="7"/>
  <c r="J59" i="7"/>
  <c r="I59" i="7"/>
  <c r="H59" i="7"/>
  <c r="G59" i="7"/>
  <c r="F59" i="7"/>
  <c r="E59" i="7"/>
  <c r="D59" i="7"/>
  <c r="C59" i="7"/>
  <c r="C60" i="7" s="1"/>
  <c r="C67" i="7" s="1"/>
  <c r="B59" i="7"/>
  <c r="Q54" i="7"/>
  <c r="P54" i="7"/>
  <c r="O54" i="7"/>
  <c r="N54" i="7"/>
  <c r="M54" i="7"/>
  <c r="M60" i="7" s="1"/>
  <c r="M67" i="7" s="1"/>
  <c r="L54" i="7"/>
  <c r="L60" i="7" s="1"/>
  <c r="L67" i="7" s="1"/>
  <c r="K54" i="7"/>
  <c r="K60" i="7" s="1"/>
  <c r="K67" i="7" s="1"/>
  <c r="J54" i="7"/>
  <c r="I54" i="7"/>
  <c r="H54" i="7"/>
  <c r="G54" i="7"/>
  <c r="F54" i="7"/>
  <c r="F60" i="7" s="1"/>
  <c r="F67" i="7" s="1"/>
  <c r="E54" i="7"/>
  <c r="D54" i="7"/>
  <c r="C54" i="7"/>
  <c r="B54" i="7"/>
  <c r="Q45" i="7"/>
  <c r="Q87" i="7" s="1"/>
  <c r="P45" i="7"/>
  <c r="O45" i="7"/>
  <c r="O87" i="7" s="1"/>
  <c r="J45" i="7"/>
  <c r="J87" i="7" s="1"/>
  <c r="E45" i="7"/>
  <c r="E87" i="7" s="1"/>
  <c r="D45" i="7"/>
  <c r="D87" i="7" s="1"/>
  <c r="C45" i="7"/>
  <c r="C87" i="7" s="1"/>
  <c r="Q44" i="7"/>
  <c r="P44" i="7"/>
  <c r="O44" i="7"/>
  <c r="N44" i="7"/>
  <c r="M44" i="7"/>
  <c r="L44" i="7"/>
  <c r="K44" i="7"/>
  <c r="J44" i="7"/>
  <c r="I44" i="7"/>
  <c r="H44" i="7"/>
  <c r="G44" i="7"/>
  <c r="F44" i="7"/>
  <c r="E44" i="7"/>
  <c r="D44" i="7"/>
  <c r="C44" i="7"/>
  <c r="B44" i="7"/>
  <c r="Q36" i="7"/>
  <c r="P36" i="7"/>
  <c r="O36" i="7"/>
  <c r="N36" i="7"/>
  <c r="M36" i="7"/>
  <c r="M45" i="7" s="1"/>
  <c r="M87" i="7" s="1"/>
  <c r="L36" i="7"/>
  <c r="L45" i="7" s="1"/>
  <c r="L87" i="7" s="1"/>
  <c r="K36" i="7"/>
  <c r="K45" i="7" s="1"/>
  <c r="K87" i="7" s="1"/>
  <c r="J36" i="7"/>
  <c r="I36" i="7"/>
  <c r="H36" i="7"/>
  <c r="G36" i="7"/>
  <c r="F36" i="7"/>
  <c r="F45" i="7" s="1"/>
  <c r="F87" i="7" s="1"/>
  <c r="E36" i="7"/>
  <c r="D36" i="7"/>
  <c r="C36" i="7"/>
  <c r="B36" i="7"/>
  <c r="N18" i="7"/>
  <c r="N20" i="7" s="1"/>
  <c r="I18" i="7"/>
  <c r="I20" i="7" s="1"/>
  <c r="H18" i="7"/>
  <c r="H20" i="7" s="1"/>
  <c r="C18" i="7"/>
  <c r="C20" i="7" s="1"/>
  <c r="B18" i="7"/>
  <c r="B20" i="7" s="1"/>
  <c r="Q15" i="7"/>
  <c r="P15" i="7"/>
  <c r="O15" i="7"/>
  <c r="N15" i="7"/>
  <c r="M15" i="7"/>
  <c r="L15" i="7"/>
  <c r="K15" i="7"/>
  <c r="J15" i="7"/>
  <c r="I15" i="7"/>
  <c r="H15" i="7"/>
  <c r="G15" i="7"/>
  <c r="F15" i="7"/>
  <c r="E15" i="7"/>
  <c r="D15" i="7"/>
  <c r="C15" i="7"/>
  <c r="B15" i="7"/>
  <c r="K12" i="7"/>
  <c r="C12" i="7"/>
  <c r="O11" i="7"/>
  <c r="O18" i="7" s="1"/>
  <c r="O20" i="7" s="1"/>
  <c r="N11" i="7"/>
  <c r="I11" i="7"/>
  <c r="I12" i="7" s="1"/>
  <c r="H11" i="7"/>
  <c r="C11" i="7"/>
  <c r="B11" i="7"/>
  <c r="B12" i="7" s="1"/>
  <c r="Q10" i="7"/>
  <c r="P10" i="7"/>
  <c r="O10" i="7"/>
  <c r="N10" i="7"/>
  <c r="M10" i="7"/>
  <c r="L10" i="7"/>
  <c r="K10" i="7"/>
  <c r="J10" i="7"/>
  <c r="I10" i="7"/>
  <c r="H10" i="7"/>
  <c r="G10" i="7"/>
  <c r="G11" i="7" s="1"/>
  <c r="F10" i="7"/>
  <c r="E10" i="7"/>
  <c r="D10" i="7"/>
  <c r="C10" i="7"/>
  <c r="B10" i="7"/>
  <c r="Q6" i="7"/>
  <c r="Q11" i="7" s="1"/>
  <c r="Q18" i="7" s="1"/>
  <c r="Q20" i="7" s="1"/>
  <c r="P6" i="7"/>
  <c r="P11" i="7" s="1"/>
  <c r="P18" i="7" s="1"/>
  <c r="P20" i="7" s="1"/>
  <c r="O6" i="7"/>
  <c r="N6" i="7"/>
  <c r="M6" i="7"/>
  <c r="L6" i="7"/>
  <c r="K6" i="7"/>
  <c r="K11" i="7" s="1"/>
  <c r="J6" i="7"/>
  <c r="J11" i="7" s="1"/>
  <c r="J18" i="7" s="1"/>
  <c r="J20" i="7" s="1"/>
  <c r="I6" i="7"/>
  <c r="H6" i="7"/>
  <c r="G6" i="7"/>
  <c r="F6" i="7"/>
  <c r="E6" i="7"/>
  <c r="E11" i="7" s="1"/>
  <c r="E18" i="7" s="1"/>
  <c r="E20" i="7" s="1"/>
  <c r="D6" i="7"/>
  <c r="D11" i="7" s="1"/>
  <c r="D18" i="7" s="1"/>
  <c r="D20" i="7" s="1"/>
  <c r="C6" i="7"/>
  <c r="B6" i="7"/>
  <c r="M106" i="6"/>
  <c r="K106" i="6"/>
  <c r="J106" i="6"/>
  <c r="I106" i="6"/>
  <c r="H106" i="6"/>
  <c r="G106" i="6"/>
  <c r="F106" i="6"/>
  <c r="J105" i="6"/>
  <c r="M103" i="6"/>
  <c r="K103" i="6"/>
  <c r="J103" i="6"/>
  <c r="I103" i="6"/>
  <c r="H103" i="6"/>
  <c r="G103" i="6"/>
  <c r="F103" i="6"/>
  <c r="B98" i="6"/>
  <c r="Q97" i="6"/>
  <c r="P97" i="6"/>
  <c r="O97" i="6"/>
  <c r="N97" i="6"/>
  <c r="M97" i="6"/>
  <c r="L97" i="6"/>
  <c r="K97" i="6"/>
  <c r="J97" i="6"/>
  <c r="I97" i="6"/>
  <c r="H97" i="6"/>
  <c r="G97" i="6"/>
  <c r="F97" i="6"/>
  <c r="E97" i="6"/>
  <c r="D97" i="6"/>
  <c r="C97" i="6"/>
  <c r="B97" i="6"/>
  <c r="Q96" i="6"/>
  <c r="P96" i="6"/>
  <c r="O96" i="6"/>
  <c r="N96" i="6"/>
  <c r="M96" i="6"/>
  <c r="L96" i="6"/>
  <c r="K96" i="6"/>
  <c r="J96" i="6"/>
  <c r="I96" i="6"/>
  <c r="H96" i="6"/>
  <c r="G96" i="6"/>
  <c r="F96" i="6"/>
  <c r="E96" i="6"/>
  <c r="D96" i="6"/>
  <c r="C96" i="6"/>
  <c r="B96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B95" i="6"/>
  <c r="Q94" i="6"/>
  <c r="P94" i="6"/>
  <c r="O94" i="6"/>
  <c r="N94" i="6"/>
  <c r="M94" i="6"/>
  <c r="L94" i="6"/>
  <c r="K94" i="6"/>
  <c r="J94" i="6"/>
  <c r="I94" i="6"/>
  <c r="H94" i="6"/>
  <c r="G94" i="6"/>
  <c r="F94" i="6"/>
  <c r="E94" i="6"/>
  <c r="D94" i="6"/>
  <c r="C94" i="6"/>
  <c r="B94" i="6"/>
  <c r="Q93" i="6"/>
  <c r="P93" i="6"/>
  <c r="O93" i="6"/>
  <c r="N93" i="6"/>
  <c r="M93" i="6"/>
  <c r="L93" i="6"/>
  <c r="K93" i="6"/>
  <c r="J93" i="6"/>
  <c r="I93" i="6"/>
  <c r="H93" i="6"/>
  <c r="G93" i="6"/>
  <c r="F93" i="6"/>
  <c r="E93" i="6"/>
  <c r="D93" i="6"/>
  <c r="C93" i="6"/>
  <c r="B93" i="6"/>
  <c r="Q92" i="6"/>
  <c r="P92" i="6"/>
  <c r="O92" i="6"/>
  <c r="N92" i="6"/>
  <c r="M92" i="6"/>
  <c r="L92" i="6"/>
  <c r="K92" i="6"/>
  <c r="J92" i="6"/>
  <c r="I92" i="6"/>
  <c r="H92" i="6"/>
  <c r="G92" i="6"/>
  <c r="F92" i="6"/>
  <c r="E92" i="6"/>
  <c r="D92" i="6"/>
  <c r="C92" i="6"/>
  <c r="B92" i="6"/>
  <c r="Q91" i="6"/>
  <c r="P91" i="6"/>
  <c r="O91" i="6"/>
  <c r="N91" i="6"/>
  <c r="M91" i="6"/>
  <c r="L91" i="6"/>
  <c r="K91" i="6"/>
  <c r="J91" i="6"/>
  <c r="I91" i="6"/>
  <c r="H91" i="6"/>
  <c r="G91" i="6"/>
  <c r="F91" i="6"/>
  <c r="E91" i="6"/>
  <c r="D91" i="6"/>
  <c r="C91" i="6"/>
  <c r="B91" i="6"/>
  <c r="M87" i="6"/>
  <c r="L87" i="6"/>
  <c r="K87" i="6"/>
  <c r="J87" i="6"/>
  <c r="H87" i="6"/>
  <c r="Q86" i="6"/>
  <c r="N86" i="6"/>
  <c r="M85" i="6"/>
  <c r="K85" i="6"/>
  <c r="J85" i="6"/>
  <c r="I85" i="6"/>
  <c r="H85" i="6"/>
  <c r="G85" i="6"/>
  <c r="F85" i="6"/>
  <c r="M84" i="6"/>
  <c r="L84" i="6"/>
  <c r="K84" i="6"/>
  <c r="J84" i="6"/>
  <c r="H84" i="6"/>
  <c r="Q79" i="6"/>
  <c r="P79" i="6"/>
  <c r="O79" i="6"/>
  <c r="N79" i="6"/>
  <c r="M79" i="6"/>
  <c r="L79" i="6"/>
  <c r="K79" i="6"/>
  <c r="J79" i="6"/>
  <c r="I79" i="6"/>
  <c r="H79" i="6"/>
  <c r="G79" i="6"/>
  <c r="F79" i="6"/>
  <c r="E79" i="6"/>
  <c r="D79" i="6"/>
  <c r="C79" i="6"/>
  <c r="B79" i="6"/>
  <c r="B78" i="6"/>
  <c r="B77" i="6"/>
  <c r="Q74" i="6"/>
  <c r="P74" i="6"/>
  <c r="O74" i="6"/>
  <c r="N74" i="6"/>
  <c r="L74" i="6"/>
  <c r="E74" i="6"/>
  <c r="D74" i="6"/>
  <c r="C74" i="6"/>
  <c r="B74" i="6"/>
  <c r="Q73" i="6"/>
  <c r="P73" i="6"/>
  <c r="O73" i="6"/>
  <c r="N73" i="6"/>
  <c r="M73" i="6"/>
  <c r="L73" i="6"/>
  <c r="K73" i="6"/>
  <c r="J73" i="6"/>
  <c r="I73" i="6"/>
  <c r="H73" i="6"/>
  <c r="G73" i="6"/>
  <c r="F73" i="6"/>
  <c r="E73" i="6"/>
  <c r="D73" i="6"/>
  <c r="C73" i="6"/>
  <c r="B73" i="6"/>
  <c r="J67" i="6"/>
  <c r="Q66" i="6"/>
  <c r="P66" i="6"/>
  <c r="O66" i="6"/>
  <c r="N66" i="6"/>
  <c r="M66" i="6"/>
  <c r="L66" i="6"/>
  <c r="L106" i="6" s="1"/>
  <c r="K66" i="6"/>
  <c r="J66" i="6"/>
  <c r="I66" i="6"/>
  <c r="H66" i="6"/>
  <c r="G66" i="6"/>
  <c r="F66" i="6"/>
  <c r="E66" i="6"/>
  <c r="D66" i="6"/>
  <c r="C66" i="6"/>
  <c r="B66" i="6"/>
  <c r="I60" i="6"/>
  <c r="H60" i="6"/>
  <c r="G60" i="6"/>
  <c r="F60" i="6"/>
  <c r="Q59" i="6"/>
  <c r="P59" i="6"/>
  <c r="O59" i="6"/>
  <c r="N59" i="6"/>
  <c r="M59" i="6"/>
  <c r="M60" i="6" s="1"/>
  <c r="M102" i="6" s="1"/>
  <c r="L59" i="6"/>
  <c r="K59" i="6"/>
  <c r="K60" i="6" s="1"/>
  <c r="K102" i="6" s="1"/>
  <c r="J59" i="6"/>
  <c r="J60" i="6" s="1"/>
  <c r="J102" i="6" s="1"/>
  <c r="I59" i="6"/>
  <c r="H59" i="6"/>
  <c r="G59" i="6"/>
  <c r="F59" i="6"/>
  <c r="E59" i="6"/>
  <c r="D59" i="6"/>
  <c r="C59" i="6"/>
  <c r="B59" i="6"/>
  <c r="Q54" i="6"/>
  <c r="P54" i="6"/>
  <c r="O54" i="6"/>
  <c r="N54" i="6"/>
  <c r="M54" i="6"/>
  <c r="M86" i="6" s="1"/>
  <c r="L54" i="6"/>
  <c r="L86" i="6" s="1"/>
  <c r="K54" i="6"/>
  <c r="K86" i="6" s="1"/>
  <c r="J54" i="6"/>
  <c r="J86" i="6" s="1"/>
  <c r="I54" i="6"/>
  <c r="I86" i="6" s="1"/>
  <c r="H54" i="6"/>
  <c r="H86" i="6" s="1"/>
  <c r="G54" i="6"/>
  <c r="G86" i="6" s="1"/>
  <c r="F54" i="6"/>
  <c r="F86" i="6" s="1"/>
  <c r="E54" i="6"/>
  <c r="D54" i="6"/>
  <c r="C54" i="6"/>
  <c r="C86" i="6" s="1"/>
  <c r="B54" i="6"/>
  <c r="B86" i="6" s="1"/>
  <c r="I45" i="6"/>
  <c r="H45" i="6"/>
  <c r="G45" i="6"/>
  <c r="F45" i="6"/>
  <c r="Q44" i="6"/>
  <c r="P44" i="6"/>
  <c r="O44" i="6"/>
  <c r="N44" i="6"/>
  <c r="M44" i="6"/>
  <c r="M45" i="6" s="1"/>
  <c r="M104" i="6" s="1"/>
  <c r="L44" i="6"/>
  <c r="K44" i="6"/>
  <c r="K45" i="6" s="1"/>
  <c r="J44" i="6"/>
  <c r="J45" i="6" s="1"/>
  <c r="I44" i="6"/>
  <c r="H44" i="6"/>
  <c r="G44" i="6"/>
  <c r="F44" i="6"/>
  <c r="E44" i="6"/>
  <c r="D44" i="6"/>
  <c r="C44" i="6"/>
  <c r="B44" i="6"/>
  <c r="Q36" i="6"/>
  <c r="P36" i="6"/>
  <c r="O36" i="6"/>
  <c r="N36" i="6"/>
  <c r="M36" i="6"/>
  <c r="L36" i="6"/>
  <c r="K36" i="6"/>
  <c r="J36" i="6"/>
  <c r="I36" i="6"/>
  <c r="I87" i="6" s="1"/>
  <c r="H36" i="6"/>
  <c r="G36" i="6"/>
  <c r="G87" i="6" s="1"/>
  <c r="F36" i="6"/>
  <c r="F87" i="6" s="1"/>
  <c r="E36" i="6"/>
  <c r="D36" i="6"/>
  <c r="C36" i="6"/>
  <c r="B36" i="6"/>
  <c r="B18" i="6"/>
  <c r="B20" i="6" s="1"/>
  <c r="B76" i="6" s="1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C15" i="6"/>
  <c r="B15" i="6"/>
  <c r="N11" i="6"/>
  <c r="M11" i="6"/>
  <c r="L11" i="6"/>
  <c r="K11" i="6"/>
  <c r="J11" i="6"/>
  <c r="B11" i="6"/>
  <c r="Q10" i="6"/>
  <c r="Q11" i="6" s="1"/>
  <c r="P10" i="6"/>
  <c r="O10" i="6"/>
  <c r="O11" i="6" s="1"/>
  <c r="N10" i="6"/>
  <c r="M10" i="6"/>
  <c r="L10" i="6"/>
  <c r="K10" i="6"/>
  <c r="J10" i="6"/>
  <c r="I10" i="6"/>
  <c r="H10" i="6"/>
  <c r="G10" i="6"/>
  <c r="F10" i="6"/>
  <c r="E10" i="6"/>
  <c r="E11" i="6" s="1"/>
  <c r="D10" i="6"/>
  <c r="C10" i="6"/>
  <c r="C11" i="6" s="1"/>
  <c r="B10" i="6"/>
  <c r="Q6" i="6"/>
  <c r="P6" i="6"/>
  <c r="O6" i="6"/>
  <c r="N6" i="6"/>
  <c r="M6" i="6"/>
  <c r="M74" i="6" s="1"/>
  <c r="L6" i="6"/>
  <c r="K6" i="6"/>
  <c r="K74" i="6" s="1"/>
  <c r="J6" i="6"/>
  <c r="J74" i="6" s="1"/>
  <c r="I6" i="6"/>
  <c r="H6" i="6"/>
  <c r="G6" i="6"/>
  <c r="F6" i="6"/>
  <c r="E6" i="6"/>
  <c r="D6" i="6"/>
  <c r="C6" i="6"/>
  <c r="B6" i="6"/>
  <c r="K129" i="4"/>
  <c r="Q128" i="4"/>
  <c r="P128" i="4"/>
  <c r="O128" i="4"/>
  <c r="N128" i="4"/>
  <c r="M128" i="4"/>
  <c r="L128" i="4"/>
  <c r="K128" i="4"/>
  <c r="J128" i="4"/>
  <c r="I128" i="4"/>
  <c r="H128" i="4"/>
  <c r="G128" i="4"/>
  <c r="F128" i="4"/>
  <c r="E128" i="4"/>
  <c r="D128" i="4"/>
  <c r="C128" i="4"/>
  <c r="B128" i="4"/>
  <c r="Q127" i="4"/>
  <c r="P127" i="4"/>
  <c r="O127" i="4"/>
  <c r="N127" i="4"/>
  <c r="M127" i="4"/>
  <c r="L127" i="4"/>
  <c r="K127" i="4"/>
  <c r="J127" i="4"/>
  <c r="I127" i="4"/>
  <c r="H127" i="4"/>
  <c r="G127" i="4"/>
  <c r="F127" i="4"/>
  <c r="E127" i="4"/>
  <c r="D127" i="4"/>
  <c r="C127" i="4"/>
  <c r="B127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B126" i="4"/>
  <c r="Q125" i="4"/>
  <c r="P125" i="4"/>
  <c r="O125" i="4"/>
  <c r="N125" i="4"/>
  <c r="M125" i="4"/>
  <c r="L125" i="4"/>
  <c r="K125" i="4"/>
  <c r="J125" i="4"/>
  <c r="I125" i="4"/>
  <c r="H125" i="4"/>
  <c r="G125" i="4"/>
  <c r="F125" i="4"/>
  <c r="E125" i="4"/>
  <c r="D125" i="4"/>
  <c r="C125" i="4"/>
  <c r="B125" i="4"/>
  <c r="B122" i="4"/>
  <c r="Q121" i="4"/>
  <c r="P121" i="4"/>
  <c r="O121" i="4"/>
  <c r="N121" i="4"/>
  <c r="M121" i="4"/>
  <c r="L121" i="4"/>
  <c r="K121" i="4"/>
  <c r="J121" i="4"/>
  <c r="I121" i="4"/>
  <c r="H121" i="4"/>
  <c r="G121" i="4"/>
  <c r="F121" i="4"/>
  <c r="E121" i="4"/>
  <c r="D121" i="4"/>
  <c r="C121" i="4"/>
  <c r="B121" i="4"/>
  <c r="Q120" i="4"/>
  <c r="P120" i="4"/>
  <c r="O120" i="4"/>
  <c r="N120" i="4"/>
  <c r="M120" i="4"/>
  <c r="L120" i="4"/>
  <c r="K120" i="4"/>
  <c r="J120" i="4"/>
  <c r="I120" i="4"/>
  <c r="H120" i="4"/>
  <c r="G120" i="4"/>
  <c r="F120" i="4"/>
  <c r="E120" i="4"/>
  <c r="D120" i="4"/>
  <c r="C120" i="4"/>
  <c r="B120" i="4"/>
  <c r="Q119" i="4"/>
  <c r="P119" i="4"/>
  <c r="O119" i="4"/>
  <c r="N119" i="4"/>
  <c r="M119" i="4"/>
  <c r="L119" i="4"/>
  <c r="K119" i="4"/>
  <c r="J119" i="4"/>
  <c r="I119" i="4"/>
  <c r="H119" i="4"/>
  <c r="G119" i="4"/>
  <c r="F119" i="4"/>
  <c r="E119" i="4"/>
  <c r="D119" i="4"/>
  <c r="C119" i="4"/>
  <c r="B119" i="4"/>
  <c r="P117" i="4"/>
  <c r="Q116" i="4"/>
  <c r="P116" i="4"/>
  <c r="O116" i="4"/>
  <c r="N116" i="4"/>
  <c r="M116" i="4"/>
  <c r="L116" i="4"/>
  <c r="K116" i="4"/>
  <c r="J116" i="4"/>
  <c r="I116" i="4"/>
  <c r="H116" i="4"/>
  <c r="G116" i="4"/>
  <c r="F116" i="4"/>
  <c r="E116" i="4"/>
  <c r="D116" i="4"/>
  <c r="C116" i="4"/>
  <c r="B116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E115" i="4"/>
  <c r="D115" i="4"/>
  <c r="C115" i="4"/>
  <c r="B115" i="4"/>
  <c r="Q114" i="4"/>
  <c r="P114" i="4"/>
  <c r="O114" i="4"/>
  <c r="N114" i="4"/>
  <c r="M114" i="4"/>
  <c r="L114" i="4"/>
  <c r="K114" i="4"/>
  <c r="J114" i="4"/>
  <c r="I114" i="4"/>
  <c r="H114" i="4"/>
  <c r="G114" i="4"/>
  <c r="F114" i="4"/>
  <c r="E114" i="4"/>
  <c r="D114" i="4"/>
  <c r="C114" i="4"/>
  <c r="B114" i="4"/>
  <c r="Q113" i="4"/>
  <c r="P113" i="4"/>
  <c r="O113" i="4"/>
  <c r="N113" i="4"/>
  <c r="M113" i="4"/>
  <c r="L113" i="4"/>
  <c r="K113" i="4"/>
  <c r="J113" i="4"/>
  <c r="I113" i="4"/>
  <c r="H113" i="4"/>
  <c r="G113" i="4"/>
  <c r="F113" i="4"/>
  <c r="E113" i="4"/>
  <c r="D113" i="4"/>
  <c r="C113" i="4"/>
  <c r="B113" i="4"/>
  <c r="Q112" i="4"/>
  <c r="P112" i="4"/>
  <c r="O112" i="4"/>
  <c r="N112" i="4"/>
  <c r="M112" i="4"/>
  <c r="L112" i="4"/>
  <c r="K112" i="4"/>
  <c r="J112" i="4"/>
  <c r="I112" i="4"/>
  <c r="H112" i="4"/>
  <c r="G112" i="4"/>
  <c r="F112" i="4"/>
  <c r="E112" i="4"/>
  <c r="D112" i="4"/>
  <c r="C112" i="4"/>
  <c r="B112" i="4"/>
  <c r="Q111" i="4"/>
  <c r="P111" i="4"/>
  <c r="O111" i="4"/>
  <c r="N111" i="4"/>
  <c r="M111" i="4"/>
  <c r="L111" i="4"/>
  <c r="K111" i="4"/>
  <c r="J111" i="4"/>
  <c r="I111" i="4"/>
  <c r="H111" i="4"/>
  <c r="G111" i="4"/>
  <c r="F111" i="4"/>
  <c r="E111" i="4"/>
  <c r="D111" i="4"/>
  <c r="C111" i="4"/>
  <c r="B111" i="4"/>
  <c r="Q110" i="4"/>
  <c r="P110" i="4"/>
  <c r="O110" i="4"/>
  <c r="N110" i="4"/>
  <c r="M110" i="4"/>
  <c r="L110" i="4"/>
  <c r="K110" i="4"/>
  <c r="J110" i="4"/>
  <c r="I110" i="4"/>
  <c r="H110" i="4"/>
  <c r="G110" i="4"/>
  <c r="F110" i="4"/>
  <c r="E110" i="4"/>
  <c r="D110" i="4"/>
  <c r="C110" i="4"/>
  <c r="B110" i="4"/>
  <c r="O107" i="4"/>
  <c r="N107" i="4"/>
  <c r="M107" i="4"/>
  <c r="K107" i="4"/>
  <c r="J107" i="4"/>
  <c r="I107" i="4"/>
  <c r="B107" i="4"/>
  <c r="Q106" i="4"/>
  <c r="P106" i="4"/>
  <c r="O106" i="4"/>
  <c r="N106" i="4"/>
  <c r="M106" i="4"/>
  <c r="L106" i="4"/>
  <c r="K106" i="4"/>
  <c r="J106" i="4"/>
  <c r="I106" i="4"/>
  <c r="H106" i="4"/>
  <c r="G106" i="4"/>
  <c r="F106" i="4"/>
  <c r="E106" i="4"/>
  <c r="D106" i="4"/>
  <c r="C106" i="4"/>
  <c r="B106" i="4"/>
  <c r="Q105" i="4"/>
  <c r="P105" i="4"/>
  <c r="O105" i="4"/>
  <c r="N105" i="4"/>
  <c r="M105" i="4"/>
  <c r="L105" i="4"/>
  <c r="K105" i="4"/>
  <c r="J105" i="4"/>
  <c r="I105" i="4"/>
  <c r="H105" i="4"/>
  <c r="G105" i="4"/>
  <c r="F105" i="4"/>
  <c r="E105" i="4"/>
  <c r="D105" i="4"/>
  <c r="C105" i="4"/>
  <c r="B105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E104" i="4"/>
  <c r="D104" i="4"/>
  <c r="C104" i="4"/>
  <c r="B104" i="4"/>
  <c r="Q103" i="4"/>
  <c r="P103" i="4"/>
  <c r="O103" i="4"/>
  <c r="N103" i="4"/>
  <c r="M103" i="4"/>
  <c r="L103" i="4"/>
  <c r="K103" i="4"/>
  <c r="J103" i="4"/>
  <c r="I103" i="4"/>
  <c r="H103" i="4"/>
  <c r="G103" i="4"/>
  <c r="F103" i="4"/>
  <c r="E103" i="4"/>
  <c r="D103" i="4"/>
  <c r="C103" i="4"/>
  <c r="B103" i="4"/>
  <c r="Q102" i="4"/>
  <c r="P102" i="4"/>
  <c r="O102" i="4"/>
  <c r="N102" i="4"/>
  <c r="M102" i="4"/>
  <c r="L102" i="4"/>
  <c r="K102" i="4"/>
  <c r="J102" i="4"/>
  <c r="I102" i="4"/>
  <c r="H102" i="4"/>
  <c r="G102" i="4"/>
  <c r="F102" i="4"/>
  <c r="E102" i="4"/>
  <c r="D102" i="4"/>
  <c r="C102" i="4"/>
  <c r="B102" i="4"/>
  <c r="Q101" i="4"/>
  <c r="P101" i="4"/>
  <c r="O101" i="4"/>
  <c r="N101" i="4"/>
  <c r="M101" i="4"/>
  <c r="L101" i="4"/>
  <c r="K101" i="4"/>
  <c r="J101" i="4"/>
  <c r="I101" i="4"/>
  <c r="H101" i="4"/>
  <c r="G101" i="4"/>
  <c r="F101" i="4"/>
  <c r="E101" i="4"/>
  <c r="D101" i="4"/>
  <c r="C101" i="4"/>
  <c r="B101" i="4"/>
  <c r="E99" i="4"/>
  <c r="D99" i="4"/>
  <c r="C99" i="4"/>
  <c r="Q98" i="4"/>
  <c r="P98" i="4"/>
  <c r="O98" i="4"/>
  <c r="N98" i="4"/>
  <c r="M98" i="4"/>
  <c r="L98" i="4"/>
  <c r="K98" i="4"/>
  <c r="J98" i="4"/>
  <c r="I98" i="4"/>
  <c r="H98" i="4"/>
  <c r="G98" i="4"/>
  <c r="F98" i="4"/>
  <c r="E98" i="4"/>
  <c r="D98" i="4"/>
  <c r="C98" i="4"/>
  <c r="B98" i="4"/>
  <c r="Q97" i="4"/>
  <c r="P97" i="4"/>
  <c r="O97" i="4"/>
  <c r="N97" i="4"/>
  <c r="M97" i="4"/>
  <c r="L97" i="4"/>
  <c r="K97" i="4"/>
  <c r="J97" i="4"/>
  <c r="I97" i="4"/>
  <c r="H97" i="4"/>
  <c r="G97" i="4"/>
  <c r="F97" i="4"/>
  <c r="E97" i="4"/>
  <c r="D97" i="4"/>
  <c r="C97" i="4"/>
  <c r="B97" i="4"/>
  <c r="Q96" i="4"/>
  <c r="P96" i="4"/>
  <c r="O96" i="4"/>
  <c r="N96" i="4"/>
  <c r="M96" i="4"/>
  <c r="L96" i="4"/>
  <c r="K96" i="4"/>
  <c r="J96" i="4"/>
  <c r="I96" i="4"/>
  <c r="H96" i="4"/>
  <c r="G96" i="4"/>
  <c r="F96" i="4"/>
  <c r="E96" i="4"/>
  <c r="D96" i="4"/>
  <c r="C96" i="4"/>
  <c r="B96" i="4"/>
  <c r="Q95" i="4"/>
  <c r="P95" i="4"/>
  <c r="O95" i="4"/>
  <c r="N95" i="4"/>
  <c r="M95" i="4"/>
  <c r="L95" i="4"/>
  <c r="K95" i="4"/>
  <c r="J95" i="4"/>
  <c r="I95" i="4"/>
  <c r="H95" i="4"/>
  <c r="G95" i="4"/>
  <c r="F95" i="4"/>
  <c r="E95" i="4"/>
  <c r="D95" i="4"/>
  <c r="C95" i="4"/>
  <c r="B95" i="4"/>
  <c r="Q94" i="4"/>
  <c r="P94" i="4"/>
  <c r="O94" i="4"/>
  <c r="N94" i="4"/>
  <c r="M94" i="4"/>
  <c r="L94" i="4"/>
  <c r="K94" i="4"/>
  <c r="J94" i="4"/>
  <c r="I94" i="4"/>
  <c r="H94" i="4"/>
  <c r="G94" i="4"/>
  <c r="F94" i="4"/>
  <c r="E94" i="4"/>
  <c r="D94" i="4"/>
  <c r="C94" i="4"/>
  <c r="B94" i="4"/>
  <c r="Q93" i="4"/>
  <c r="P93" i="4"/>
  <c r="O93" i="4"/>
  <c r="N93" i="4"/>
  <c r="M93" i="4"/>
  <c r="L93" i="4"/>
  <c r="K93" i="4"/>
  <c r="J93" i="4"/>
  <c r="I93" i="4"/>
  <c r="H93" i="4"/>
  <c r="G93" i="4"/>
  <c r="F93" i="4"/>
  <c r="E93" i="4"/>
  <c r="D93" i="4"/>
  <c r="C93" i="4"/>
  <c r="B93" i="4"/>
  <c r="Q92" i="4"/>
  <c r="P92" i="4"/>
  <c r="O92" i="4"/>
  <c r="N92" i="4"/>
  <c r="M92" i="4"/>
  <c r="L92" i="4"/>
  <c r="K92" i="4"/>
  <c r="J92" i="4"/>
  <c r="I92" i="4"/>
  <c r="H92" i="4"/>
  <c r="G92" i="4"/>
  <c r="F92" i="4"/>
  <c r="E92" i="4"/>
  <c r="D92" i="4"/>
  <c r="C92" i="4"/>
  <c r="B92" i="4"/>
  <c r="Q87" i="4"/>
  <c r="P87" i="4"/>
  <c r="O87" i="4"/>
  <c r="N87" i="4"/>
  <c r="M87" i="4"/>
  <c r="L87" i="4"/>
  <c r="K87" i="4"/>
  <c r="J87" i="4"/>
  <c r="I87" i="4"/>
  <c r="H87" i="4"/>
  <c r="G87" i="4"/>
  <c r="F87" i="4"/>
  <c r="E87" i="4"/>
  <c r="D87" i="4"/>
  <c r="C87" i="4"/>
  <c r="B87" i="4"/>
  <c r="Q83" i="4"/>
  <c r="P83" i="4"/>
  <c r="O83" i="4"/>
  <c r="J83" i="4"/>
  <c r="E83" i="4"/>
  <c r="D83" i="4"/>
  <c r="C83" i="4"/>
  <c r="B83" i="4"/>
  <c r="Q82" i="4"/>
  <c r="P82" i="4"/>
  <c r="O82" i="4"/>
  <c r="N82" i="4"/>
  <c r="M82" i="4"/>
  <c r="L82" i="4"/>
  <c r="K82" i="4"/>
  <c r="J82" i="4"/>
  <c r="I82" i="4"/>
  <c r="H82" i="4"/>
  <c r="G82" i="4"/>
  <c r="F82" i="4"/>
  <c r="E82" i="4"/>
  <c r="D82" i="4"/>
  <c r="C82" i="4"/>
  <c r="B82" i="4"/>
  <c r="Q78" i="4"/>
  <c r="O78" i="4"/>
  <c r="N78" i="4"/>
  <c r="M78" i="4"/>
  <c r="L78" i="4"/>
  <c r="B78" i="4"/>
  <c r="Q77" i="4"/>
  <c r="P77" i="4"/>
  <c r="O77" i="4"/>
  <c r="N77" i="4"/>
  <c r="M77" i="4"/>
  <c r="L77" i="4"/>
  <c r="K77" i="4"/>
  <c r="J77" i="4"/>
  <c r="I77" i="4"/>
  <c r="H77" i="4"/>
  <c r="G77" i="4"/>
  <c r="F77" i="4"/>
  <c r="E77" i="4"/>
  <c r="D77" i="4"/>
  <c r="C77" i="4"/>
  <c r="B77" i="4"/>
  <c r="Q76" i="4"/>
  <c r="P76" i="4"/>
  <c r="O76" i="4"/>
  <c r="N76" i="4"/>
  <c r="M76" i="4"/>
  <c r="L76" i="4"/>
  <c r="K76" i="4"/>
  <c r="J76" i="4"/>
  <c r="I76" i="4"/>
  <c r="H76" i="4"/>
  <c r="G76" i="4"/>
  <c r="F76" i="4"/>
  <c r="E76" i="4"/>
  <c r="D76" i="4"/>
  <c r="C76" i="4"/>
  <c r="B76" i="4"/>
  <c r="Q74" i="4"/>
  <c r="P74" i="4"/>
  <c r="K74" i="4"/>
  <c r="E74" i="4"/>
  <c r="D74" i="4"/>
  <c r="C74" i="4"/>
  <c r="Q73" i="4"/>
  <c r="P73" i="4"/>
  <c r="O73" i="4"/>
  <c r="N73" i="4"/>
  <c r="M73" i="4"/>
  <c r="L73" i="4"/>
  <c r="K73" i="4"/>
  <c r="J73" i="4"/>
  <c r="I73" i="4"/>
  <c r="H73" i="4"/>
  <c r="G73" i="4"/>
  <c r="F73" i="4"/>
  <c r="E73" i="4"/>
  <c r="D73" i="4"/>
  <c r="C73" i="4"/>
  <c r="B73" i="4"/>
  <c r="Q72" i="4"/>
  <c r="P72" i="4"/>
  <c r="O72" i="4"/>
  <c r="N72" i="4"/>
  <c r="M72" i="4"/>
  <c r="L72" i="4"/>
  <c r="K72" i="4"/>
  <c r="J72" i="4"/>
  <c r="I72" i="4"/>
  <c r="H72" i="4"/>
  <c r="G72" i="4"/>
  <c r="F72" i="4"/>
  <c r="E72" i="4"/>
  <c r="D72" i="4"/>
  <c r="C72" i="4"/>
  <c r="B72" i="4"/>
  <c r="P63" i="4"/>
  <c r="O63" i="4"/>
  <c r="L63" i="4"/>
  <c r="Q62" i="4"/>
  <c r="P62" i="4"/>
  <c r="O62" i="4"/>
  <c r="N62" i="4"/>
  <c r="M62" i="4"/>
  <c r="L62" i="4"/>
  <c r="K62" i="4"/>
  <c r="J62" i="4"/>
  <c r="I62" i="4"/>
  <c r="H62" i="4"/>
  <c r="G62" i="4"/>
  <c r="F62" i="4"/>
  <c r="E62" i="4"/>
  <c r="D62" i="4"/>
  <c r="C62" i="4"/>
  <c r="C63" i="4" s="1"/>
  <c r="B62" i="4"/>
  <c r="J129" i="4" s="1"/>
  <c r="K56" i="4"/>
  <c r="K63" i="4" s="1"/>
  <c r="J56" i="4"/>
  <c r="J63" i="4" s="1"/>
  <c r="G56" i="4"/>
  <c r="G63" i="4" s="1"/>
  <c r="C56" i="4"/>
  <c r="Q55" i="4"/>
  <c r="P55" i="4"/>
  <c r="O55" i="4"/>
  <c r="N55" i="4"/>
  <c r="M55" i="4"/>
  <c r="L55" i="4"/>
  <c r="L56" i="4" s="1"/>
  <c r="K55" i="4"/>
  <c r="J55" i="4"/>
  <c r="I55" i="4"/>
  <c r="I56" i="4" s="1"/>
  <c r="I63" i="4" s="1"/>
  <c r="H55" i="4"/>
  <c r="G55" i="4"/>
  <c r="F55" i="4"/>
  <c r="E55" i="4"/>
  <c r="D55" i="4"/>
  <c r="C55" i="4"/>
  <c r="B55" i="4"/>
  <c r="Q50" i="4"/>
  <c r="Q56" i="4" s="1"/>
  <c r="Q63" i="4" s="1"/>
  <c r="P50" i="4"/>
  <c r="P56" i="4" s="1"/>
  <c r="O50" i="4"/>
  <c r="O56" i="4" s="1"/>
  <c r="N50" i="4"/>
  <c r="M50" i="4"/>
  <c r="L50" i="4"/>
  <c r="K50" i="4"/>
  <c r="J50" i="4"/>
  <c r="I50" i="4"/>
  <c r="H50" i="4"/>
  <c r="H56" i="4" s="1"/>
  <c r="H63" i="4" s="1"/>
  <c r="G50" i="4"/>
  <c r="F50" i="4"/>
  <c r="F56" i="4" s="1"/>
  <c r="F63" i="4" s="1"/>
  <c r="E50" i="4"/>
  <c r="E56" i="4" s="1"/>
  <c r="E63" i="4" s="1"/>
  <c r="D50" i="4"/>
  <c r="D56" i="4" s="1"/>
  <c r="D63" i="4" s="1"/>
  <c r="C50" i="4"/>
  <c r="B50" i="4"/>
  <c r="Q41" i="4"/>
  <c r="O41" i="4"/>
  <c r="N41" i="4"/>
  <c r="H41" i="4"/>
  <c r="E41" i="4"/>
  <c r="C41" i="4"/>
  <c r="B41" i="4"/>
  <c r="L108" i="4" s="1"/>
  <c r="Q40" i="4"/>
  <c r="P40" i="4"/>
  <c r="O40" i="4"/>
  <c r="N40" i="4"/>
  <c r="M40" i="4"/>
  <c r="L40" i="4"/>
  <c r="L41" i="4" s="1"/>
  <c r="K40" i="4"/>
  <c r="J40" i="4"/>
  <c r="I40" i="4"/>
  <c r="H40" i="4"/>
  <c r="G40" i="4"/>
  <c r="G41" i="4" s="1"/>
  <c r="F40" i="4"/>
  <c r="E40" i="4"/>
  <c r="D40" i="4"/>
  <c r="C40" i="4"/>
  <c r="B40" i="4"/>
  <c r="H107" i="4" s="1"/>
  <c r="Q32" i="4"/>
  <c r="P32" i="4"/>
  <c r="P41" i="4" s="1"/>
  <c r="O32" i="4"/>
  <c r="N32" i="4"/>
  <c r="M32" i="4"/>
  <c r="M41" i="4" s="1"/>
  <c r="L32" i="4"/>
  <c r="K32" i="4"/>
  <c r="K41" i="4" s="1"/>
  <c r="J32" i="4"/>
  <c r="J41" i="4" s="1"/>
  <c r="I32" i="4"/>
  <c r="I41" i="4" s="1"/>
  <c r="H32" i="4"/>
  <c r="G32" i="4"/>
  <c r="F32" i="4"/>
  <c r="E32" i="4"/>
  <c r="D32" i="4"/>
  <c r="D41" i="4" s="1"/>
  <c r="C32" i="4"/>
  <c r="B32" i="4"/>
  <c r="N21" i="4"/>
  <c r="G19" i="4"/>
  <c r="G21" i="4" s="1"/>
  <c r="E19" i="4"/>
  <c r="E21" i="4" s="1"/>
  <c r="D19" i="4"/>
  <c r="D21" i="4" s="1"/>
  <c r="C19" i="4"/>
  <c r="C21" i="4" s="1"/>
  <c r="Q16" i="4"/>
  <c r="P16" i="4"/>
  <c r="O16" i="4"/>
  <c r="N16" i="4"/>
  <c r="M16" i="4"/>
  <c r="M83" i="4" s="1"/>
  <c r="L16" i="4"/>
  <c r="K16" i="4"/>
  <c r="J16" i="4"/>
  <c r="I16" i="4"/>
  <c r="I83" i="4" s="1"/>
  <c r="H16" i="4"/>
  <c r="G16" i="4"/>
  <c r="G83" i="4" s="1"/>
  <c r="F16" i="4"/>
  <c r="E16" i="4"/>
  <c r="D16" i="4"/>
  <c r="C16" i="4"/>
  <c r="B16" i="4"/>
  <c r="Q12" i="4"/>
  <c r="Q19" i="4" s="1"/>
  <c r="Q21" i="4" s="1"/>
  <c r="N12" i="4"/>
  <c r="N19" i="4" s="1"/>
  <c r="E12" i="4"/>
  <c r="D12" i="4"/>
  <c r="D13" i="4" s="1"/>
  <c r="B12" i="4"/>
  <c r="B19" i="4" s="1"/>
  <c r="Q11" i="4"/>
  <c r="P11" i="4"/>
  <c r="P12" i="4" s="1"/>
  <c r="O11" i="4"/>
  <c r="O12" i="4" s="1"/>
  <c r="N11" i="4"/>
  <c r="M11" i="4"/>
  <c r="L11" i="4"/>
  <c r="K11" i="4"/>
  <c r="J11" i="4"/>
  <c r="I11" i="4"/>
  <c r="H11" i="4"/>
  <c r="G11" i="4"/>
  <c r="F11" i="4"/>
  <c r="F78" i="4" s="1"/>
  <c r="E11" i="4"/>
  <c r="E78" i="4" s="1"/>
  <c r="D11" i="4"/>
  <c r="D78" i="4" s="1"/>
  <c r="C11" i="4"/>
  <c r="C12" i="4" s="1"/>
  <c r="B11" i="4"/>
  <c r="J78" i="4" s="1"/>
  <c r="Q7" i="4"/>
  <c r="P7" i="4"/>
  <c r="O7" i="4"/>
  <c r="N7" i="4"/>
  <c r="M7" i="4"/>
  <c r="M12" i="4" s="1"/>
  <c r="L7" i="4"/>
  <c r="L12" i="4" s="1"/>
  <c r="K7" i="4"/>
  <c r="K12" i="4" s="1"/>
  <c r="K19" i="4" s="1"/>
  <c r="K21" i="4" s="1"/>
  <c r="J7" i="4"/>
  <c r="J12" i="4" s="1"/>
  <c r="J19" i="4" s="1"/>
  <c r="J21" i="4" s="1"/>
  <c r="I7" i="4"/>
  <c r="I12" i="4" s="1"/>
  <c r="I19" i="4" s="1"/>
  <c r="I21" i="4" s="1"/>
  <c r="H7" i="4"/>
  <c r="G7" i="4"/>
  <c r="G12" i="4" s="1"/>
  <c r="F7" i="4"/>
  <c r="E7" i="4"/>
  <c r="D7" i="4"/>
  <c r="C7" i="4"/>
  <c r="B7" i="4"/>
  <c r="M122" i="5"/>
  <c r="I121" i="5"/>
  <c r="I117" i="5"/>
  <c r="M114" i="5"/>
  <c r="I113" i="5"/>
  <c r="M106" i="5"/>
  <c r="L106" i="5"/>
  <c r="I105" i="5"/>
  <c r="M101" i="5"/>
  <c r="I99" i="5"/>
  <c r="M95" i="5"/>
  <c r="I93" i="5"/>
  <c r="Q87" i="5"/>
  <c r="P87" i="5"/>
  <c r="O87" i="5"/>
  <c r="N87" i="5"/>
  <c r="M87" i="5"/>
  <c r="L87" i="5"/>
  <c r="K87" i="5"/>
  <c r="J87" i="5"/>
  <c r="I87" i="5"/>
  <c r="H87" i="5"/>
  <c r="G87" i="5"/>
  <c r="F87" i="5"/>
  <c r="E87" i="5"/>
  <c r="D87" i="5"/>
  <c r="C87" i="5"/>
  <c r="B87" i="5"/>
  <c r="L83" i="5"/>
  <c r="J83" i="5"/>
  <c r="H83" i="5"/>
  <c r="G83" i="5"/>
  <c r="Q82" i="5"/>
  <c r="P82" i="5"/>
  <c r="O82" i="5"/>
  <c r="N82" i="5"/>
  <c r="M82" i="5"/>
  <c r="L82" i="5"/>
  <c r="K82" i="5"/>
  <c r="J82" i="5"/>
  <c r="I82" i="5"/>
  <c r="H82" i="5"/>
  <c r="G82" i="5"/>
  <c r="F82" i="5"/>
  <c r="E82" i="5"/>
  <c r="D82" i="5"/>
  <c r="C82" i="5"/>
  <c r="B82" i="5"/>
  <c r="Q78" i="5"/>
  <c r="O78" i="5"/>
  <c r="I78" i="5"/>
  <c r="Q77" i="5"/>
  <c r="P77" i="5"/>
  <c r="O77" i="5"/>
  <c r="N77" i="5"/>
  <c r="M77" i="5"/>
  <c r="L77" i="5"/>
  <c r="K77" i="5"/>
  <c r="J77" i="5"/>
  <c r="I77" i="5"/>
  <c r="H77" i="5"/>
  <c r="G77" i="5"/>
  <c r="F77" i="5"/>
  <c r="E77" i="5"/>
  <c r="D77" i="5"/>
  <c r="C77" i="5"/>
  <c r="B77" i="5"/>
  <c r="Q76" i="5"/>
  <c r="P76" i="5"/>
  <c r="O76" i="5"/>
  <c r="N76" i="5"/>
  <c r="M76" i="5"/>
  <c r="L76" i="5"/>
  <c r="K76" i="5"/>
  <c r="J76" i="5"/>
  <c r="I76" i="5"/>
  <c r="H76" i="5"/>
  <c r="G76" i="5"/>
  <c r="F76" i="5"/>
  <c r="E76" i="5"/>
  <c r="D76" i="5"/>
  <c r="C76" i="5"/>
  <c r="B76" i="5"/>
  <c r="L74" i="5"/>
  <c r="J74" i="5"/>
  <c r="G74" i="5"/>
  <c r="C74" i="5"/>
  <c r="Q73" i="5"/>
  <c r="P73" i="5"/>
  <c r="O73" i="5"/>
  <c r="N73" i="5"/>
  <c r="M73" i="5"/>
  <c r="L73" i="5"/>
  <c r="K73" i="5"/>
  <c r="J73" i="5"/>
  <c r="I73" i="5"/>
  <c r="H73" i="5"/>
  <c r="G73" i="5"/>
  <c r="F73" i="5"/>
  <c r="E73" i="5"/>
  <c r="D73" i="5"/>
  <c r="C73" i="5"/>
  <c r="B73" i="5"/>
  <c r="Q72" i="5"/>
  <c r="P72" i="5"/>
  <c r="O72" i="5"/>
  <c r="N72" i="5"/>
  <c r="M72" i="5"/>
  <c r="L72" i="5"/>
  <c r="K72" i="5"/>
  <c r="J72" i="5"/>
  <c r="I72" i="5"/>
  <c r="H72" i="5"/>
  <c r="G72" i="5"/>
  <c r="F72" i="5"/>
  <c r="E72" i="5"/>
  <c r="D72" i="5"/>
  <c r="C72" i="5"/>
  <c r="B72" i="5"/>
  <c r="Q62" i="5"/>
  <c r="P62" i="5"/>
  <c r="O62" i="5"/>
  <c r="N62" i="5"/>
  <c r="M62" i="5"/>
  <c r="L62" i="5"/>
  <c r="K62" i="5"/>
  <c r="J62" i="5"/>
  <c r="I62" i="5"/>
  <c r="H62" i="5"/>
  <c r="G62" i="5"/>
  <c r="F62" i="5"/>
  <c r="E62" i="5"/>
  <c r="D62" i="5"/>
  <c r="C62" i="5"/>
  <c r="B62" i="5"/>
  <c r="O56" i="5"/>
  <c r="N56" i="5"/>
  <c r="M56" i="5"/>
  <c r="M123" i="5" s="1"/>
  <c r="K56" i="5"/>
  <c r="B56" i="5"/>
  <c r="Q55" i="5"/>
  <c r="P55" i="5"/>
  <c r="O55" i="5"/>
  <c r="N55" i="5"/>
  <c r="M55" i="5"/>
  <c r="L55" i="5"/>
  <c r="K55" i="5"/>
  <c r="J55" i="5"/>
  <c r="I55" i="5"/>
  <c r="H55" i="5"/>
  <c r="G55" i="5"/>
  <c r="F55" i="5"/>
  <c r="E55" i="5"/>
  <c r="D55" i="5"/>
  <c r="C55" i="5"/>
  <c r="B55" i="5"/>
  <c r="Q50" i="5"/>
  <c r="P50" i="5"/>
  <c r="O50" i="5"/>
  <c r="N50" i="5"/>
  <c r="M50" i="5"/>
  <c r="L50" i="5"/>
  <c r="K50" i="5"/>
  <c r="J50" i="5"/>
  <c r="J56" i="5" s="1"/>
  <c r="I50" i="5"/>
  <c r="I56" i="5" s="1"/>
  <c r="H50" i="5"/>
  <c r="G50" i="5"/>
  <c r="G56" i="5" s="1"/>
  <c r="F50" i="5"/>
  <c r="F56" i="5" s="1"/>
  <c r="E50" i="5"/>
  <c r="E56" i="5" s="1"/>
  <c r="D50" i="5"/>
  <c r="C50" i="5"/>
  <c r="B50" i="5"/>
  <c r="M41" i="5"/>
  <c r="M127" i="5" s="1"/>
  <c r="L41" i="5"/>
  <c r="L114" i="5" s="1"/>
  <c r="K41" i="5"/>
  <c r="K95" i="5" s="1"/>
  <c r="I41" i="5"/>
  <c r="I95" i="5" s="1"/>
  <c r="Q40" i="5"/>
  <c r="P40" i="5"/>
  <c r="O40" i="5"/>
  <c r="N40" i="5"/>
  <c r="M40" i="5"/>
  <c r="L40" i="5"/>
  <c r="K40" i="5"/>
  <c r="K107" i="5" s="1"/>
  <c r="J40" i="5"/>
  <c r="J41" i="5" s="1"/>
  <c r="I40" i="5"/>
  <c r="I107" i="5" s="1"/>
  <c r="H40" i="5"/>
  <c r="G40" i="5"/>
  <c r="F40" i="5"/>
  <c r="E40" i="5"/>
  <c r="D40" i="5"/>
  <c r="C40" i="5"/>
  <c r="B40" i="5"/>
  <c r="Q32" i="5"/>
  <c r="P32" i="5"/>
  <c r="O32" i="5"/>
  <c r="N32" i="5"/>
  <c r="M32" i="5"/>
  <c r="L32" i="5"/>
  <c r="K32" i="5"/>
  <c r="J32" i="5"/>
  <c r="I32" i="5"/>
  <c r="H32" i="5"/>
  <c r="H41" i="5" s="1"/>
  <c r="G32" i="5"/>
  <c r="G41" i="5" s="1"/>
  <c r="F32" i="5"/>
  <c r="E32" i="5"/>
  <c r="E41" i="5" s="1"/>
  <c r="D32" i="5"/>
  <c r="C32" i="5"/>
  <c r="C41" i="5" s="1"/>
  <c r="B32" i="5"/>
  <c r="G19" i="5"/>
  <c r="G86" i="5" s="1"/>
  <c r="Q16" i="5"/>
  <c r="Q83" i="5" s="1"/>
  <c r="P16" i="5"/>
  <c r="P83" i="5" s="1"/>
  <c r="O16" i="5"/>
  <c r="O83" i="5" s="1"/>
  <c r="N16" i="5"/>
  <c r="N83" i="5" s="1"/>
  <c r="M16" i="5"/>
  <c r="M83" i="5" s="1"/>
  <c r="L16" i="5"/>
  <c r="K16" i="5"/>
  <c r="K83" i="5" s="1"/>
  <c r="J16" i="5"/>
  <c r="I16" i="5"/>
  <c r="I83" i="5" s="1"/>
  <c r="H16" i="5"/>
  <c r="G16" i="5"/>
  <c r="F16" i="5"/>
  <c r="F83" i="5" s="1"/>
  <c r="E16" i="5"/>
  <c r="E83" i="5" s="1"/>
  <c r="D16" i="5"/>
  <c r="D83" i="5" s="1"/>
  <c r="C16" i="5"/>
  <c r="C83" i="5" s="1"/>
  <c r="B16" i="5"/>
  <c r="B83" i="5" s="1"/>
  <c r="K12" i="5"/>
  <c r="K79" i="5" s="1"/>
  <c r="J12" i="5"/>
  <c r="J79" i="5" s="1"/>
  <c r="I12" i="5"/>
  <c r="I79" i="5" s="1"/>
  <c r="G12" i="5"/>
  <c r="G79" i="5" s="1"/>
  <c r="Q11" i="5"/>
  <c r="P11" i="5"/>
  <c r="P78" i="5" s="1"/>
  <c r="O11" i="5"/>
  <c r="N11" i="5"/>
  <c r="N78" i="5" s="1"/>
  <c r="M11" i="5"/>
  <c r="M78" i="5" s="1"/>
  <c r="L11" i="5"/>
  <c r="L78" i="5" s="1"/>
  <c r="K11" i="5"/>
  <c r="K78" i="5" s="1"/>
  <c r="J11" i="5"/>
  <c r="J78" i="5" s="1"/>
  <c r="I11" i="5"/>
  <c r="H11" i="5"/>
  <c r="H78" i="5" s="1"/>
  <c r="G11" i="5"/>
  <c r="G78" i="5" s="1"/>
  <c r="F11" i="5"/>
  <c r="F78" i="5" s="1"/>
  <c r="E11" i="5"/>
  <c r="E78" i="5" s="1"/>
  <c r="D11" i="5"/>
  <c r="D78" i="5" s="1"/>
  <c r="C11" i="5"/>
  <c r="C78" i="5" s="1"/>
  <c r="B11" i="5"/>
  <c r="B78" i="5" s="1"/>
  <c r="Q7" i="5"/>
  <c r="Q74" i="5" s="1"/>
  <c r="P7" i="5"/>
  <c r="P74" i="5" s="1"/>
  <c r="O7" i="5"/>
  <c r="O12" i="5" s="1"/>
  <c r="N7" i="5"/>
  <c r="N12" i="5" s="1"/>
  <c r="M7" i="5"/>
  <c r="M12" i="5" s="1"/>
  <c r="L7" i="5"/>
  <c r="L12" i="5" s="1"/>
  <c r="K7" i="5"/>
  <c r="K74" i="5" s="1"/>
  <c r="J7" i="5"/>
  <c r="I7" i="5"/>
  <c r="I74" i="5" s="1"/>
  <c r="H7" i="5"/>
  <c r="G7" i="5"/>
  <c r="F7" i="5"/>
  <c r="F74" i="5" s="1"/>
  <c r="E7" i="5"/>
  <c r="E74" i="5" s="1"/>
  <c r="D7" i="5"/>
  <c r="D74" i="5" s="1"/>
  <c r="C7" i="5"/>
  <c r="C12" i="5" s="1"/>
  <c r="B7" i="5"/>
  <c r="B74" i="5" s="1"/>
  <c r="B130" i="1"/>
  <c r="B129" i="1"/>
  <c r="Q128" i="1"/>
  <c r="P128" i="1"/>
  <c r="O128" i="1"/>
  <c r="N128" i="1"/>
  <c r="M128" i="1"/>
  <c r="L128" i="1"/>
  <c r="K128" i="1"/>
  <c r="J128" i="1"/>
  <c r="I128" i="1"/>
  <c r="H128" i="1"/>
  <c r="G128" i="1"/>
  <c r="F128" i="1"/>
  <c r="E128" i="1"/>
  <c r="D128" i="1"/>
  <c r="C128" i="1"/>
  <c r="B128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D127" i="1"/>
  <c r="C127" i="1"/>
  <c r="B127" i="1"/>
  <c r="Q126" i="1"/>
  <c r="P126" i="1"/>
  <c r="O126" i="1"/>
  <c r="N126" i="1"/>
  <c r="M126" i="1"/>
  <c r="L126" i="1"/>
  <c r="K126" i="1"/>
  <c r="J126" i="1"/>
  <c r="I126" i="1"/>
  <c r="H126" i="1"/>
  <c r="G126" i="1"/>
  <c r="F126" i="1"/>
  <c r="E126" i="1"/>
  <c r="D126" i="1"/>
  <c r="C126" i="1"/>
  <c r="B126" i="1"/>
  <c r="Q125" i="1"/>
  <c r="P125" i="1"/>
  <c r="O125" i="1"/>
  <c r="N125" i="1"/>
  <c r="M125" i="1"/>
  <c r="L125" i="1"/>
  <c r="K125" i="1"/>
  <c r="J125" i="1"/>
  <c r="I125" i="1"/>
  <c r="H125" i="1"/>
  <c r="G125" i="1"/>
  <c r="F125" i="1"/>
  <c r="E125" i="1"/>
  <c r="D125" i="1"/>
  <c r="C125" i="1"/>
  <c r="B125" i="1"/>
  <c r="B123" i="1"/>
  <c r="Q122" i="1"/>
  <c r="H122" i="1"/>
  <c r="F122" i="1"/>
  <c r="E122" i="1"/>
  <c r="B122" i="1"/>
  <c r="Q121" i="1"/>
  <c r="P121" i="1"/>
  <c r="O121" i="1"/>
  <c r="N121" i="1"/>
  <c r="M121" i="1"/>
  <c r="L121" i="1"/>
  <c r="K121" i="1"/>
  <c r="J121" i="1"/>
  <c r="I121" i="1"/>
  <c r="H121" i="1"/>
  <c r="G121" i="1"/>
  <c r="F121" i="1"/>
  <c r="E121" i="1"/>
  <c r="D121" i="1"/>
  <c r="C121" i="1"/>
  <c r="B121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D120" i="1"/>
  <c r="C120" i="1"/>
  <c r="B120" i="1"/>
  <c r="Q119" i="1"/>
  <c r="P119" i="1"/>
  <c r="O119" i="1"/>
  <c r="N119" i="1"/>
  <c r="M119" i="1"/>
  <c r="L119" i="1"/>
  <c r="K119" i="1"/>
  <c r="J119" i="1"/>
  <c r="I119" i="1"/>
  <c r="H119" i="1"/>
  <c r="G119" i="1"/>
  <c r="F119" i="1"/>
  <c r="E119" i="1"/>
  <c r="D119" i="1"/>
  <c r="C119" i="1"/>
  <c r="B119" i="1"/>
  <c r="O117" i="1"/>
  <c r="I117" i="1"/>
  <c r="B117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C116" i="1"/>
  <c r="B116" i="1"/>
  <c r="Q115" i="1"/>
  <c r="P115" i="1"/>
  <c r="O115" i="1"/>
  <c r="N115" i="1"/>
  <c r="M115" i="1"/>
  <c r="L115" i="1"/>
  <c r="K115" i="1"/>
  <c r="J115" i="1"/>
  <c r="I115" i="1"/>
  <c r="H115" i="1"/>
  <c r="G115" i="1"/>
  <c r="F115" i="1"/>
  <c r="E115" i="1"/>
  <c r="D115" i="1"/>
  <c r="C115" i="1"/>
  <c r="B115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C114" i="1"/>
  <c r="B114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B113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C112" i="1"/>
  <c r="B112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E111" i="1"/>
  <c r="D111" i="1"/>
  <c r="C111" i="1"/>
  <c r="B111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D110" i="1"/>
  <c r="C110" i="1"/>
  <c r="B110" i="1"/>
  <c r="B108" i="1"/>
  <c r="I107" i="1"/>
  <c r="F107" i="1"/>
  <c r="C107" i="1"/>
  <c r="B107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D106" i="1"/>
  <c r="C106" i="1"/>
  <c r="B106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D105" i="1"/>
  <c r="C105" i="1"/>
  <c r="B105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C104" i="1"/>
  <c r="B104" i="1"/>
  <c r="Q103" i="1"/>
  <c r="P103" i="1"/>
  <c r="O103" i="1"/>
  <c r="N103" i="1"/>
  <c r="M103" i="1"/>
  <c r="L103" i="1"/>
  <c r="K103" i="1"/>
  <c r="J103" i="1"/>
  <c r="I103" i="1"/>
  <c r="H103" i="1"/>
  <c r="G103" i="1"/>
  <c r="F103" i="1"/>
  <c r="E103" i="1"/>
  <c r="D103" i="1"/>
  <c r="C103" i="1"/>
  <c r="B103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C102" i="1"/>
  <c r="B102" i="1"/>
  <c r="Q101" i="1"/>
  <c r="P101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C101" i="1"/>
  <c r="B101" i="1"/>
  <c r="Q99" i="1"/>
  <c r="J99" i="1"/>
  <c r="G99" i="1"/>
  <c r="B99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C98" i="1"/>
  <c r="B98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C97" i="1"/>
  <c r="B97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C96" i="1"/>
  <c r="B96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D95" i="1"/>
  <c r="C95" i="1"/>
  <c r="B95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C94" i="1"/>
  <c r="B94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C93" i="1"/>
  <c r="B93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C92" i="1"/>
  <c r="B92" i="1"/>
  <c r="B88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C87" i="1"/>
  <c r="B87" i="1"/>
  <c r="B86" i="1"/>
  <c r="O83" i="1"/>
  <c r="I83" i="1"/>
  <c r="F83" i="1"/>
  <c r="C83" i="1"/>
  <c r="B83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B82" i="1"/>
  <c r="B79" i="1"/>
  <c r="O78" i="1"/>
  <c r="J78" i="1"/>
  <c r="I78" i="1"/>
  <c r="B78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C77" i="1"/>
  <c r="B77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B76" i="1"/>
  <c r="M74" i="1"/>
  <c r="K74" i="1"/>
  <c r="G74" i="1"/>
  <c r="B74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C73" i="1"/>
  <c r="B73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B72" i="1"/>
  <c r="N63" i="1"/>
  <c r="F63" i="1"/>
  <c r="Q62" i="1"/>
  <c r="P62" i="1"/>
  <c r="O62" i="1"/>
  <c r="N62" i="1"/>
  <c r="M62" i="1"/>
  <c r="L62" i="1"/>
  <c r="M129" i="1" s="1"/>
  <c r="K62" i="1"/>
  <c r="L129" i="1" s="1"/>
  <c r="J62" i="1"/>
  <c r="I62" i="1"/>
  <c r="J129" i="1" s="1"/>
  <c r="H62" i="1"/>
  <c r="I129" i="1" s="1"/>
  <c r="G62" i="1"/>
  <c r="H129" i="1" s="1"/>
  <c r="F62" i="1"/>
  <c r="G129" i="1" s="1"/>
  <c r="E62" i="1"/>
  <c r="F129" i="1" s="1"/>
  <c r="D62" i="1"/>
  <c r="C62" i="1"/>
  <c r="B62" i="1"/>
  <c r="H56" i="1"/>
  <c r="F56" i="1"/>
  <c r="Q55" i="1"/>
  <c r="P55" i="1"/>
  <c r="O55" i="1"/>
  <c r="N55" i="1"/>
  <c r="M55" i="1"/>
  <c r="L55" i="1"/>
  <c r="K55" i="1"/>
  <c r="J55" i="1"/>
  <c r="I55" i="1"/>
  <c r="H55" i="1"/>
  <c r="I122" i="1" s="1"/>
  <c r="G55" i="1"/>
  <c r="F55" i="1"/>
  <c r="G122" i="1" s="1"/>
  <c r="E55" i="1"/>
  <c r="D55" i="1"/>
  <c r="C55" i="1"/>
  <c r="D122" i="1" s="1"/>
  <c r="B55" i="1"/>
  <c r="Q50" i="1"/>
  <c r="Q56" i="1" s="1"/>
  <c r="P50" i="1"/>
  <c r="O50" i="1"/>
  <c r="N50" i="1"/>
  <c r="N56" i="1" s="1"/>
  <c r="M50" i="1"/>
  <c r="L50" i="1"/>
  <c r="K50" i="1"/>
  <c r="L117" i="1" s="1"/>
  <c r="J50" i="1"/>
  <c r="K117" i="1" s="1"/>
  <c r="I50" i="1"/>
  <c r="H50" i="1"/>
  <c r="G50" i="1"/>
  <c r="F50" i="1"/>
  <c r="E50" i="1"/>
  <c r="F117" i="1" s="1"/>
  <c r="D50" i="1"/>
  <c r="C50" i="1"/>
  <c r="B50" i="1"/>
  <c r="Q41" i="1"/>
  <c r="I41" i="1"/>
  <c r="H41" i="1"/>
  <c r="H120" i="2" s="1"/>
  <c r="F41" i="1"/>
  <c r="D41" i="1"/>
  <c r="Q40" i="1"/>
  <c r="P40" i="1"/>
  <c r="Q107" i="1" s="1"/>
  <c r="O40" i="1"/>
  <c r="P107" i="1" s="1"/>
  <c r="N40" i="1"/>
  <c r="O107" i="1" s="1"/>
  <c r="M40" i="1"/>
  <c r="L40" i="1"/>
  <c r="K40" i="1"/>
  <c r="J40" i="1"/>
  <c r="I40" i="1"/>
  <c r="H40" i="1"/>
  <c r="G40" i="1"/>
  <c r="F40" i="1"/>
  <c r="E40" i="1"/>
  <c r="D40" i="1"/>
  <c r="E107" i="1" s="1"/>
  <c r="C40" i="1"/>
  <c r="D107" i="1" s="1"/>
  <c r="B40" i="1"/>
  <c r="Q32" i="1"/>
  <c r="P32" i="1"/>
  <c r="O32" i="1"/>
  <c r="N32" i="1"/>
  <c r="M32" i="1"/>
  <c r="L32" i="1"/>
  <c r="K32" i="1"/>
  <c r="J32" i="1"/>
  <c r="J41" i="1" s="1"/>
  <c r="I32" i="1"/>
  <c r="H32" i="1"/>
  <c r="I99" i="1" s="1"/>
  <c r="G32" i="1"/>
  <c r="H99" i="1" s="1"/>
  <c r="F32" i="1"/>
  <c r="E32" i="1"/>
  <c r="D32" i="1"/>
  <c r="C32" i="1"/>
  <c r="B32" i="1"/>
  <c r="B41" i="1" s="1"/>
  <c r="Q16" i="1"/>
  <c r="P16" i="1"/>
  <c r="O16" i="1"/>
  <c r="N16" i="1"/>
  <c r="M16" i="1"/>
  <c r="N83" i="1" s="1"/>
  <c r="L16" i="1"/>
  <c r="M83" i="1" s="1"/>
  <c r="K16" i="1"/>
  <c r="J16" i="1"/>
  <c r="I16" i="1"/>
  <c r="H16" i="1"/>
  <c r="G16" i="1"/>
  <c r="F16" i="1"/>
  <c r="E16" i="1"/>
  <c r="D16" i="1"/>
  <c r="C16" i="1"/>
  <c r="B16" i="1"/>
  <c r="N12" i="1"/>
  <c r="M12" i="1"/>
  <c r="J12" i="1"/>
  <c r="Q11" i="1"/>
  <c r="P11" i="1"/>
  <c r="Q78" i="1" s="1"/>
  <c r="O11" i="1"/>
  <c r="N11" i="1"/>
  <c r="N78" i="2" s="1"/>
  <c r="M11" i="1"/>
  <c r="M78" i="2" s="1"/>
  <c r="L11" i="1"/>
  <c r="K11" i="1"/>
  <c r="J11" i="1"/>
  <c r="I11" i="1"/>
  <c r="H11" i="1"/>
  <c r="G11" i="1"/>
  <c r="F11" i="1"/>
  <c r="E11" i="1"/>
  <c r="F78" i="1" s="1"/>
  <c r="D11" i="1"/>
  <c r="E78" i="1" s="1"/>
  <c r="C11" i="1"/>
  <c r="B11" i="1"/>
  <c r="C78" i="1" s="1"/>
  <c r="Q7" i="1"/>
  <c r="Q12" i="1" s="1"/>
  <c r="P7" i="1"/>
  <c r="P74" i="2" s="1"/>
  <c r="O7" i="1"/>
  <c r="P74" i="1" s="1"/>
  <c r="N7" i="1"/>
  <c r="O74" i="1" s="1"/>
  <c r="M7" i="1"/>
  <c r="L7" i="1"/>
  <c r="K7" i="1"/>
  <c r="J7" i="1"/>
  <c r="I7" i="1"/>
  <c r="I74" i="2" s="1"/>
  <c r="H7" i="1"/>
  <c r="G7" i="1"/>
  <c r="F7" i="1"/>
  <c r="F12" i="1" s="1"/>
  <c r="E7" i="1"/>
  <c r="D7" i="1"/>
  <c r="C7" i="1"/>
  <c r="B7" i="1"/>
  <c r="B12" i="1" s="1"/>
  <c r="J129" i="2"/>
  <c r="F129" i="2"/>
  <c r="J128" i="2"/>
  <c r="I128" i="2"/>
  <c r="J127" i="2"/>
  <c r="Q126" i="2"/>
  <c r="F123" i="2"/>
  <c r="F122" i="2"/>
  <c r="B122" i="2"/>
  <c r="Q121" i="2"/>
  <c r="I121" i="2"/>
  <c r="F121" i="2"/>
  <c r="J120" i="2"/>
  <c r="F120" i="2"/>
  <c r="J119" i="2"/>
  <c r="I119" i="2"/>
  <c r="H119" i="2"/>
  <c r="F117" i="2"/>
  <c r="B117" i="2"/>
  <c r="J116" i="2"/>
  <c r="F116" i="2"/>
  <c r="J115" i="2"/>
  <c r="B115" i="2"/>
  <c r="Q114" i="2"/>
  <c r="F114" i="2"/>
  <c r="J113" i="2"/>
  <c r="F113" i="2"/>
  <c r="J112" i="2"/>
  <c r="H111" i="2"/>
  <c r="F111" i="2"/>
  <c r="B111" i="2"/>
  <c r="J110" i="2"/>
  <c r="I110" i="2"/>
  <c r="F110" i="2"/>
  <c r="J108" i="2"/>
  <c r="I108" i="2"/>
  <c r="H108" i="2"/>
  <c r="D108" i="2"/>
  <c r="B108" i="2"/>
  <c r="H107" i="2"/>
  <c r="F107" i="2"/>
  <c r="J106" i="2"/>
  <c r="F106" i="2"/>
  <c r="D106" i="2"/>
  <c r="J105" i="2"/>
  <c r="Q104" i="2"/>
  <c r="F104" i="2"/>
  <c r="B104" i="2"/>
  <c r="Q103" i="2"/>
  <c r="J103" i="2"/>
  <c r="F103" i="2"/>
  <c r="J102" i="2"/>
  <c r="B102" i="2"/>
  <c r="F101" i="2"/>
  <c r="J99" i="2"/>
  <c r="I99" i="2"/>
  <c r="H99" i="2"/>
  <c r="F99" i="2"/>
  <c r="J98" i="2"/>
  <c r="B98" i="2"/>
  <c r="H97" i="2"/>
  <c r="F97" i="2"/>
  <c r="D97" i="2"/>
  <c r="J96" i="2"/>
  <c r="F96" i="2"/>
  <c r="J95" i="2"/>
  <c r="D95" i="2"/>
  <c r="B95" i="2"/>
  <c r="Q94" i="2"/>
  <c r="F94" i="2"/>
  <c r="B94" i="2"/>
  <c r="Q93" i="2"/>
  <c r="J93" i="2"/>
  <c r="F93" i="2"/>
  <c r="J92" i="2"/>
  <c r="B92" i="2"/>
  <c r="Q87" i="2"/>
  <c r="P87" i="2"/>
  <c r="O87" i="2"/>
  <c r="N87" i="2"/>
  <c r="M87" i="2"/>
  <c r="L87" i="2"/>
  <c r="K87" i="2"/>
  <c r="J87" i="2"/>
  <c r="I87" i="2"/>
  <c r="H87" i="2"/>
  <c r="G87" i="2"/>
  <c r="F87" i="2"/>
  <c r="E87" i="2"/>
  <c r="D87" i="2"/>
  <c r="C87" i="2"/>
  <c r="B87" i="2"/>
  <c r="Q83" i="2"/>
  <c r="P83" i="2"/>
  <c r="O83" i="2"/>
  <c r="N83" i="2"/>
  <c r="M83" i="2"/>
  <c r="L83" i="2"/>
  <c r="I83" i="2"/>
  <c r="H83" i="2"/>
  <c r="F83" i="2"/>
  <c r="E83" i="2"/>
  <c r="D83" i="2"/>
  <c r="C83" i="2"/>
  <c r="B83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B82" i="2"/>
  <c r="Q78" i="2"/>
  <c r="P78" i="2"/>
  <c r="O78" i="2"/>
  <c r="J78" i="2"/>
  <c r="I78" i="2"/>
  <c r="H78" i="2"/>
  <c r="F78" i="2"/>
  <c r="E78" i="2"/>
  <c r="D78" i="2"/>
  <c r="C78" i="2"/>
  <c r="B78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B77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B76" i="2"/>
  <c r="N74" i="2"/>
  <c r="M74" i="2"/>
  <c r="L74" i="2"/>
  <c r="J74" i="2"/>
  <c r="F74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B73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B72" i="2"/>
  <c r="B62" i="2"/>
  <c r="B55" i="2"/>
  <c r="B50" i="2"/>
  <c r="B56" i="2" s="1"/>
  <c r="B41" i="2"/>
  <c r="B40" i="2"/>
  <c r="B32" i="2"/>
  <c r="B99" i="2" s="1"/>
  <c r="B16" i="2"/>
  <c r="B11" i="2"/>
  <c r="B7" i="2"/>
  <c r="B74" i="2" s="1"/>
  <c r="Q91" i="7" l="1"/>
  <c r="Q88" i="7"/>
  <c r="Q82" i="7"/>
  <c r="Q79" i="7"/>
  <c r="Q76" i="7"/>
  <c r="Q81" i="7"/>
  <c r="Q90" i="7"/>
  <c r="Q77" i="7"/>
  <c r="Q78" i="7"/>
  <c r="J77" i="7"/>
  <c r="J91" i="7"/>
  <c r="J88" i="7"/>
  <c r="J82" i="7"/>
  <c r="J79" i="7"/>
  <c r="J76" i="7"/>
  <c r="J90" i="7"/>
  <c r="J81" i="7"/>
  <c r="J78" i="7"/>
  <c r="G18" i="7"/>
  <c r="G20" i="7" s="1"/>
  <c r="C91" i="7"/>
  <c r="C88" i="7"/>
  <c r="C82" i="7"/>
  <c r="C79" i="7"/>
  <c r="C76" i="7"/>
  <c r="C77" i="7"/>
  <c r="C78" i="7"/>
  <c r="C90" i="7"/>
  <c r="C81" i="7"/>
  <c r="O91" i="7"/>
  <c r="O88" i="7"/>
  <c r="O82" i="7"/>
  <c r="O79" i="7"/>
  <c r="O76" i="7"/>
  <c r="O77" i="7"/>
  <c r="O90" i="7"/>
  <c r="O81" i="7"/>
  <c r="O78" i="7"/>
  <c r="D91" i="7"/>
  <c r="D88" i="7"/>
  <c r="D82" i="7"/>
  <c r="D79" i="7"/>
  <c r="D76" i="7"/>
  <c r="D77" i="7"/>
  <c r="D78" i="7"/>
  <c r="D90" i="7"/>
  <c r="D81" i="7"/>
  <c r="P91" i="7"/>
  <c r="P88" i="7"/>
  <c r="P82" i="7"/>
  <c r="P79" i="7"/>
  <c r="P76" i="7"/>
  <c r="P77" i="7"/>
  <c r="P90" i="7"/>
  <c r="P81" i="7"/>
  <c r="P78" i="7"/>
  <c r="E91" i="7"/>
  <c r="E88" i="7"/>
  <c r="E82" i="7"/>
  <c r="E79" i="7"/>
  <c r="E76" i="7"/>
  <c r="E90" i="7"/>
  <c r="E77" i="7"/>
  <c r="E78" i="7"/>
  <c r="E81" i="7"/>
  <c r="B82" i="7"/>
  <c r="B79" i="7"/>
  <c r="B76" i="7"/>
  <c r="B81" i="7"/>
  <c r="B78" i="7"/>
  <c r="G60" i="7"/>
  <c r="G67" i="7" s="1"/>
  <c r="F11" i="7"/>
  <c r="D12" i="7"/>
  <c r="H60" i="7"/>
  <c r="H67" i="7" s="1"/>
  <c r="G83" i="7"/>
  <c r="E12" i="7"/>
  <c r="I60" i="7"/>
  <c r="I67" i="7" s="1"/>
  <c r="J12" i="7"/>
  <c r="H90" i="7"/>
  <c r="H81" i="7"/>
  <c r="H78" i="7"/>
  <c r="H91" i="7"/>
  <c r="H88" i="7"/>
  <c r="H82" i="7"/>
  <c r="H79" i="7"/>
  <c r="H76" i="7"/>
  <c r="B45" i="7"/>
  <c r="B87" i="7" s="1"/>
  <c r="N45" i="7"/>
  <c r="N87" i="7" s="1"/>
  <c r="F84" i="7"/>
  <c r="F83" i="7"/>
  <c r="I90" i="7"/>
  <c r="I81" i="7"/>
  <c r="I78" i="7"/>
  <c r="I91" i="7"/>
  <c r="I88" i="7"/>
  <c r="I82" i="7"/>
  <c r="I79" i="7"/>
  <c r="I76" i="7"/>
  <c r="B77" i="7"/>
  <c r="O12" i="7"/>
  <c r="N88" i="7"/>
  <c r="N82" i="7"/>
  <c r="N79" i="7"/>
  <c r="N76" i="7"/>
  <c r="N81" i="7"/>
  <c r="N78" i="7"/>
  <c r="K18" i="7"/>
  <c r="K20" i="7" s="1"/>
  <c r="P12" i="7"/>
  <c r="L11" i="7"/>
  <c r="Q12" i="7"/>
  <c r="B60" i="7"/>
  <c r="B67" i="7" s="1"/>
  <c r="N60" i="7"/>
  <c r="N67" i="7" s="1"/>
  <c r="I77" i="7"/>
  <c r="M11" i="7"/>
  <c r="H12" i="7"/>
  <c r="G45" i="7"/>
  <c r="G87" i="7" s="1"/>
  <c r="K83" i="7"/>
  <c r="K84" i="7"/>
  <c r="N77" i="7"/>
  <c r="H45" i="7"/>
  <c r="H87" i="7" s="1"/>
  <c r="L83" i="7"/>
  <c r="L84" i="7"/>
  <c r="N12" i="7"/>
  <c r="I45" i="7"/>
  <c r="I87" i="7" s="1"/>
  <c r="M83" i="7"/>
  <c r="M84" i="7"/>
  <c r="J12" i="6"/>
  <c r="C45" i="6"/>
  <c r="C87" i="6"/>
  <c r="C84" i="6"/>
  <c r="O45" i="6"/>
  <c r="O87" i="6"/>
  <c r="O84" i="6"/>
  <c r="L98" i="6"/>
  <c r="K104" i="6"/>
  <c r="O85" i="6"/>
  <c r="O60" i="6"/>
  <c r="C106" i="6"/>
  <c r="C103" i="6"/>
  <c r="O106" i="6"/>
  <c r="O103" i="6"/>
  <c r="K12" i="6"/>
  <c r="D45" i="6"/>
  <c r="D87" i="6"/>
  <c r="D84" i="6"/>
  <c r="P45" i="6"/>
  <c r="P87" i="6"/>
  <c r="P84" i="6"/>
  <c r="D85" i="6"/>
  <c r="D60" i="6"/>
  <c r="P85" i="6"/>
  <c r="P60" i="6"/>
  <c r="D106" i="6"/>
  <c r="D103" i="6"/>
  <c r="P106" i="6"/>
  <c r="P103" i="6"/>
  <c r="L12" i="6"/>
  <c r="E45" i="6"/>
  <c r="E87" i="6"/>
  <c r="E84" i="6"/>
  <c r="Q45" i="6"/>
  <c r="Q87" i="6"/>
  <c r="Q84" i="6"/>
  <c r="E85" i="6"/>
  <c r="E60" i="6"/>
  <c r="Q106" i="6"/>
  <c r="Q103" i="6"/>
  <c r="K105" i="6"/>
  <c r="M12" i="6"/>
  <c r="J18" i="6"/>
  <c r="N12" i="6"/>
  <c r="N75" i="6"/>
  <c r="N18" i="6"/>
  <c r="K18" i="6"/>
  <c r="K67" i="6"/>
  <c r="M105" i="6"/>
  <c r="D11" i="6"/>
  <c r="P11" i="6"/>
  <c r="L18" i="6"/>
  <c r="M18" i="6"/>
  <c r="M67" i="6"/>
  <c r="F11" i="6"/>
  <c r="F74" i="6"/>
  <c r="F105" i="6"/>
  <c r="G98" i="6"/>
  <c r="F104" i="6"/>
  <c r="F102" i="6"/>
  <c r="F67" i="6"/>
  <c r="D86" i="6"/>
  <c r="Q85" i="6"/>
  <c r="Q60" i="6"/>
  <c r="G11" i="6"/>
  <c r="G74" i="6"/>
  <c r="C12" i="6"/>
  <c r="C75" i="6"/>
  <c r="C18" i="6"/>
  <c r="O12" i="6"/>
  <c r="O75" i="6"/>
  <c r="O18" i="6"/>
  <c r="G105" i="6"/>
  <c r="H98" i="6"/>
  <c r="G104" i="6"/>
  <c r="G102" i="6"/>
  <c r="G67" i="6"/>
  <c r="J75" i="6"/>
  <c r="E86" i="6"/>
  <c r="E106" i="6"/>
  <c r="E103" i="6"/>
  <c r="H11" i="6"/>
  <c r="H74" i="6"/>
  <c r="L45" i="6"/>
  <c r="H105" i="6"/>
  <c r="I98" i="6"/>
  <c r="H104" i="6"/>
  <c r="H102" i="6"/>
  <c r="H67" i="6"/>
  <c r="K75" i="6"/>
  <c r="B80" i="6"/>
  <c r="I11" i="6"/>
  <c r="I74" i="6"/>
  <c r="Q12" i="6"/>
  <c r="Q75" i="6"/>
  <c r="Q18" i="6"/>
  <c r="I105" i="6"/>
  <c r="I104" i="6"/>
  <c r="J98" i="6"/>
  <c r="I102" i="6"/>
  <c r="I67" i="6"/>
  <c r="L75" i="6"/>
  <c r="O86" i="6"/>
  <c r="C85" i="6"/>
  <c r="C60" i="6"/>
  <c r="E12" i="6"/>
  <c r="E18" i="6"/>
  <c r="E75" i="6"/>
  <c r="B12" i="6"/>
  <c r="B75" i="6"/>
  <c r="B45" i="6"/>
  <c r="B87" i="6"/>
  <c r="B84" i="6"/>
  <c r="N45" i="6"/>
  <c r="N87" i="6"/>
  <c r="N84" i="6"/>
  <c r="K98" i="6"/>
  <c r="J104" i="6"/>
  <c r="B85" i="6"/>
  <c r="B60" i="6"/>
  <c r="N85" i="6"/>
  <c r="N60" i="6"/>
  <c r="B106" i="6"/>
  <c r="B103" i="6"/>
  <c r="N106" i="6"/>
  <c r="N103" i="6"/>
  <c r="M75" i="6"/>
  <c r="P86" i="6"/>
  <c r="L60" i="6"/>
  <c r="L85" i="6"/>
  <c r="L103" i="6"/>
  <c r="F84" i="6"/>
  <c r="G84" i="6"/>
  <c r="I84" i="6"/>
  <c r="B63" i="2"/>
  <c r="B130" i="2" s="1"/>
  <c r="B123" i="2"/>
  <c r="G83" i="2"/>
  <c r="H83" i="1"/>
  <c r="E129" i="1"/>
  <c r="D129" i="2"/>
  <c r="M13" i="1"/>
  <c r="M19" i="1"/>
  <c r="M79" i="2"/>
  <c r="Q129" i="1"/>
  <c r="P129" i="2"/>
  <c r="O19" i="4"/>
  <c r="O21" i="4" s="1"/>
  <c r="O13" i="4"/>
  <c r="O12" i="1"/>
  <c r="M78" i="1"/>
  <c r="L78" i="2"/>
  <c r="D127" i="2"/>
  <c r="D120" i="2"/>
  <c r="D128" i="2"/>
  <c r="D126" i="2"/>
  <c r="D125" i="2"/>
  <c r="D111" i="2"/>
  <c r="D110" i="2"/>
  <c r="D101" i="2"/>
  <c r="D112" i="2"/>
  <c r="D102" i="2"/>
  <c r="D92" i="2"/>
  <c r="D121" i="2"/>
  <c r="D114" i="2"/>
  <c r="D113" i="2"/>
  <c r="D104" i="2"/>
  <c r="D103" i="2"/>
  <c r="D94" i="2"/>
  <c r="D93" i="2"/>
  <c r="O74" i="2"/>
  <c r="Q19" i="1"/>
  <c r="Q79" i="2"/>
  <c r="L19" i="4"/>
  <c r="L21" i="4" s="1"/>
  <c r="L13" i="4"/>
  <c r="Q74" i="2"/>
  <c r="D96" i="2"/>
  <c r="I129" i="2"/>
  <c r="I126" i="2"/>
  <c r="I125" i="2"/>
  <c r="I117" i="2"/>
  <c r="I114" i="2"/>
  <c r="I111" i="2"/>
  <c r="I104" i="2"/>
  <c r="I101" i="2"/>
  <c r="I97" i="2"/>
  <c r="I94" i="2"/>
  <c r="J108" i="1"/>
  <c r="I113" i="2"/>
  <c r="I112" i="2"/>
  <c r="I103" i="2"/>
  <c r="I102" i="2"/>
  <c r="I93" i="2"/>
  <c r="I92" i="2"/>
  <c r="I116" i="2"/>
  <c r="I115" i="2"/>
  <c r="I106" i="2"/>
  <c r="I105" i="2"/>
  <c r="I96" i="2"/>
  <c r="I95" i="2"/>
  <c r="I127" i="2"/>
  <c r="I123" i="1"/>
  <c r="H63" i="1"/>
  <c r="H123" i="2"/>
  <c r="C122" i="1"/>
  <c r="B121" i="2"/>
  <c r="B120" i="2"/>
  <c r="B116" i="2"/>
  <c r="B113" i="2"/>
  <c r="B110" i="2"/>
  <c r="B106" i="2"/>
  <c r="B103" i="2"/>
  <c r="B96" i="2"/>
  <c r="B93" i="2"/>
  <c r="B128" i="2"/>
  <c r="B127" i="2"/>
  <c r="B125" i="2"/>
  <c r="B126" i="2"/>
  <c r="D98" i="2"/>
  <c r="B101" i="2"/>
  <c r="B107" i="2"/>
  <c r="D122" i="2"/>
  <c r="H12" i="1"/>
  <c r="H74" i="2"/>
  <c r="I74" i="1"/>
  <c r="C108" i="1"/>
  <c r="Q127" i="2"/>
  <c r="Q120" i="2"/>
  <c r="Q119" i="2"/>
  <c r="Q115" i="2"/>
  <c r="Q112" i="2"/>
  <c r="Q108" i="2"/>
  <c r="Q105" i="2"/>
  <c r="Q102" i="2"/>
  <c r="Q98" i="2"/>
  <c r="Q95" i="2"/>
  <c r="Q92" i="2"/>
  <c r="Q116" i="2"/>
  <c r="Q107" i="2"/>
  <c r="Q106" i="2"/>
  <c r="Q97" i="2"/>
  <c r="Q96" i="2"/>
  <c r="Q128" i="2"/>
  <c r="Q111" i="2"/>
  <c r="Q110" i="2"/>
  <c r="Q101" i="2"/>
  <c r="Q125" i="2"/>
  <c r="M56" i="1"/>
  <c r="N117" i="1"/>
  <c r="M117" i="1"/>
  <c r="M117" i="2"/>
  <c r="I122" i="2"/>
  <c r="J122" i="1"/>
  <c r="I56" i="1"/>
  <c r="H74" i="1"/>
  <c r="D74" i="1"/>
  <c r="C12" i="1"/>
  <c r="K41" i="1"/>
  <c r="L99" i="1"/>
  <c r="K99" i="2"/>
  <c r="K99" i="1"/>
  <c r="H129" i="2"/>
  <c r="H126" i="2"/>
  <c r="H127" i="2"/>
  <c r="H125" i="2"/>
  <c r="I108" i="1"/>
  <c r="H121" i="2"/>
  <c r="H113" i="2"/>
  <c r="H112" i="2"/>
  <c r="H103" i="2"/>
  <c r="H102" i="2"/>
  <c r="H93" i="2"/>
  <c r="H92" i="2"/>
  <c r="H114" i="2"/>
  <c r="H104" i="2"/>
  <c r="H94" i="2"/>
  <c r="H116" i="2"/>
  <c r="H115" i="2"/>
  <c r="H106" i="2"/>
  <c r="H105" i="2"/>
  <c r="H96" i="2"/>
  <c r="H95" i="2"/>
  <c r="C122" i="2"/>
  <c r="H117" i="2"/>
  <c r="C99" i="2"/>
  <c r="D99" i="1"/>
  <c r="C99" i="1"/>
  <c r="C41" i="1"/>
  <c r="K107" i="2"/>
  <c r="L107" i="1"/>
  <c r="K122" i="1"/>
  <c r="J122" i="2"/>
  <c r="C74" i="2"/>
  <c r="I98" i="2"/>
  <c r="H101" i="2"/>
  <c r="B105" i="2"/>
  <c r="D107" i="2"/>
  <c r="Q113" i="2"/>
  <c r="N117" i="2"/>
  <c r="J19" i="1"/>
  <c r="J79" i="2"/>
  <c r="E99" i="1"/>
  <c r="D99" i="2"/>
  <c r="P41" i="1"/>
  <c r="P99" i="2"/>
  <c r="M107" i="1"/>
  <c r="L107" i="2"/>
  <c r="D117" i="1"/>
  <c r="C56" i="1"/>
  <c r="P117" i="1"/>
  <c r="O56" i="1"/>
  <c r="L122" i="1"/>
  <c r="K122" i="2"/>
  <c r="K56" i="1"/>
  <c r="N78" i="1"/>
  <c r="C79" i="1"/>
  <c r="B13" i="1"/>
  <c r="B19" i="1"/>
  <c r="N19" i="1"/>
  <c r="N79" i="2"/>
  <c r="O79" i="1"/>
  <c r="H117" i="1"/>
  <c r="P122" i="1"/>
  <c r="K78" i="2"/>
  <c r="L78" i="1"/>
  <c r="K78" i="1"/>
  <c r="F130" i="2"/>
  <c r="B12" i="2"/>
  <c r="E74" i="1"/>
  <c r="D12" i="1"/>
  <c r="E12" i="1"/>
  <c r="E74" i="2"/>
  <c r="N13" i="1"/>
  <c r="H107" i="1"/>
  <c r="G41" i="1"/>
  <c r="G107" i="1"/>
  <c r="C74" i="1"/>
  <c r="C112" i="5"/>
  <c r="C127" i="5"/>
  <c r="C116" i="5"/>
  <c r="C106" i="5"/>
  <c r="C96" i="5"/>
  <c r="C121" i="5"/>
  <c r="C111" i="5"/>
  <c r="C101" i="5"/>
  <c r="C125" i="5"/>
  <c r="C114" i="5"/>
  <c r="C104" i="5"/>
  <c r="C94" i="5"/>
  <c r="C95" i="5"/>
  <c r="C119" i="5"/>
  <c r="C115" i="5"/>
  <c r="C102" i="5"/>
  <c r="C120" i="5"/>
  <c r="C103" i="5"/>
  <c r="C128" i="5"/>
  <c r="C97" i="5"/>
  <c r="C108" i="5"/>
  <c r="C92" i="5"/>
  <c r="C98" i="5"/>
  <c r="C129" i="5"/>
  <c r="C113" i="5"/>
  <c r="C105" i="5"/>
  <c r="C93" i="5"/>
  <c r="C126" i="5"/>
  <c r="C110" i="5"/>
  <c r="C117" i="5"/>
  <c r="D117" i="2"/>
  <c r="F74" i="1"/>
  <c r="D115" i="2"/>
  <c r="H98" i="2"/>
  <c r="I120" i="2"/>
  <c r="P99" i="1"/>
  <c r="O41" i="1"/>
  <c r="O99" i="2" s="1"/>
  <c r="B56" i="1"/>
  <c r="C117" i="1"/>
  <c r="J56" i="1"/>
  <c r="D105" i="2"/>
  <c r="B112" i="2"/>
  <c r="B114" i="2"/>
  <c r="D116" i="2"/>
  <c r="B119" i="2"/>
  <c r="Q122" i="2"/>
  <c r="K12" i="1"/>
  <c r="E41" i="1"/>
  <c r="E108" i="1" s="1"/>
  <c r="Q99" i="2"/>
  <c r="N107" i="1"/>
  <c r="M107" i="2"/>
  <c r="E117" i="1"/>
  <c r="D56" i="1"/>
  <c r="Q117" i="1"/>
  <c r="P56" i="1"/>
  <c r="P117" i="2"/>
  <c r="M122" i="1"/>
  <c r="L122" i="2"/>
  <c r="F99" i="1"/>
  <c r="Q74" i="1"/>
  <c r="P12" i="1"/>
  <c r="Q13" i="1" s="1"/>
  <c r="N79" i="1"/>
  <c r="J120" i="5"/>
  <c r="J110" i="5"/>
  <c r="J125" i="5"/>
  <c r="J114" i="5"/>
  <c r="J119" i="5"/>
  <c r="J108" i="5"/>
  <c r="J98" i="5"/>
  <c r="J115" i="5"/>
  <c r="J103" i="5"/>
  <c r="J128" i="5"/>
  <c r="J112" i="5"/>
  <c r="J97" i="5"/>
  <c r="J92" i="5"/>
  <c r="J116" i="5"/>
  <c r="J104" i="5"/>
  <c r="J113" i="5"/>
  <c r="J93" i="5"/>
  <c r="J121" i="5"/>
  <c r="J105" i="5"/>
  <c r="J117" i="5"/>
  <c r="J126" i="5"/>
  <c r="J94" i="5"/>
  <c r="J122" i="5"/>
  <c r="J106" i="5"/>
  <c r="J101" i="5"/>
  <c r="J95" i="5"/>
  <c r="J127" i="5"/>
  <c r="J111" i="5"/>
  <c r="J102" i="5"/>
  <c r="J96" i="5"/>
  <c r="D86" i="4"/>
  <c r="K86" i="4"/>
  <c r="J86" i="4"/>
  <c r="I86" i="4"/>
  <c r="Q86" i="4"/>
  <c r="C86" i="4"/>
  <c r="N86" i="4"/>
  <c r="L86" i="4"/>
  <c r="G86" i="4"/>
  <c r="E86" i="4"/>
  <c r="B86" i="4"/>
  <c r="B21" i="4"/>
  <c r="K83" i="2"/>
  <c r="L83" i="1"/>
  <c r="G56" i="1"/>
  <c r="G123" i="1" s="1"/>
  <c r="D74" i="2"/>
  <c r="B129" i="2"/>
  <c r="B97" i="2"/>
  <c r="H110" i="2"/>
  <c r="D119" i="2"/>
  <c r="H128" i="2"/>
  <c r="L12" i="1"/>
  <c r="G83" i="1"/>
  <c r="F13" i="1"/>
  <c r="F79" i="2"/>
  <c r="Q63" i="1"/>
  <c r="Q130" i="2" s="1"/>
  <c r="Q123" i="2"/>
  <c r="M122" i="2"/>
  <c r="N129" i="2"/>
  <c r="N122" i="1"/>
  <c r="G12" i="1"/>
  <c r="G74" i="2"/>
  <c r="D78" i="1"/>
  <c r="P78" i="1"/>
  <c r="J126" i="2"/>
  <c r="J125" i="2"/>
  <c r="K108" i="1"/>
  <c r="J114" i="2"/>
  <c r="J111" i="2"/>
  <c r="J104" i="2"/>
  <c r="J101" i="2"/>
  <c r="J97" i="2"/>
  <c r="J94" i="2"/>
  <c r="J121" i="2"/>
  <c r="G117" i="1"/>
  <c r="D129" i="1"/>
  <c r="C129" i="2"/>
  <c r="P129" i="1"/>
  <c r="J74" i="1"/>
  <c r="O122" i="1"/>
  <c r="F19" i="1"/>
  <c r="L41" i="1"/>
  <c r="M99" i="1"/>
  <c r="G78" i="1"/>
  <c r="M41" i="1"/>
  <c r="N99" i="1"/>
  <c r="M99" i="2"/>
  <c r="I107" i="2"/>
  <c r="J107" i="1"/>
  <c r="F128" i="2"/>
  <c r="F119" i="2"/>
  <c r="F115" i="2"/>
  <c r="F112" i="2"/>
  <c r="F108" i="2"/>
  <c r="F105" i="2"/>
  <c r="F102" i="2"/>
  <c r="F98" i="2"/>
  <c r="F95" i="2"/>
  <c r="F92" i="2"/>
  <c r="F127" i="2"/>
  <c r="F126" i="2"/>
  <c r="F125" i="2"/>
  <c r="Q129" i="2"/>
  <c r="Q117" i="2"/>
  <c r="K74" i="2"/>
  <c r="L74" i="1"/>
  <c r="H78" i="1"/>
  <c r="G78" i="2"/>
  <c r="I12" i="1"/>
  <c r="J13" i="1" s="1"/>
  <c r="J83" i="2"/>
  <c r="K83" i="1"/>
  <c r="J83" i="1"/>
  <c r="O99" i="1"/>
  <c r="N41" i="1"/>
  <c r="J107" i="2"/>
  <c r="K107" i="1"/>
  <c r="E56" i="1"/>
  <c r="E127" i="5"/>
  <c r="E116" i="5"/>
  <c r="E106" i="5"/>
  <c r="E96" i="5"/>
  <c r="E121" i="5"/>
  <c r="E111" i="5"/>
  <c r="E101" i="5"/>
  <c r="E126" i="5"/>
  <c r="E115" i="5"/>
  <c r="E105" i="5"/>
  <c r="E95" i="5"/>
  <c r="E119" i="5"/>
  <c r="E108" i="5"/>
  <c r="E98" i="5"/>
  <c r="E102" i="5"/>
  <c r="E120" i="5"/>
  <c r="E103" i="5"/>
  <c r="E128" i="5"/>
  <c r="E112" i="5"/>
  <c r="E97" i="5"/>
  <c r="E125" i="5"/>
  <c r="E104" i="5"/>
  <c r="E92" i="5"/>
  <c r="E113" i="5"/>
  <c r="E93" i="5"/>
  <c r="E110" i="5"/>
  <c r="E94" i="5"/>
  <c r="E114" i="5"/>
  <c r="E123" i="5"/>
  <c r="E63" i="5"/>
  <c r="E130" i="5" s="1"/>
  <c r="M19" i="4"/>
  <c r="M21" i="4" s="1"/>
  <c r="M13" i="4"/>
  <c r="N13" i="4"/>
  <c r="K129" i="1"/>
  <c r="F123" i="5"/>
  <c r="F63" i="5"/>
  <c r="G121" i="5"/>
  <c r="G111" i="5"/>
  <c r="G101" i="5"/>
  <c r="G126" i="5"/>
  <c r="G115" i="5"/>
  <c r="G120" i="5"/>
  <c r="G110" i="5"/>
  <c r="G127" i="5"/>
  <c r="G102" i="5"/>
  <c r="G107" i="5"/>
  <c r="G96" i="5"/>
  <c r="G103" i="5"/>
  <c r="G128" i="5"/>
  <c r="G112" i="5"/>
  <c r="G97" i="5"/>
  <c r="G125" i="5"/>
  <c r="G108" i="5"/>
  <c r="G104" i="5"/>
  <c r="G92" i="5"/>
  <c r="G116" i="5"/>
  <c r="G98" i="5"/>
  <c r="G129" i="5"/>
  <c r="G113" i="5"/>
  <c r="G93" i="5"/>
  <c r="G105" i="5"/>
  <c r="G94" i="5"/>
  <c r="G114" i="5"/>
  <c r="G122" i="5"/>
  <c r="G106" i="5"/>
  <c r="G119" i="5"/>
  <c r="G95" i="5"/>
  <c r="N74" i="1"/>
  <c r="J117" i="1"/>
  <c r="M79" i="5"/>
  <c r="M13" i="5"/>
  <c r="M19" i="5"/>
  <c r="H127" i="5"/>
  <c r="H120" i="5"/>
  <c r="H116" i="5"/>
  <c r="H113" i="5"/>
  <c r="H110" i="5"/>
  <c r="H106" i="5"/>
  <c r="H103" i="5"/>
  <c r="H96" i="5"/>
  <c r="H93" i="5"/>
  <c r="H126" i="5"/>
  <c r="H115" i="5"/>
  <c r="H105" i="5"/>
  <c r="H95" i="5"/>
  <c r="H125" i="5"/>
  <c r="H114" i="5"/>
  <c r="H104" i="5"/>
  <c r="H94" i="5"/>
  <c r="H128" i="5"/>
  <c r="H97" i="5"/>
  <c r="H111" i="5"/>
  <c r="H112" i="5"/>
  <c r="H108" i="5"/>
  <c r="H92" i="5"/>
  <c r="H98" i="5"/>
  <c r="H129" i="5"/>
  <c r="H121" i="5"/>
  <c r="H122" i="5"/>
  <c r="H119" i="5"/>
  <c r="H101" i="5"/>
  <c r="H102" i="5"/>
  <c r="L79" i="5"/>
  <c r="L13" i="5"/>
  <c r="L19" i="5"/>
  <c r="J117" i="2"/>
  <c r="D83" i="1"/>
  <c r="P83" i="1"/>
  <c r="N129" i="1"/>
  <c r="N19" i="5"/>
  <c r="N79" i="5"/>
  <c r="N13" i="5"/>
  <c r="E107" i="5"/>
  <c r="I123" i="5"/>
  <c r="I63" i="5"/>
  <c r="I130" i="5" s="1"/>
  <c r="E122" i="5"/>
  <c r="C107" i="5"/>
  <c r="G123" i="5"/>
  <c r="G63" i="5"/>
  <c r="G130" i="5" s="1"/>
  <c r="E83" i="1"/>
  <c r="Q83" i="1"/>
  <c r="L56" i="1"/>
  <c r="H122" i="2"/>
  <c r="C129" i="1"/>
  <c r="O129" i="1"/>
  <c r="C79" i="5"/>
  <c r="C19" i="5"/>
  <c r="C13" i="5"/>
  <c r="O19" i="5"/>
  <c r="O79" i="5"/>
  <c r="O13" i="5"/>
  <c r="J63" i="5"/>
  <c r="J130" i="5" s="1"/>
  <c r="J123" i="5"/>
  <c r="F122" i="5"/>
  <c r="D12" i="5"/>
  <c r="Q12" i="5"/>
  <c r="B99" i="5"/>
  <c r="D117" i="5"/>
  <c r="D56" i="5"/>
  <c r="P117" i="5"/>
  <c r="P56" i="5"/>
  <c r="L122" i="5"/>
  <c r="B63" i="5"/>
  <c r="O63" i="5"/>
  <c r="M103" i="5"/>
  <c r="J107" i="5"/>
  <c r="I111" i="5"/>
  <c r="M112" i="5"/>
  <c r="K115" i="5"/>
  <c r="I127" i="5"/>
  <c r="F41" i="4"/>
  <c r="F108" i="4" s="1"/>
  <c r="M56" i="4"/>
  <c r="M63" i="4" s="1"/>
  <c r="O79" i="4"/>
  <c r="J108" i="4"/>
  <c r="M117" i="4"/>
  <c r="C129" i="4"/>
  <c r="E12" i="5"/>
  <c r="I19" i="5"/>
  <c r="L96" i="5"/>
  <c r="C99" i="5"/>
  <c r="M115" i="5"/>
  <c r="E117" i="5"/>
  <c r="G13" i="4"/>
  <c r="B13" i="4"/>
  <c r="H117" i="4"/>
  <c r="J117" i="4"/>
  <c r="B56" i="4"/>
  <c r="I117" i="4"/>
  <c r="G117" i="4"/>
  <c r="F117" i="4"/>
  <c r="O117" i="4"/>
  <c r="B117" i="4"/>
  <c r="N56" i="4"/>
  <c r="N63" i="4" s="1"/>
  <c r="Q79" i="4"/>
  <c r="G107" i="4"/>
  <c r="K108" i="4"/>
  <c r="N117" i="4"/>
  <c r="E129" i="4"/>
  <c r="F12" i="5"/>
  <c r="J19" i="5"/>
  <c r="G21" i="5"/>
  <c r="G88" i="5" s="1"/>
  <c r="D41" i="5"/>
  <c r="P41" i="5"/>
  <c r="P129" i="5" s="1"/>
  <c r="L107" i="5"/>
  <c r="I120" i="5"/>
  <c r="I110" i="5"/>
  <c r="I125" i="5"/>
  <c r="I114" i="5"/>
  <c r="I104" i="5"/>
  <c r="I94" i="5"/>
  <c r="I119" i="5"/>
  <c r="I108" i="5"/>
  <c r="I98" i="5"/>
  <c r="I112" i="5"/>
  <c r="I102" i="5"/>
  <c r="I92" i="5"/>
  <c r="B122" i="5"/>
  <c r="N122" i="5"/>
  <c r="K123" i="5"/>
  <c r="M96" i="5"/>
  <c r="I101" i="5"/>
  <c r="K102" i="5"/>
  <c r="I106" i="5"/>
  <c r="K111" i="5"/>
  <c r="F117" i="5"/>
  <c r="L127" i="5"/>
  <c r="H12" i="4"/>
  <c r="P13" i="4"/>
  <c r="C13" i="4"/>
  <c r="I129" i="4"/>
  <c r="K19" i="5"/>
  <c r="M107" i="5"/>
  <c r="C122" i="5"/>
  <c r="L56" i="5"/>
  <c r="I129" i="5"/>
  <c r="E99" i="5"/>
  <c r="M102" i="5"/>
  <c r="M111" i="5"/>
  <c r="G117" i="5"/>
  <c r="I126" i="5"/>
  <c r="I13" i="4"/>
  <c r="Q117" i="4"/>
  <c r="K125" i="5"/>
  <c r="K114" i="5"/>
  <c r="K104" i="5"/>
  <c r="K94" i="5"/>
  <c r="K119" i="5"/>
  <c r="K108" i="5"/>
  <c r="K113" i="5"/>
  <c r="K103" i="5"/>
  <c r="K93" i="5"/>
  <c r="K127" i="5"/>
  <c r="K116" i="5"/>
  <c r="K106" i="5"/>
  <c r="K96" i="5"/>
  <c r="H117" i="5"/>
  <c r="D122" i="5"/>
  <c r="P122" i="5"/>
  <c r="J129" i="5"/>
  <c r="K101" i="5"/>
  <c r="K110" i="5"/>
  <c r="K122" i="5"/>
  <c r="P79" i="4"/>
  <c r="D79" i="4"/>
  <c r="G79" i="4"/>
  <c r="E79" i="4"/>
  <c r="M79" i="4"/>
  <c r="J13" i="4"/>
  <c r="P108" i="4"/>
  <c r="D108" i="4"/>
  <c r="Q108" i="4"/>
  <c r="C108" i="4"/>
  <c r="O108" i="4"/>
  <c r="B108" i="4"/>
  <c r="N108" i="4"/>
  <c r="M108" i="4"/>
  <c r="I108" i="4"/>
  <c r="G99" i="5"/>
  <c r="L126" i="5"/>
  <c r="L119" i="5"/>
  <c r="L115" i="5"/>
  <c r="L112" i="5"/>
  <c r="L108" i="5"/>
  <c r="L105" i="5"/>
  <c r="L102" i="5"/>
  <c r="L98" i="5"/>
  <c r="L95" i="5"/>
  <c r="L92" i="5"/>
  <c r="L113" i="5"/>
  <c r="L103" i="5"/>
  <c r="L93" i="5"/>
  <c r="L128" i="5"/>
  <c r="L97" i="5"/>
  <c r="L121" i="5"/>
  <c r="L111" i="5"/>
  <c r="L101" i="5"/>
  <c r="K129" i="5"/>
  <c r="L94" i="5"/>
  <c r="K99" i="5"/>
  <c r="L110" i="5"/>
  <c r="K126" i="5"/>
  <c r="K13" i="4"/>
  <c r="F122" i="4"/>
  <c r="P122" i="4"/>
  <c r="D122" i="4"/>
  <c r="H122" i="4"/>
  <c r="G122" i="4"/>
  <c r="E122" i="4"/>
  <c r="C122" i="4"/>
  <c r="M122" i="4"/>
  <c r="H129" i="4"/>
  <c r="F129" i="4"/>
  <c r="P129" i="4"/>
  <c r="D129" i="4"/>
  <c r="O129" i="4"/>
  <c r="N129" i="4"/>
  <c r="M129" i="4"/>
  <c r="L129" i="4"/>
  <c r="G129" i="4"/>
  <c r="B79" i="4"/>
  <c r="I122" i="4"/>
  <c r="Q129" i="4"/>
  <c r="H99" i="5"/>
  <c r="D107" i="5"/>
  <c r="P107" i="5"/>
  <c r="M119" i="5"/>
  <c r="M108" i="5"/>
  <c r="M98" i="5"/>
  <c r="M113" i="5"/>
  <c r="M128" i="5"/>
  <c r="M97" i="5"/>
  <c r="M94" i="5"/>
  <c r="L99" i="5"/>
  <c r="M110" i="5"/>
  <c r="K117" i="5"/>
  <c r="M126" i="5"/>
  <c r="E13" i="4"/>
  <c r="C79" i="4"/>
  <c r="J99" i="4"/>
  <c r="J122" i="4"/>
  <c r="I13" i="5"/>
  <c r="N41" i="5"/>
  <c r="N99" i="5" s="1"/>
  <c r="C56" i="5"/>
  <c r="Q56" i="5"/>
  <c r="M129" i="5"/>
  <c r="M74" i="5"/>
  <c r="M99" i="5"/>
  <c r="K105" i="5"/>
  <c r="I116" i="5"/>
  <c r="K121" i="5"/>
  <c r="F12" i="4"/>
  <c r="L74" i="4"/>
  <c r="I79" i="4"/>
  <c r="K99" i="4"/>
  <c r="C117" i="4"/>
  <c r="K122" i="4"/>
  <c r="H74" i="5"/>
  <c r="H12" i="5"/>
  <c r="J13" i="5"/>
  <c r="J99" i="5"/>
  <c r="B41" i="5"/>
  <c r="O41" i="5"/>
  <c r="O122" i="5" s="1"/>
  <c r="L117" i="5"/>
  <c r="K63" i="5"/>
  <c r="K130" i="5" s="1"/>
  <c r="N74" i="5"/>
  <c r="M93" i="5"/>
  <c r="K98" i="5"/>
  <c r="M105" i="5"/>
  <c r="M121" i="5"/>
  <c r="L125" i="5"/>
  <c r="H74" i="4"/>
  <c r="J74" i="4"/>
  <c r="I74" i="4"/>
  <c r="G74" i="4"/>
  <c r="F74" i="4"/>
  <c r="O74" i="4"/>
  <c r="B74" i="4"/>
  <c r="L99" i="4"/>
  <c r="I99" i="4"/>
  <c r="H99" i="4"/>
  <c r="G99" i="4"/>
  <c r="F99" i="4"/>
  <c r="O99" i="4"/>
  <c r="B99" i="4"/>
  <c r="M74" i="4"/>
  <c r="J79" i="4"/>
  <c r="M99" i="4"/>
  <c r="E108" i="4"/>
  <c r="D117" i="4"/>
  <c r="L122" i="4"/>
  <c r="K13" i="5"/>
  <c r="Q41" i="5"/>
  <c r="Q117" i="5" s="1"/>
  <c r="M117" i="5"/>
  <c r="I122" i="5"/>
  <c r="O74" i="5"/>
  <c r="I97" i="5"/>
  <c r="P99" i="5"/>
  <c r="L104" i="5"/>
  <c r="L116" i="5"/>
  <c r="K120" i="5"/>
  <c r="M125" i="5"/>
  <c r="I128" i="5"/>
  <c r="Q13" i="4"/>
  <c r="N74" i="4"/>
  <c r="K79" i="4"/>
  <c r="N99" i="4"/>
  <c r="E117" i="4"/>
  <c r="N122" i="4"/>
  <c r="B12" i="5"/>
  <c r="H107" i="5"/>
  <c r="B117" i="5"/>
  <c r="N117" i="5"/>
  <c r="M63" i="5"/>
  <c r="M130" i="5" s="1"/>
  <c r="K92" i="5"/>
  <c r="I103" i="5"/>
  <c r="M104" i="5"/>
  <c r="I115" i="5"/>
  <c r="M116" i="5"/>
  <c r="L120" i="5"/>
  <c r="F83" i="4"/>
  <c r="P19" i="4"/>
  <c r="P21" i="4" s="1"/>
  <c r="L79" i="4"/>
  <c r="P99" i="4"/>
  <c r="G108" i="4"/>
  <c r="K117" i="4"/>
  <c r="O122" i="4"/>
  <c r="P12" i="5"/>
  <c r="F41" i="5"/>
  <c r="H56" i="5"/>
  <c r="E129" i="5"/>
  <c r="N63" i="5"/>
  <c r="N130" i="5" s="1"/>
  <c r="M92" i="5"/>
  <c r="I96" i="5"/>
  <c r="K97" i="5"/>
  <c r="K112" i="5"/>
  <c r="M120" i="5"/>
  <c r="K128" i="5"/>
  <c r="N79" i="4"/>
  <c r="Q99" i="4"/>
  <c r="H108" i="4"/>
  <c r="L117" i="4"/>
  <c r="Q122" i="4"/>
  <c r="B129" i="4"/>
  <c r="C78" i="4"/>
  <c r="P78" i="4"/>
  <c r="L107" i="4"/>
  <c r="L129" i="5"/>
  <c r="H83" i="4"/>
  <c r="G78" i="4"/>
  <c r="K83" i="4"/>
  <c r="C107" i="4"/>
  <c r="P107" i="4"/>
  <c r="I78" i="4"/>
  <c r="L83" i="4"/>
  <c r="D107" i="4"/>
  <c r="Q107" i="4"/>
  <c r="E107" i="4"/>
  <c r="H78" i="4"/>
  <c r="K78" i="4"/>
  <c r="N83" i="4"/>
  <c r="F107" i="4"/>
  <c r="M18" i="7" l="1"/>
  <c r="M20" i="7" s="1"/>
  <c r="M12" i="7"/>
  <c r="G90" i="7"/>
  <c r="G81" i="7"/>
  <c r="G78" i="7"/>
  <c r="G91" i="7"/>
  <c r="G88" i="7"/>
  <c r="G82" i="7"/>
  <c r="G79" i="7"/>
  <c r="G76" i="7"/>
  <c r="G77" i="7"/>
  <c r="F12" i="7"/>
  <c r="F18" i="7"/>
  <c r="F20" i="7" s="1"/>
  <c r="G12" i="7"/>
  <c r="L18" i="7"/>
  <c r="L20" i="7" s="1"/>
  <c r="L12" i="7"/>
  <c r="K77" i="7"/>
  <c r="K90" i="7"/>
  <c r="K81" i="7"/>
  <c r="K78" i="7"/>
  <c r="K91" i="7"/>
  <c r="K88" i="7"/>
  <c r="K82" i="7"/>
  <c r="K79" i="7"/>
  <c r="K76" i="7"/>
  <c r="D102" i="6"/>
  <c r="D67" i="6"/>
  <c r="C20" i="6"/>
  <c r="C80" i="6"/>
  <c r="Q105" i="6"/>
  <c r="Q104" i="6"/>
  <c r="O102" i="6"/>
  <c r="O67" i="6"/>
  <c r="I75" i="6"/>
  <c r="I18" i="6"/>
  <c r="I12" i="6"/>
  <c r="B105" i="6"/>
  <c r="C98" i="6"/>
  <c r="B104" i="6"/>
  <c r="P12" i="6"/>
  <c r="P75" i="6"/>
  <c r="P18" i="6"/>
  <c r="D105" i="6"/>
  <c r="E98" i="6"/>
  <c r="D104" i="6"/>
  <c r="O105" i="6"/>
  <c r="O104" i="6"/>
  <c r="P98" i="6"/>
  <c r="H75" i="6"/>
  <c r="H18" i="6"/>
  <c r="H12" i="6"/>
  <c r="N20" i="6"/>
  <c r="N80" i="6"/>
  <c r="L102" i="6"/>
  <c r="L67" i="6"/>
  <c r="F75" i="6"/>
  <c r="F18" i="6"/>
  <c r="F12" i="6"/>
  <c r="J80" i="6"/>
  <c r="J20" i="6"/>
  <c r="N105" i="6"/>
  <c r="N104" i="6"/>
  <c r="O98" i="6"/>
  <c r="E105" i="6"/>
  <c r="F98" i="6"/>
  <c r="E104" i="6"/>
  <c r="P105" i="6"/>
  <c r="P104" i="6"/>
  <c r="Q98" i="6"/>
  <c r="G75" i="6"/>
  <c r="G18" i="6"/>
  <c r="G12" i="6"/>
  <c r="M80" i="6"/>
  <c r="M20" i="6"/>
  <c r="Q67" i="6"/>
  <c r="Q102" i="6"/>
  <c r="L80" i="6"/>
  <c r="L20" i="6"/>
  <c r="N98" i="6"/>
  <c r="N102" i="6"/>
  <c r="N67" i="6"/>
  <c r="D12" i="6"/>
  <c r="D75" i="6"/>
  <c r="D18" i="6"/>
  <c r="C102" i="6"/>
  <c r="C67" i="6"/>
  <c r="E102" i="6"/>
  <c r="E67" i="6"/>
  <c r="B102" i="6"/>
  <c r="B67" i="6"/>
  <c r="Q20" i="6"/>
  <c r="Q80" i="6"/>
  <c r="M98" i="6"/>
  <c r="L104" i="6"/>
  <c r="L105" i="6"/>
  <c r="O20" i="6"/>
  <c r="O80" i="6"/>
  <c r="P102" i="6"/>
  <c r="P67" i="6"/>
  <c r="C105" i="6"/>
  <c r="C104" i="6"/>
  <c r="D98" i="6"/>
  <c r="E20" i="6"/>
  <c r="E80" i="6"/>
  <c r="K80" i="6"/>
  <c r="K20" i="6"/>
  <c r="D123" i="1"/>
  <c r="C63" i="1"/>
  <c r="C123" i="2"/>
  <c r="D123" i="5"/>
  <c r="D63" i="5"/>
  <c r="D130" i="5" s="1"/>
  <c r="L86" i="5"/>
  <c r="L21" i="5"/>
  <c r="L88" i="5" s="1"/>
  <c r="E129" i="2"/>
  <c r="N21" i="1"/>
  <c r="O86" i="1"/>
  <c r="N86" i="2"/>
  <c r="F13" i="4"/>
  <c r="F19" i="4"/>
  <c r="L79" i="1"/>
  <c r="K19" i="1"/>
  <c r="K13" i="1"/>
  <c r="K79" i="2"/>
  <c r="C86" i="1"/>
  <c r="B21" i="1"/>
  <c r="H130" i="2"/>
  <c r="H19" i="4"/>
  <c r="H13" i="4"/>
  <c r="C21" i="5"/>
  <c r="C88" i="5" s="1"/>
  <c r="C86" i="5"/>
  <c r="B128" i="5"/>
  <c r="B97" i="5"/>
  <c r="B112" i="5"/>
  <c r="B102" i="5"/>
  <c r="B92" i="5"/>
  <c r="B127" i="5"/>
  <c r="B116" i="5"/>
  <c r="B106" i="5"/>
  <c r="B96" i="5"/>
  <c r="B120" i="5"/>
  <c r="B110" i="5"/>
  <c r="B114" i="5"/>
  <c r="B101" i="5"/>
  <c r="B111" i="5"/>
  <c r="B95" i="5"/>
  <c r="B119" i="5"/>
  <c r="B115" i="5"/>
  <c r="B103" i="5"/>
  <c r="B125" i="5"/>
  <c r="B104" i="5"/>
  <c r="B121" i="5"/>
  <c r="B108" i="5"/>
  <c r="B98" i="5"/>
  <c r="B129" i="5"/>
  <c r="B113" i="5"/>
  <c r="B105" i="5"/>
  <c r="B93" i="5"/>
  <c r="B126" i="5"/>
  <c r="B94" i="5"/>
  <c r="Q19" i="5"/>
  <c r="Q79" i="5"/>
  <c r="Q13" i="5"/>
  <c r="F86" i="2"/>
  <c r="G86" i="1"/>
  <c r="F21" i="1"/>
  <c r="G119" i="2"/>
  <c r="G115" i="2"/>
  <c r="G112" i="2"/>
  <c r="G108" i="2"/>
  <c r="G105" i="2"/>
  <c r="G102" i="2"/>
  <c r="G98" i="2"/>
  <c r="G95" i="2"/>
  <c r="G92" i="2"/>
  <c r="G127" i="2"/>
  <c r="G126" i="2"/>
  <c r="G114" i="2"/>
  <c r="G111" i="2"/>
  <c r="G104" i="2"/>
  <c r="G101" i="2"/>
  <c r="G97" i="2"/>
  <c r="G94" i="2"/>
  <c r="G113" i="2"/>
  <c r="G103" i="2"/>
  <c r="G93" i="2"/>
  <c r="G121" i="2"/>
  <c r="G120" i="2"/>
  <c r="G129" i="2"/>
  <c r="G128" i="2"/>
  <c r="G110" i="2"/>
  <c r="G108" i="1"/>
  <c r="G125" i="2"/>
  <c r="G116" i="2"/>
  <c r="H108" i="1"/>
  <c r="G122" i="2"/>
  <c r="G96" i="2"/>
  <c r="G106" i="2"/>
  <c r="G99" i="2"/>
  <c r="M21" i="1"/>
  <c r="N86" i="1"/>
  <c r="M86" i="2"/>
  <c r="O107" i="5"/>
  <c r="D128" i="5"/>
  <c r="D125" i="5"/>
  <c r="D121" i="5"/>
  <c r="D114" i="5"/>
  <c r="D111" i="5"/>
  <c r="D104" i="5"/>
  <c r="D101" i="5"/>
  <c r="D97" i="5"/>
  <c r="D94" i="5"/>
  <c r="D112" i="5"/>
  <c r="D102" i="5"/>
  <c r="D92" i="5"/>
  <c r="D127" i="5"/>
  <c r="D116" i="5"/>
  <c r="D106" i="5"/>
  <c r="D95" i="5"/>
  <c r="D119" i="5"/>
  <c r="D115" i="5"/>
  <c r="D96" i="5"/>
  <c r="D120" i="5"/>
  <c r="D103" i="5"/>
  <c r="D108" i="5"/>
  <c r="D98" i="5"/>
  <c r="D129" i="5"/>
  <c r="D113" i="5"/>
  <c r="D105" i="5"/>
  <c r="D93" i="5"/>
  <c r="D126" i="5"/>
  <c r="D110" i="5"/>
  <c r="O99" i="5"/>
  <c r="D13" i="5"/>
  <c r="D19" i="5"/>
  <c r="D79" i="5"/>
  <c r="O108" i="1"/>
  <c r="N116" i="2"/>
  <c r="N113" i="2"/>
  <c r="N110" i="2"/>
  <c r="N106" i="2"/>
  <c r="N103" i="2"/>
  <c r="N96" i="2"/>
  <c r="N93" i="2"/>
  <c r="N121" i="2"/>
  <c r="N120" i="2"/>
  <c r="N127" i="2"/>
  <c r="N128" i="2"/>
  <c r="N92" i="2"/>
  <c r="N115" i="2"/>
  <c r="N108" i="2"/>
  <c r="N126" i="2"/>
  <c r="N114" i="2"/>
  <c r="N107" i="2"/>
  <c r="N105" i="2"/>
  <c r="N101" i="2"/>
  <c r="N94" i="2"/>
  <c r="N125" i="2"/>
  <c r="N111" i="2"/>
  <c r="N97" i="2"/>
  <c r="N119" i="2"/>
  <c r="N112" i="2"/>
  <c r="N102" i="2"/>
  <c r="N104" i="2"/>
  <c r="N95" i="2"/>
  <c r="N98" i="2"/>
  <c r="N123" i="2"/>
  <c r="M86" i="4"/>
  <c r="P63" i="1"/>
  <c r="P123" i="2"/>
  <c r="Q123" i="1"/>
  <c r="G107" i="2"/>
  <c r="P127" i="2"/>
  <c r="P120" i="2"/>
  <c r="Q108" i="1"/>
  <c r="P121" i="2"/>
  <c r="P128" i="2"/>
  <c r="P122" i="2"/>
  <c r="P119" i="2"/>
  <c r="P116" i="2"/>
  <c r="P107" i="2"/>
  <c r="P106" i="2"/>
  <c r="P97" i="2"/>
  <c r="P96" i="2"/>
  <c r="P108" i="2"/>
  <c r="P98" i="2"/>
  <c r="P111" i="2"/>
  <c r="P110" i="2"/>
  <c r="P101" i="2"/>
  <c r="P94" i="2"/>
  <c r="P93" i="2"/>
  <c r="P125" i="2"/>
  <c r="P113" i="2"/>
  <c r="P102" i="2"/>
  <c r="P105" i="2"/>
  <c r="P92" i="2"/>
  <c r="P115" i="2"/>
  <c r="P104" i="2"/>
  <c r="P95" i="2"/>
  <c r="P112" i="2"/>
  <c r="P126" i="2"/>
  <c r="P114" i="2"/>
  <c r="P103" i="2"/>
  <c r="O129" i="5"/>
  <c r="M123" i="2"/>
  <c r="M63" i="1"/>
  <c r="N123" i="1"/>
  <c r="H123" i="5"/>
  <c r="H63" i="5"/>
  <c r="H130" i="5" s="1"/>
  <c r="I86" i="5"/>
  <c r="I21" i="5"/>
  <c r="I88" i="5" s="1"/>
  <c r="B123" i="5"/>
  <c r="N99" i="2"/>
  <c r="L123" i="1"/>
  <c r="K63" i="1"/>
  <c r="K123" i="2"/>
  <c r="L108" i="1"/>
  <c r="K117" i="2"/>
  <c r="K114" i="2"/>
  <c r="K111" i="2"/>
  <c r="K104" i="2"/>
  <c r="K101" i="2"/>
  <c r="K97" i="2"/>
  <c r="K94" i="2"/>
  <c r="K116" i="2"/>
  <c r="K113" i="2"/>
  <c r="K110" i="2"/>
  <c r="K106" i="2"/>
  <c r="K103" i="2"/>
  <c r="K96" i="2"/>
  <c r="K93" i="2"/>
  <c r="K115" i="2"/>
  <c r="K105" i="2"/>
  <c r="K95" i="2"/>
  <c r="K126" i="2"/>
  <c r="K128" i="2"/>
  <c r="K98" i="2"/>
  <c r="K92" i="2"/>
  <c r="K120" i="2"/>
  <c r="K119" i="2"/>
  <c r="K121" i="2"/>
  <c r="K127" i="2"/>
  <c r="K125" i="2"/>
  <c r="K108" i="2"/>
  <c r="K129" i="2"/>
  <c r="K102" i="2"/>
  <c r="K112" i="2"/>
  <c r="H19" i="1"/>
  <c r="I79" i="1"/>
  <c r="H13" i="1"/>
  <c r="H79" i="2"/>
  <c r="P108" i="1"/>
  <c r="O116" i="2"/>
  <c r="O113" i="2"/>
  <c r="O110" i="2"/>
  <c r="O106" i="2"/>
  <c r="O103" i="2"/>
  <c r="O96" i="2"/>
  <c r="O93" i="2"/>
  <c r="O121" i="2"/>
  <c r="O120" i="2"/>
  <c r="O119" i="2"/>
  <c r="O115" i="2"/>
  <c r="O112" i="2"/>
  <c r="O108" i="2"/>
  <c r="O105" i="2"/>
  <c r="O102" i="2"/>
  <c r="O98" i="2"/>
  <c r="O95" i="2"/>
  <c r="O92" i="2"/>
  <c r="O107" i="2"/>
  <c r="O97" i="2"/>
  <c r="O127" i="2"/>
  <c r="O104" i="2"/>
  <c r="O94" i="2"/>
  <c r="O128" i="2"/>
  <c r="O114" i="2"/>
  <c r="O129" i="2"/>
  <c r="O125" i="2"/>
  <c r="O111" i="2"/>
  <c r="O126" i="2"/>
  <c r="O101" i="2"/>
  <c r="O21" i="5"/>
  <c r="O88" i="5" s="1"/>
  <c r="O86" i="5"/>
  <c r="E99" i="2"/>
  <c r="P86" i="4"/>
  <c r="O117" i="5"/>
  <c r="F79" i="4"/>
  <c r="L123" i="5"/>
  <c r="L63" i="5"/>
  <c r="L130" i="5" s="1"/>
  <c r="O86" i="4"/>
  <c r="D63" i="1"/>
  <c r="D123" i="2"/>
  <c r="E123" i="1"/>
  <c r="O122" i="2"/>
  <c r="O123" i="5"/>
  <c r="F121" i="5"/>
  <c r="F111" i="5"/>
  <c r="F126" i="5"/>
  <c r="F115" i="5"/>
  <c r="F105" i="5"/>
  <c r="F95" i="5"/>
  <c r="F120" i="5"/>
  <c r="F110" i="5"/>
  <c r="F113" i="5"/>
  <c r="F103" i="5"/>
  <c r="F93" i="5"/>
  <c r="F119" i="5"/>
  <c r="F127" i="5"/>
  <c r="F102" i="5"/>
  <c r="F96" i="5"/>
  <c r="F128" i="5"/>
  <c r="F112" i="5"/>
  <c r="F97" i="5"/>
  <c r="F125" i="5"/>
  <c r="F108" i="5"/>
  <c r="F104" i="5"/>
  <c r="F92" i="5"/>
  <c r="F116" i="5"/>
  <c r="F98" i="5"/>
  <c r="F129" i="5"/>
  <c r="F94" i="5"/>
  <c r="F114" i="5"/>
  <c r="F106" i="5"/>
  <c r="F101" i="5"/>
  <c r="N107" i="5"/>
  <c r="F19" i="5"/>
  <c r="F79" i="5"/>
  <c r="G13" i="5"/>
  <c r="F13" i="5"/>
  <c r="N123" i="4"/>
  <c r="B123" i="4"/>
  <c r="L123" i="4"/>
  <c r="F123" i="4"/>
  <c r="E123" i="4"/>
  <c r="D123" i="4"/>
  <c r="Q123" i="4"/>
  <c r="C123" i="4"/>
  <c r="K123" i="4"/>
  <c r="B63" i="4"/>
  <c r="P123" i="4"/>
  <c r="O123" i="4"/>
  <c r="M123" i="4"/>
  <c r="J123" i="4"/>
  <c r="I123" i="4"/>
  <c r="H123" i="4"/>
  <c r="G123" i="4"/>
  <c r="O130" i="5"/>
  <c r="M123" i="1"/>
  <c r="L63" i="1"/>
  <c r="L123" i="2"/>
  <c r="N86" i="5"/>
  <c r="N21" i="5"/>
  <c r="N88" i="5" s="1"/>
  <c r="D79" i="1"/>
  <c r="C79" i="2"/>
  <c r="C13" i="1"/>
  <c r="C19" i="1"/>
  <c r="N130" i="2"/>
  <c r="G79" i="2"/>
  <c r="G19" i="1"/>
  <c r="G13" i="1"/>
  <c r="H79" i="1"/>
  <c r="G79" i="1"/>
  <c r="B19" i="5"/>
  <c r="B79" i="5"/>
  <c r="B13" i="5"/>
  <c r="P128" i="5"/>
  <c r="P125" i="5"/>
  <c r="P121" i="5"/>
  <c r="P114" i="5"/>
  <c r="P111" i="5"/>
  <c r="P104" i="5"/>
  <c r="P101" i="5"/>
  <c r="P97" i="5"/>
  <c r="P94" i="5"/>
  <c r="P112" i="5"/>
  <c r="P127" i="5"/>
  <c r="P116" i="5"/>
  <c r="P106" i="5"/>
  <c r="P96" i="5"/>
  <c r="P108" i="5"/>
  <c r="P98" i="5"/>
  <c r="P105" i="5"/>
  <c r="P93" i="5"/>
  <c r="P113" i="5"/>
  <c r="P126" i="5"/>
  <c r="P110" i="5"/>
  <c r="P95" i="5"/>
  <c r="P119" i="5"/>
  <c r="P102" i="5"/>
  <c r="P115" i="5"/>
  <c r="P103" i="5"/>
  <c r="P120" i="5"/>
  <c r="P92" i="5"/>
  <c r="H123" i="1"/>
  <c r="G123" i="2"/>
  <c r="G63" i="1"/>
  <c r="Q112" i="5"/>
  <c r="Q102" i="5"/>
  <c r="Q92" i="5"/>
  <c r="Q127" i="5"/>
  <c r="Q116" i="5"/>
  <c r="Q106" i="5"/>
  <c r="Q121" i="5"/>
  <c r="Q111" i="5"/>
  <c r="Q101" i="5"/>
  <c r="Q125" i="5"/>
  <c r="Q114" i="5"/>
  <c r="Q104" i="5"/>
  <c r="Q94" i="5"/>
  <c r="Q105" i="5"/>
  <c r="Q93" i="5"/>
  <c r="Q113" i="5"/>
  <c r="Q126" i="5"/>
  <c r="Q110" i="5"/>
  <c r="Q95" i="5"/>
  <c r="Q119" i="5"/>
  <c r="Q115" i="5"/>
  <c r="Q96" i="5"/>
  <c r="Q103" i="5"/>
  <c r="Q120" i="5"/>
  <c r="Q107" i="5"/>
  <c r="Q97" i="5"/>
  <c r="Q128" i="5"/>
  <c r="Q108" i="5"/>
  <c r="Q98" i="5"/>
  <c r="Q123" i="5"/>
  <c r="Q63" i="5"/>
  <c r="Q130" i="5" s="1"/>
  <c r="N123" i="5"/>
  <c r="H79" i="4"/>
  <c r="B107" i="5"/>
  <c r="B130" i="5"/>
  <c r="Q99" i="5"/>
  <c r="K123" i="1"/>
  <c r="J63" i="1"/>
  <c r="J123" i="2"/>
  <c r="E19" i="1"/>
  <c r="F79" i="1"/>
  <c r="E13" i="1"/>
  <c r="E79" i="2"/>
  <c r="G117" i="2"/>
  <c r="O117" i="2"/>
  <c r="K79" i="1"/>
  <c r="B19" i="2"/>
  <c r="B13" i="2"/>
  <c r="B79" i="2"/>
  <c r="E63" i="1"/>
  <c r="E123" i="2"/>
  <c r="F123" i="1"/>
  <c r="O128" i="5"/>
  <c r="O97" i="5"/>
  <c r="O112" i="5"/>
  <c r="O102" i="5"/>
  <c r="O92" i="5"/>
  <c r="O127" i="5"/>
  <c r="O116" i="5"/>
  <c r="O106" i="5"/>
  <c r="O96" i="5"/>
  <c r="O120" i="5"/>
  <c r="O110" i="5"/>
  <c r="O125" i="5"/>
  <c r="O121" i="5"/>
  <c r="O108" i="5"/>
  <c r="O98" i="5"/>
  <c r="O105" i="5"/>
  <c r="O93" i="5"/>
  <c r="O113" i="5"/>
  <c r="O94" i="5"/>
  <c r="O126" i="5"/>
  <c r="O101" i="5"/>
  <c r="O114" i="5"/>
  <c r="O111" i="5"/>
  <c r="O95" i="5"/>
  <c r="O119" i="5"/>
  <c r="O115" i="5"/>
  <c r="O103" i="5"/>
  <c r="O104" i="5"/>
  <c r="M108" i="1"/>
  <c r="L128" i="2"/>
  <c r="L125" i="2"/>
  <c r="L121" i="2"/>
  <c r="L120" i="2"/>
  <c r="L126" i="2"/>
  <c r="L115" i="2"/>
  <c r="L114" i="2"/>
  <c r="L105" i="2"/>
  <c r="L104" i="2"/>
  <c r="L95" i="2"/>
  <c r="L94" i="2"/>
  <c r="L127" i="2"/>
  <c r="L116" i="2"/>
  <c r="L106" i="2"/>
  <c r="L96" i="2"/>
  <c r="L119" i="2"/>
  <c r="L117" i="2"/>
  <c r="L108" i="2"/>
  <c r="L98" i="2"/>
  <c r="L97" i="2"/>
  <c r="L103" i="2"/>
  <c r="L102" i="2"/>
  <c r="L101" i="2"/>
  <c r="L99" i="2"/>
  <c r="L110" i="2"/>
  <c r="L112" i="2"/>
  <c r="L92" i="2"/>
  <c r="L93" i="2"/>
  <c r="L129" i="2"/>
  <c r="L113" i="2"/>
  <c r="L111" i="2"/>
  <c r="H79" i="5"/>
  <c r="H19" i="5"/>
  <c r="H13" i="5"/>
  <c r="J86" i="5"/>
  <c r="J21" i="5"/>
  <c r="J88" i="5" s="1"/>
  <c r="E19" i="5"/>
  <c r="E79" i="5"/>
  <c r="E13" i="5"/>
  <c r="P13" i="5"/>
  <c r="P79" i="5"/>
  <c r="P19" i="5"/>
  <c r="C123" i="5"/>
  <c r="C63" i="5"/>
  <c r="C130" i="5" s="1"/>
  <c r="Q122" i="5"/>
  <c r="F99" i="5"/>
  <c r="D99" i="5"/>
  <c r="F107" i="5"/>
  <c r="M86" i="5"/>
  <c r="M21" i="5"/>
  <c r="M88" i="5" s="1"/>
  <c r="Q129" i="5"/>
  <c r="N122" i="2"/>
  <c r="M79" i="1"/>
  <c r="L13" i="1"/>
  <c r="L19" i="1"/>
  <c r="L79" i="2"/>
  <c r="O123" i="1"/>
  <c r="O63" i="1"/>
  <c r="P123" i="1"/>
  <c r="O123" i="2"/>
  <c r="P79" i="1"/>
  <c r="O79" i="2"/>
  <c r="O13" i="1"/>
  <c r="O19" i="1"/>
  <c r="E127" i="2"/>
  <c r="E128" i="2"/>
  <c r="E119" i="2"/>
  <c r="E115" i="2"/>
  <c r="E112" i="2"/>
  <c r="E108" i="2"/>
  <c r="E105" i="2"/>
  <c r="E102" i="2"/>
  <c r="E98" i="2"/>
  <c r="E95" i="2"/>
  <c r="E92" i="2"/>
  <c r="E111" i="2"/>
  <c r="E110" i="2"/>
  <c r="E101" i="2"/>
  <c r="E126" i="2"/>
  <c r="E120" i="2"/>
  <c r="E114" i="2"/>
  <c r="E113" i="2"/>
  <c r="E104" i="2"/>
  <c r="E103" i="2"/>
  <c r="E94" i="2"/>
  <c r="E93" i="2"/>
  <c r="E122" i="2"/>
  <c r="E116" i="2"/>
  <c r="E97" i="2"/>
  <c r="E107" i="2"/>
  <c r="E121" i="2"/>
  <c r="F108" i="1"/>
  <c r="E96" i="2"/>
  <c r="E117" i="2"/>
  <c r="E125" i="2"/>
  <c r="E106" i="2"/>
  <c r="N113" i="5"/>
  <c r="N103" i="5"/>
  <c r="N93" i="5"/>
  <c r="N128" i="5"/>
  <c r="N112" i="5"/>
  <c r="N102" i="5"/>
  <c r="N92" i="5"/>
  <c r="N126" i="5"/>
  <c r="N115" i="5"/>
  <c r="N105" i="5"/>
  <c r="N95" i="5"/>
  <c r="N116" i="5"/>
  <c r="N104" i="5"/>
  <c r="N125" i="5"/>
  <c r="N121" i="5"/>
  <c r="N108" i="5"/>
  <c r="N98" i="5"/>
  <c r="N129" i="5"/>
  <c r="N110" i="5"/>
  <c r="N94" i="5"/>
  <c r="N106" i="5"/>
  <c r="N101" i="5"/>
  <c r="N114" i="5"/>
  <c r="N127" i="5"/>
  <c r="N111" i="5"/>
  <c r="N96" i="5"/>
  <c r="N119" i="5"/>
  <c r="N120" i="5"/>
  <c r="N97" i="5"/>
  <c r="K86" i="5"/>
  <c r="K21" i="5"/>
  <c r="K88" i="5" s="1"/>
  <c r="P123" i="5"/>
  <c r="P63" i="5"/>
  <c r="P130" i="5" s="1"/>
  <c r="F130" i="5"/>
  <c r="I13" i="1"/>
  <c r="J79" i="1"/>
  <c r="I19" i="1"/>
  <c r="I79" i="2"/>
  <c r="M128" i="2"/>
  <c r="M125" i="2"/>
  <c r="M121" i="2"/>
  <c r="N108" i="1"/>
  <c r="M116" i="2"/>
  <c r="M113" i="2"/>
  <c r="M110" i="2"/>
  <c r="M106" i="2"/>
  <c r="M103" i="2"/>
  <c r="M96" i="2"/>
  <c r="M93" i="2"/>
  <c r="M115" i="2"/>
  <c r="M114" i="2"/>
  <c r="M105" i="2"/>
  <c r="M104" i="2"/>
  <c r="M95" i="2"/>
  <c r="M94" i="2"/>
  <c r="M127" i="2"/>
  <c r="M119" i="2"/>
  <c r="M108" i="2"/>
  <c r="M98" i="2"/>
  <c r="M97" i="2"/>
  <c r="M120" i="2"/>
  <c r="M101" i="2"/>
  <c r="M112" i="2"/>
  <c r="M92" i="2"/>
  <c r="M129" i="2"/>
  <c r="M111" i="2"/>
  <c r="M102" i="2"/>
  <c r="M126" i="2"/>
  <c r="Q88" i="4"/>
  <c r="D88" i="4"/>
  <c r="P88" i="4"/>
  <c r="C88" i="4"/>
  <c r="O88" i="4"/>
  <c r="B88" i="4"/>
  <c r="N88" i="4"/>
  <c r="J88" i="4"/>
  <c r="M88" i="4"/>
  <c r="L88" i="4"/>
  <c r="K88" i="4"/>
  <c r="I88" i="4"/>
  <c r="G88" i="4"/>
  <c r="E88" i="4"/>
  <c r="P19" i="1"/>
  <c r="Q79" i="1"/>
  <c r="P13" i="1"/>
  <c r="P79" i="2"/>
  <c r="C123" i="1"/>
  <c r="B63" i="1"/>
  <c r="C130" i="1" s="1"/>
  <c r="D19" i="1"/>
  <c r="E79" i="1"/>
  <c r="D13" i="1"/>
  <c r="D79" i="2"/>
  <c r="K86" i="1"/>
  <c r="J21" i="1"/>
  <c r="J86" i="2"/>
  <c r="D108" i="1"/>
  <c r="C120" i="2"/>
  <c r="C116" i="2"/>
  <c r="C113" i="2"/>
  <c r="C110" i="2"/>
  <c r="C106" i="2"/>
  <c r="C103" i="2"/>
  <c r="C96" i="2"/>
  <c r="C93" i="2"/>
  <c r="C119" i="2"/>
  <c r="C115" i="2"/>
  <c r="C112" i="2"/>
  <c r="C108" i="2"/>
  <c r="C105" i="2"/>
  <c r="C102" i="2"/>
  <c r="C98" i="2"/>
  <c r="C95" i="2"/>
  <c r="C92" i="2"/>
  <c r="C111" i="2"/>
  <c r="C101" i="2"/>
  <c r="C125" i="2"/>
  <c r="C121" i="2"/>
  <c r="C126" i="2"/>
  <c r="C114" i="2"/>
  <c r="C127" i="2"/>
  <c r="C104" i="2"/>
  <c r="C107" i="2"/>
  <c r="C128" i="2"/>
  <c r="C117" i="2"/>
  <c r="C94" i="2"/>
  <c r="C97" i="2"/>
  <c r="I63" i="1"/>
  <c r="I130" i="1" s="1"/>
  <c r="J123" i="1"/>
  <c r="I123" i="2"/>
  <c r="Q86" i="2"/>
  <c r="Q21" i="1"/>
  <c r="Q88" i="2" s="1"/>
  <c r="L77" i="7" l="1"/>
  <c r="L90" i="7"/>
  <c r="L81" i="7"/>
  <c r="L78" i="7"/>
  <c r="L91" i="7"/>
  <c r="L88" i="7"/>
  <c r="L82" i="7"/>
  <c r="L79" i="7"/>
  <c r="L76" i="7"/>
  <c r="F90" i="7"/>
  <c r="F81" i="7"/>
  <c r="F78" i="7"/>
  <c r="F77" i="7"/>
  <c r="F91" i="7"/>
  <c r="F88" i="7"/>
  <c r="F82" i="7"/>
  <c r="F79" i="7"/>
  <c r="F76" i="7"/>
  <c r="M77" i="7"/>
  <c r="M91" i="7"/>
  <c r="M88" i="7"/>
  <c r="M82" i="7"/>
  <c r="M90" i="7"/>
  <c r="M81" i="7"/>
  <c r="M78" i="7"/>
  <c r="M79" i="7"/>
  <c r="M76" i="7"/>
  <c r="N91" i="7"/>
  <c r="N90" i="7"/>
  <c r="O76" i="6"/>
  <c r="O78" i="6"/>
  <c r="O77" i="6"/>
  <c r="D20" i="6"/>
  <c r="D80" i="6"/>
  <c r="J77" i="6"/>
  <c r="J76" i="6"/>
  <c r="J78" i="6"/>
  <c r="G80" i="6"/>
  <c r="G20" i="6"/>
  <c r="I80" i="6"/>
  <c r="I20" i="6"/>
  <c r="K77" i="6"/>
  <c r="K76" i="6"/>
  <c r="K78" i="6"/>
  <c r="F80" i="6"/>
  <c r="F20" i="6"/>
  <c r="E76" i="6"/>
  <c r="E78" i="6"/>
  <c r="E77" i="6"/>
  <c r="Q76" i="6"/>
  <c r="Q78" i="6"/>
  <c r="Q77" i="6"/>
  <c r="L77" i="6"/>
  <c r="L76" i="6"/>
  <c r="L78" i="6"/>
  <c r="P20" i="6"/>
  <c r="P80" i="6"/>
  <c r="N76" i="6"/>
  <c r="N78" i="6"/>
  <c r="N77" i="6"/>
  <c r="C76" i="6"/>
  <c r="C78" i="6"/>
  <c r="C77" i="6"/>
  <c r="M77" i="6"/>
  <c r="M76" i="6"/>
  <c r="M78" i="6"/>
  <c r="H80" i="6"/>
  <c r="H20" i="6"/>
  <c r="F88" i="2"/>
  <c r="H21" i="4"/>
  <c r="H88" i="4" s="1"/>
  <c r="H86" i="4"/>
  <c r="E130" i="2"/>
  <c r="F130" i="1"/>
  <c r="N88" i="2"/>
  <c r="O86" i="2"/>
  <c r="P86" i="1"/>
  <c r="O21" i="1"/>
  <c r="O88" i="1" s="1"/>
  <c r="N130" i="1"/>
  <c r="M130" i="2"/>
  <c r="D86" i="2"/>
  <c r="D21" i="1"/>
  <c r="E86" i="1"/>
  <c r="E86" i="2"/>
  <c r="F86" i="1"/>
  <c r="E21" i="1"/>
  <c r="M88" i="2"/>
  <c r="N88" i="1"/>
  <c r="K130" i="1"/>
  <c r="J130" i="2"/>
  <c r="F86" i="5"/>
  <c r="F21" i="5"/>
  <c r="F88" i="5" s="1"/>
  <c r="D21" i="5"/>
  <c r="D88" i="5" s="1"/>
  <c r="D86" i="5"/>
  <c r="M130" i="1"/>
  <c r="L130" i="2"/>
  <c r="H130" i="1"/>
  <c r="G130" i="2"/>
  <c r="G130" i="1"/>
  <c r="P130" i="2"/>
  <c r="Q130" i="1"/>
  <c r="Q21" i="5"/>
  <c r="Q88" i="5" s="1"/>
  <c r="Q86" i="5"/>
  <c r="M86" i="1"/>
  <c r="L21" i="1"/>
  <c r="L86" i="2"/>
  <c r="P21" i="5"/>
  <c r="P88" i="5" s="1"/>
  <c r="P86" i="5"/>
  <c r="L130" i="1"/>
  <c r="K130" i="2"/>
  <c r="J88" i="2"/>
  <c r="K88" i="1"/>
  <c r="D130" i="2"/>
  <c r="E130" i="1"/>
  <c r="G86" i="2"/>
  <c r="H86" i="1"/>
  <c r="G21" i="1"/>
  <c r="L86" i="1"/>
  <c r="K21" i="1"/>
  <c r="K86" i="2"/>
  <c r="B21" i="5"/>
  <c r="B88" i="5" s="1"/>
  <c r="B86" i="5"/>
  <c r="P21" i="1"/>
  <c r="P86" i="2"/>
  <c r="Q86" i="1"/>
  <c r="I21" i="1"/>
  <c r="J86" i="1"/>
  <c r="I86" i="2"/>
  <c r="P130" i="1"/>
  <c r="O130" i="2"/>
  <c r="O130" i="1"/>
  <c r="I86" i="1"/>
  <c r="H21" i="1"/>
  <c r="H86" i="2"/>
  <c r="D130" i="1"/>
  <c r="C130" i="2"/>
  <c r="P130" i="4"/>
  <c r="D130" i="4"/>
  <c r="N130" i="4"/>
  <c r="B130" i="4"/>
  <c r="L130" i="4"/>
  <c r="Q130" i="4"/>
  <c r="O130" i="4"/>
  <c r="M130" i="4"/>
  <c r="K130" i="4"/>
  <c r="G130" i="4"/>
  <c r="J130" i="4"/>
  <c r="I130" i="4"/>
  <c r="H130" i="4"/>
  <c r="F130" i="4"/>
  <c r="E130" i="4"/>
  <c r="C130" i="4"/>
  <c r="B21" i="2"/>
  <c r="B88" i="2" s="1"/>
  <c r="B86" i="2"/>
  <c r="E86" i="5"/>
  <c r="E21" i="5"/>
  <c r="E88" i="5" s="1"/>
  <c r="C86" i="2"/>
  <c r="D86" i="1"/>
  <c r="C21" i="1"/>
  <c r="J130" i="1"/>
  <c r="I130" i="2"/>
  <c r="H86" i="5"/>
  <c r="H21" i="5"/>
  <c r="H88" i="5" s="1"/>
  <c r="F21" i="4"/>
  <c r="F88" i="4" s="1"/>
  <c r="F86" i="4"/>
  <c r="I78" i="6" l="1"/>
  <c r="I77" i="6"/>
  <c r="I76" i="6"/>
  <c r="G78" i="6"/>
  <c r="G77" i="6"/>
  <c r="G76" i="6"/>
  <c r="F78" i="6"/>
  <c r="F77" i="6"/>
  <c r="F76" i="6"/>
  <c r="D76" i="6"/>
  <c r="D78" i="6"/>
  <c r="D77" i="6"/>
  <c r="H78" i="6"/>
  <c r="H77" i="6"/>
  <c r="H76" i="6"/>
  <c r="P76" i="6"/>
  <c r="P78" i="6"/>
  <c r="P77" i="6"/>
  <c r="D88" i="1"/>
  <c r="C88" i="2"/>
  <c r="Q88" i="1"/>
  <c r="P88" i="2"/>
  <c r="I88" i="1"/>
  <c r="H88" i="2"/>
  <c r="F88" i="1"/>
  <c r="E88" i="2"/>
  <c r="H88" i="1"/>
  <c r="G88" i="2"/>
  <c r="M88" i="1"/>
  <c r="L88" i="2"/>
  <c r="E88" i="1"/>
  <c r="D88" i="2"/>
  <c r="I88" i="2"/>
  <c r="J88" i="1"/>
  <c r="P88" i="1"/>
  <c r="O88" i="2"/>
  <c r="K88" i="2"/>
  <c r="L88" i="1"/>
  <c r="C88" i="1"/>
  <c r="G88" i="1"/>
</calcChain>
</file>

<file path=xl/sharedStrings.xml><?xml version="1.0" encoding="utf-8"?>
<sst xmlns="http://schemas.openxmlformats.org/spreadsheetml/2006/main" count="578" uniqueCount="114">
  <si>
    <t>Fiscal Year</t>
  </si>
  <si>
    <t>INCOME STATEMENT</t>
  </si>
  <si>
    <t>Net Sales / Revenue</t>
  </si>
  <si>
    <t>Total COGS</t>
  </si>
  <si>
    <t>Gross Profit</t>
  </si>
  <si>
    <t>Research &amp; Development</t>
  </si>
  <si>
    <t>Selling, General &amp; Administrative</t>
  </si>
  <si>
    <t>Total Operating Expenses</t>
  </si>
  <si>
    <t>Operating Income (EBIT)</t>
  </si>
  <si>
    <t>% Growth</t>
  </si>
  <si>
    <t>Other Income/(Expense), Net</t>
  </si>
  <si>
    <t>Total Other Income/(Expense)</t>
  </si>
  <si>
    <t>Income Before Income Taxes</t>
  </si>
  <si>
    <t>Provision for Income Taxes</t>
  </si>
  <si>
    <t>Net Income</t>
  </si>
  <si>
    <t>BALANCE SHEET</t>
  </si>
  <si>
    <t>Cash &amp; Cash Equivalents (FY1992 source reports Cash + ST Investments combined)</t>
  </si>
  <si>
    <t>Short-Term Investments / Marketable Securities</t>
  </si>
  <si>
    <t>Accounts Receivable, Net</t>
  </si>
  <si>
    <t>Inventories</t>
  </si>
  <si>
    <t>Deferred Tax Assets</t>
  </si>
  <si>
    <t>Vendor Non-Trade Receivables</t>
  </si>
  <si>
    <t>Other Current Assets</t>
  </si>
  <si>
    <t>Total Current Assets</t>
  </si>
  <si>
    <t>Property, Plant &amp; Equipment, Net</t>
  </si>
  <si>
    <t>Long-Term Marketable Securities</t>
  </si>
  <si>
    <t>Goodwill</t>
  </si>
  <si>
    <t>Acquired Intangible Assets, Net</t>
  </si>
  <si>
    <t>Other Assets (legacy)</t>
  </si>
  <si>
    <t>Other Non-Current Assets</t>
  </si>
  <si>
    <t>Total Non-Current Assets</t>
  </si>
  <si>
    <t>Total Assets</t>
  </si>
  <si>
    <t>Short-Term Borrowings / Notes Payable</t>
  </si>
  <si>
    <t>Accounts Payable</t>
  </si>
  <si>
    <t>Accrued Expenses</t>
  </si>
  <si>
    <t>Deferred Revenue - Current</t>
  </si>
  <si>
    <t>Other Current Liabilities</t>
  </si>
  <si>
    <t>Commercial Paper</t>
  </si>
  <si>
    <t>Current Debt / Term Debt</t>
  </si>
  <si>
    <t>Total Current Liabilities</t>
  </si>
  <si>
    <t>Long-Term Debt / Term Debt</t>
  </si>
  <si>
    <t>Deferred Revenue - Non-Current</t>
  </si>
  <si>
    <t>Other Non-Current Liabilities</t>
  </si>
  <si>
    <t>Total Non-Current Liabilities</t>
  </si>
  <si>
    <t>Total Liabilities</t>
  </si>
  <si>
    <t>Common Stock &amp; Additional Paid-In Capital</t>
  </si>
  <si>
    <t>Retained Earnings</t>
  </si>
  <si>
    <t>Accumulated Deficit</t>
  </si>
  <si>
    <t>Accumulated Other Comprehensive Income/(Loss)</t>
  </si>
  <si>
    <t>Total Shareholders' Equity</t>
  </si>
  <si>
    <t>Total Liabilities &amp; Shareholders' Equity</t>
  </si>
  <si>
    <t>VERTICAL ANALYSIS — APPLE INC. (FY2010–FY2025)</t>
  </si>
  <si>
    <t>All ratios calculated from the original financial statements above; original data unchanged.</t>
  </si>
  <si>
    <t>Financial statement line item</t>
  </si>
  <si>
    <t>Methodology</t>
  </si>
  <si>
    <t>Income statement ÷ same-year revenue; balance sheet ÷ same-year total assets.</t>
  </si>
  <si>
    <t>HORIZONTAL ANALYSIS — APPLE INC. (FY2010–FY2025)</t>
  </si>
  <si>
    <t>Year-over-year change ÷ absolute value of previous year's balance; 2010 has no prior year.</t>
  </si>
  <si>
    <t>COMMON SIZE — APPLE INC. (FY2010–FY2025)</t>
  </si>
  <si>
    <t>Income statement ÷ revenue; balance sheet ÷ total assets, for each year.</t>
  </si>
  <si>
    <t>INDEX ANALYSIS — APPLE INC. (FY2010–FY2025)</t>
  </si>
  <si>
    <t>Each year's amount ÷ FY2010 amount (FY2010 = 100%); zero base produces blank.</t>
  </si>
  <si>
    <t>Shares Used - Basic (000s)</t>
  </si>
  <si>
    <t>Shares Used - Diluted (000s)</t>
  </si>
  <si>
    <t>Cash Dividends Declared per Share</t>
  </si>
  <si>
    <t>PROFITABILITY &amp; GROWTH RATIOS</t>
  </si>
  <si>
    <t>Revenue growth rate</t>
  </si>
  <si>
    <t>Gross profit margin</t>
  </si>
  <si>
    <t>EBIT margin</t>
  </si>
  <si>
    <t>Net profit margin</t>
  </si>
  <si>
    <t>Return on equity (ROE)</t>
  </si>
  <si>
    <t>Return on assets (ROA)</t>
  </si>
  <si>
    <t>R&amp;D as % of revenue</t>
  </si>
  <si>
    <t>Effective tax rate</t>
  </si>
  <si>
    <t>LIQUIDITY RATIOS</t>
  </si>
  <si>
    <t>Current ratio</t>
  </si>
  <si>
    <t>Quick ratio (cash + short-term investments + trade receivables)</t>
  </si>
  <si>
    <t>Cash ratio</t>
  </si>
  <si>
    <t>Net working capital ($ millions)</t>
  </si>
  <si>
    <t>EFFICIENCY RATIOS</t>
  </si>
  <si>
    <t>Inventory turnover</t>
  </si>
  <si>
    <t>Accounts receivable turnover</t>
  </si>
  <si>
    <t>Accounts payable turnover</t>
  </si>
  <si>
    <t>Inventory processing period (360 days)</t>
  </si>
  <si>
    <t>Receivables collection period (360 days)</t>
  </si>
  <si>
    <t>Payables payment period (360 days)</t>
  </si>
  <si>
    <t>Cash conversion cycle (360 days)</t>
  </si>
  <si>
    <t>Total asset turnover</t>
  </si>
  <si>
    <t>LEVERAGE &amp; SOLVENCY RATIOS</t>
  </si>
  <si>
    <t>Total liabilities / total assets</t>
  </si>
  <si>
    <t>Debt-to-equity (interest-bearing debt)</t>
  </si>
  <si>
    <t>Debt-to-assets (interest-bearing debt)</t>
  </si>
  <si>
    <t>Equity multiplier</t>
  </si>
  <si>
    <t>Long-term debt / total capitalization</t>
  </si>
  <si>
    <t>Method: balance-sheet average ratios use prior/current fiscal-year values; FY2010 unavailable. Days use 360.</t>
  </si>
  <si>
    <t>Share price October 2026</t>
  </si>
  <si>
    <t>INVESTMENT RATIOS — SHARE PRICE INPUT FROM ROW 70</t>
  </si>
  <si>
    <t>Market price per share (USD; linked to source row 70)</t>
  </si>
  <si>
    <t>Basic EPS (USD per share)</t>
  </si>
  <si>
    <t>Diluted EPS (USD per share)</t>
  </si>
  <si>
    <t>Price / earnings (diluted)</t>
  </si>
  <si>
    <t>Earnings yield (diluted)</t>
  </si>
  <si>
    <t>Dividend yield</t>
  </si>
  <si>
    <t>Dividend payout ratio (diluted EPS)</t>
  </si>
  <si>
    <t>Retention ratio</t>
  </si>
  <si>
    <t>Book value per diluted share (USD)</t>
  </si>
  <si>
    <t>Price / book value</t>
  </si>
  <si>
    <t>Price / sales</t>
  </si>
  <si>
    <t>Market capitalization (USD millions; diluted shares proxy)</t>
  </si>
  <si>
    <t>Market value / total assets</t>
  </si>
  <si>
    <t>Sustainable growth rate (ROE × retention)</t>
  </si>
  <si>
    <t>Net income growth rate</t>
  </si>
  <si>
    <t>Diluted EPS growth rate</t>
  </si>
  <si>
    <t>Caution: Row 70 is labeled “Share price October 2026” although it contains different annual prices; verify the input prices and split basis before relying on investment ratios.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</si>
</sst>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8" formatCode="&quot;$&quot;#,##0.00_);[Red]\(&quot;$&quot;#,##0.00\)"/>
    <numFmt numFmtId="43" formatCode="_(* #,##0.00_);_(* \(#,##0.00\);_(* &quot;-&quot;??_);_(@_)"/>
    <numFmt numFmtId="164" formatCode="&quot;FY&quot;0&quot;A&quot;"/>
    <numFmt numFmtId="165" formatCode="#,##0;[Red]\(#,##0\);\-"/>
    <numFmt numFmtId="166" formatCode="0.0%"/>
    <numFmt numFmtId="167" formatCode="0.00;[Red]\(0.00\);\-"/>
    <numFmt numFmtId="168" formatCode="_(* #,##0_);_(* \(#,##0\);_(* &quot;-&quot;??_);_(@_)"/>
    <numFmt numFmtId="169" formatCode="0.0%;[Red]\(0.0%\);\–"/>
    <numFmt numFmtId="170" formatCode="0.00&quot;x&quot;;[Red]\(0.00&quot;x&quot;\);\–"/>
    <numFmt numFmtId="171" formatCode="#,##0.0;[Red]\(#,##0.0\);\–"/>
    <numFmt numFmtId="172" formatCode="0.0;[Red]\(0.0\);\–"/>
    <numFmt numFmtId="173" formatCode="#,##0.00;[Red]\(#,##0.00\);\-"/>
    <numFmt numFmtId="174" formatCode="\$0.00;[Red]\(\$0.00\);\–"/>
  </numFmts>
  <fonts count="16">
    <font>
      <sz val="11"/>
      <color theme="1"/>
      <name val="Calibri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  <font>
      <i/>
      <sz val="10"/>
      <color rgb="FF000000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  <font>
      <i/>
      <sz val="11"/>
      <name val="Carlito"/>
    </font>
    <font>
      <b/>
      <sz val="11"/>
      <name val="Carlito"/>
    </font>
    <font>
      <b/>
      <sz val="11"/>
      <color rgb="FFFFFFFF"/>
      <name val="Calibri"/>
      <family val="2"/>
    </font>
    <font>
      <b/>
      <sz val="11"/>
      <color rgb="FF163A63"/>
      <name val="Calibri"/>
      <family val="2"/>
    </font>
    <font>
      <b/>
      <sz val="11"/>
      <color rgb="FF172C47"/>
      <name val="Calibri"/>
      <family val="2"/>
    </font>
    <font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theme="0"/>
      </patternFill>
    </fill>
    <fill>
      <patternFill patternType="solid">
        <fgColor rgb="FF163A63"/>
      </patternFill>
    </fill>
    <fill>
      <patternFill patternType="solid">
        <fgColor rgb="FFDCE8F5"/>
      </patternFill>
    </fill>
    <fill>
      <patternFill patternType="solid">
        <fgColor rgb="FFEAF2FA"/>
      </patternFill>
    </fill>
    <fill>
      <patternFill patternType="solid">
        <fgColor rgb="FF17365D"/>
      </patternFill>
    </fill>
  </fills>
  <borders count="12">
    <border>
      <left/>
      <right/>
      <top/>
      <bottom/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7F7F7F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7F7F7F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6"/>
    <xf numFmtId="43" fontId="1" fillId="0" borderId="6" applyFont="0" applyFill="0" applyBorder="0" applyAlignment="0" applyProtection="0"/>
    <xf numFmtId="9" fontId="1" fillId="0" borderId="6" applyFont="0" applyFill="0" applyBorder="0" applyAlignment="0" applyProtection="0"/>
  </cellStyleXfs>
  <cellXfs count="97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4" fontId="3" fillId="2" borderId="0" xfId="0" applyNumberFormat="1" applyFont="1" applyFill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0" borderId="0" xfId="0" applyFont="1"/>
    <xf numFmtId="165" fontId="6" fillId="0" borderId="0" xfId="0" applyNumberFormat="1" applyFont="1" applyAlignment="1">
      <alignment horizontal="right" vertical="center"/>
    </xf>
    <xf numFmtId="165" fontId="6" fillId="0" borderId="0" xfId="0" applyNumberFormat="1" applyFont="1" applyAlignment="1">
      <alignment horizontal="right"/>
    </xf>
    <xf numFmtId="0" fontId="7" fillId="0" borderId="0" xfId="0" applyFont="1" applyAlignment="1">
      <alignment horizontal="left" vertical="center"/>
    </xf>
    <xf numFmtId="166" fontId="8" fillId="0" borderId="0" xfId="2" applyNumberFormat="1" applyFont="1" applyAlignment="1">
      <alignment horizontal="right"/>
    </xf>
    <xf numFmtId="0" fontId="3" fillId="0" borderId="2" xfId="0" applyFont="1" applyBorder="1" applyAlignment="1">
      <alignment horizontal="left" vertical="center"/>
    </xf>
    <xf numFmtId="165" fontId="6" fillId="0" borderId="2" xfId="0" applyNumberFormat="1" applyFont="1" applyBorder="1" applyAlignment="1">
      <alignment horizontal="right" vertical="center"/>
    </xf>
    <xf numFmtId="165" fontId="9" fillId="0" borderId="2" xfId="0" applyNumberFormat="1" applyFont="1" applyBorder="1" applyAlignment="1">
      <alignment horizontal="right" vertical="center"/>
    </xf>
    <xf numFmtId="165" fontId="6" fillId="0" borderId="3" xfId="0" applyNumberFormat="1" applyFont="1" applyBorder="1" applyAlignment="1">
      <alignment horizontal="right"/>
    </xf>
    <xf numFmtId="165" fontId="8" fillId="0" borderId="3" xfId="0" applyNumberFormat="1" applyFont="1" applyBorder="1" applyAlignment="1">
      <alignment horizontal="right"/>
    </xf>
    <xf numFmtId="0" fontId="3" fillId="4" borderId="4" xfId="0" applyFont="1" applyFill="1" applyBorder="1" applyAlignment="1">
      <alignment horizontal="left" vertical="center"/>
    </xf>
    <xf numFmtId="165" fontId="4" fillId="4" borderId="4" xfId="0" applyNumberFormat="1" applyFont="1" applyFill="1" applyBorder="1" applyAlignment="1">
      <alignment horizontal="right" vertical="center"/>
    </xf>
    <xf numFmtId="165" fontId="4" fillId="4" borderId="4" xfId="0" applyNumberFormat="1" applyFont="1" applyFill="1" applyBorder="1" applyAlignment="1">
      <alignment horizontal="right"/>
    </xf>
    <xf numFmtId="166" fontId="6" fillId="0" borderId="0" xfId="2" applyNumberFormat="1" applyFont="1" applyAlignment="1">
      <alignment horizontal="right"/>
    </xf>
    <xf numFmtId="3" fontId="6" fillId="0" borderId="0" xfId="0" applyNumberFormat="1" applyFont="1" applyAlignment="1">
      <alignment horizontal="right" vertical="center"/>
    </xf>
    <xf numFmtId="165" fontId="4" fillId="4" borderId="0" xfId="0" applyNumberFormat="1" applyFont="1" applyFill="1" applyAlignment="1">
      <alignment horizontal="right" vertical="center"/>
    </xf>
    <xf numFmtId="0" fontId="10" fillId="0" borderId="0" xfId="0" applyFont="1"/>
    <xf numFmtId="166" fontId="6" fillId="0" borderId="0" xfId="2" applyNumberFormat="1" applyFont="1" applyAlignment="1">
      <alignment horizontal="right" vertical="center"/>
    </xf>
    <xf numFmtId="0" fontId="11" fillId="0" borderId="0" xfId="0" applyFont="1"/>
    <xf numFmtId="3" fontId="8" fillId="0" borderId="3" xfId="0" applyNumberFormat="1" applyFont="1" applyBorder="1" applyAlignment="1">
      <alignment horizontal="right" vertical="center"/>
    </xf>
    <xf numFmtId="167" fontId="6" fillId="0" borderId="0" xfId="0" applyNumberFormat="1" applyFont="1" applyAlignment="1">
      <alignment horizontal="right" vertical="center"/>
    </xf>
    <xf numFmtId="167" fontId="6" fillId="0" borderId="0" xfId="0" applyNumberFormat="1" applyFont="1" applyAlignment="1">
      <alignment horizontal="right"/>
    </xf>
    <xf numFmtId="0" fontId="5" fillId="3" borderId="0" xfId="0" applyFont="1" applyFill="1" applyAlignment="1">
      <alignment vertical="center"/>
    </xf>
    <xf numFmtId="165" fontId="5" fillId="3" borderId="0" xfId="0" applyNumberFormat="1" applyFont="1" applyFill="1" applyAlignment="1">
      <alignment vertical="center"/>
    </xf>
    <xf numFmtId="0" fontId="3" fillId="4" borderId="0" xfId="0" applyFont="1" applyFill="1" applyAlignment="1">
      <alignment horizontal="left" vertical="center"/>
    </xf>
    <xf numFmtId="165" fontId="4" fillId="4" borderId="0" xfId="0" applyNumberFormat="1" applyFont="1" applyFill="1" applyAlignment="1">
      <alignment horizontal="right"/>
    </xf>
    <xf numFmtId="165" fontId="8" fillId="4" borderId="4" xfId="0" applyNumberFormat="1" applyFont="1" applyFill="1" applyBorder="1" applyAlignment="1">
      <alignment horizontal="right" vertical="center"/>
    </xf>
    <xf numFmtId="165" fontId="8" fillId="4" borderId="4" xfId="0" applyNumberFormat="1" applyFont="1" applyFill="1" applyBorder="1" applyAlignment="1">
      <alignment horizontal="right"/>
    </xf>
    <xf numFmtId="3" fontId="6" fillId="0" borderId="0" xfId="0" applyNumberFormat="1" applyFont="1" applyAlignment="1">
      <alignment horizontal="right"/>
    </xf>
    <xf numFmtId="165" fontId="8" fillId="0" borderId="5" xfId="0" applyNumberFormat="1" applyFont="1" applyBorder="1" applyAlignment="1">
      <alignment horizontal="right"/>
    </xf>
    <xf numFmtId="165" fontId="8" fillId="0" borderId="0" xfId="0" applyNumberFormat="1" applyFont="1" applyAlignment="1">
      <alignment horizontal="right"/>
    </xf>
    <xf numFmtId="168" fontId="0" fillId="0" borderId="0" xfId="1" applyNumberFormat="1" applyFont="1"/>
    <xf numFmtId="0" fontId="2" fillId="0" borderId="0" xfId="0" applyFont="1"/>
    <xf numFmtId="0" fontId="12" fillId="5" borderId="0" xfId="0" applyFont="1" applyFill="1"/>
    <xf numFmtId="0" fontId="13" fillId="6" borderId="0" xfId="0" applyFont="1" applyFill="1"/>
    <xf numFmtId="169" fontId="0" fillId="0" borderId="0" xfId="0" applyNumberFormat="1"/>
    <xf numFmtId="169" fontId="12" fillId="5" borderId="0" xfId="0" applyNumberFormat="1" applyFont="1" applyFill="1"/>
    <xf numFmtId="0" fontId="14" fillId="7" borderId="0" xfId="0" applyFont="1" applyFill="1"/>
    <xf numFmtId="169" fontId="14" fillId="7" borderId="0" xfId="0" applyNumberFormat="1" applyFont="1" applyFill="1"/>
    <xf numFmtId="0" fontId="5" fillId="3" borderId="0" xfId="0" applyFont="1" applyFill="1" applyAlignment="1">
      <alignment horizontal="left" vertical="center"/>
    </xf>
    <xf numFmtId="165" fontId="5" fillId="3" borderId="0" xfId="0" applyNumberFormat="1" applyFont="1" applyFill="1" applyAlignment="1">
      <alignment horizontal="left" vertical="center"/>
    </xf>
    <xf numFmtId="0" fontId="3" fillId="2" borderId="7" xfId="3" applyFont="1" applyFill="1" applyBorder="1" applyAlignment="1">
      <alignment horizontal="left" vertical="center"/>
    </xf>
    <xf numFmtId="164" fontId="3" fillId="2" borderId="7" xfId="3" applyNumberFormat="1" applyFont="1" applyFill="1" applyBorder="1" applyAlignment="1">
      <alignment horizontal="right" vertical="center"/>
    </xf>
    <xf numFmtId="164" fontId="3" fillId="2" borderId="6" xfId="3" applyNumberFormat="1" applyFont="1" applyFill="1" applyAlignment="1">
      <alignment horizontal="right" vertical="center"/>
    </xf>
    <xf numFmtId="0" fontId="1" fillId="0" borderId="6" xfId="3"/>
    <xf numFmtId="0" fontId="4" fillId="0" borderId="6" xfId="3" applyFont="1" applyAlignment="1">
      <alignment horizontal="left" vertical="center"/>
    </xf>
    <xf numFmtId="0" fontId="4" fillId="0" borderId="6" xfId="3" applyFont="1" applyAlignment="1">
      <alignment horizontal="right" vertical="center"/>
    </xf>
    <xf numFmtId="0" fontId="4" fillId="0" borderId="6" xfId="3" applyFont="1"/>
    <xf numFmtId="0" fontId="5" fillId="3" borderId="6" xfId="3" applyFont="1" applyFill="1" applyAlignment="1">
      <alignment horizontal="left" vertical="center"/>
    </xf>
    <xf numFmtId="165" fontId="5" fillId="3" borderId="6" xfId="3" applyNumberFormat="1" applyFont="1" applyFill="1" applyAlignment="1">
      <alignment horizontal="left" vertical="center"/>
    </xf>
    <xf numFmtId="0" fontId="3" fillId="0" borderId="8" xfId="3" applyFont="1" applyBorder="1" applyAlignment="1">
      <alignment horizontal="left" vertical="center"/>
    </xf>
    <xf numFmtId="165" fontId="6" fillId="0" borderId="8" xfId="3" applyNumberFormat="1" applyFont="1" applyBorder="1" applyAlignment="1">
      <alignment horizontal="right" vertical="center"/>
    </xf>
    <xf numFmtId="165" fontId="9" fillId="0" borderId="8" xfId="3" applyNumberFormat="1" applyFont="1" applyBorder="1" applyAlignment="1">
      <alignment horizontal="right" vertical="center"/>
    </xf>
    <xf numFmtId="165" fontId="6" fillId="0" borderId="9" xfId="3" applyNumberFormat="1" applyFont="1" applyBorder="1" applyAlignment="1">
      <alignment horizontal="right"/>
    </xf>
    <xf numFmtId="165" fontId="8" fillId="0" borderId="9" xfId="3" applyNumberFormat="1" applyFont="1" applyBorder="1" applyAlignment="1">
      <alignment horizontal="right"/>
    </xf>
    <xf numFmtId="0" fontId="2" fillId="0" borderId="6" xfId="3" applyFont="1"/>
    <xf numFmtId="168" fontId="0" fillId="0" borderId="6" xfId="4" applyNumberFormat="1" applyFont="1"/>
    <xf numFmtId="0" fontId="3" fillId="4" borderId="10" xfId="3" applyFont="1" applyFill="1" applyBorder="1" applyAlignment="1">
      <alignment horizontal="left" vertical="center"/>
    </xf>
    <xf numFmtId="165" fontId="4" fillId="4" borderId="10" xfId="3" applyNumberFormat="1" applyFont="1" applyFill="1" applyBorder="1" applyAlignment="1">
      <alignment horizontal="right" vertical="center"/>
    </xf>
    <xf numFmtId="166" fontId="6" fillId="0" borderId="6" xfId="5" applyNumberFormat="1" applyFont="1" applyAlignment="1">
      <alignment horizontal="right"/>
    </xf>
    <xf numFmtId="165" fontId="6" fillId="0" borderId="6" xfId="3" applyNumberFormat="1" applyFont="1" applyAlignment="1">
      <alignment horizontal="right"/>
    </xf>
    <xf numFmtId="165" fontId="4" fillId="4" borderId="10" xfId="3" applyNumberFormat="1" applyFont="1" applyFill="1" applyBorder="1" applyAlignment="1">
      <alignment horizontal="right"/>
    </xf>
    <xf numFmtId="0" fontId="7" fillId="0" borderId="6" xfId="3" applyFont="1" applyAlignment="1">
      <alignment horizontal="left" vertical="center"/>
    </xf>
    <xf numFmtId="166" fontId="8" fillId="0" borderId="6" xfId="5" applyNumberFormat="1" applyFont="1" applyAlignment="1">
      <alignment horizontal="right"/>
    </xf>
    <xf numFmtId="165" fontId="6" fillId="0" borderId="6" xfId="3" applyNumberFormat="1" applyFont="1" applyAlignment="1">
      <alignment horizontal="right" vertical="center"/>
    </xf>
    <xf numFmtId="3" fontId="6" fillId="0" borderId="6" xfId="3" applyNumberFormat="1" applyFont="1" applyAlignment="1">
      <alignment horizontal="right" vertical="center"/>
    </xf>
    <xf numFmtId="0" fontId="11" fillId="0" borderId="6" xfId="3" applyFont="1"/>
    <xf numFmtId="3" fontId="8" fillId="0" borderId="9" xfId="3" applyNumberFormat="1" applyFont="1" applyBorder="1" applyAlignment="1">
      <alignment horizontal="right" vertical="center"/>
    </xf>
    <xf numFmtId="0" fontId="10" fillId="0" borderId="6" xfId="3" applyFont="1"/>
    <xf numFmtId="166" fontId="6" fillId="0" borderId="6" xfId="5" applyNumberFormat="1" applyFont="1" applyAlignment="1">
      <alignment horizontal="right" vertical="center"/>
    </xf>
    <xf numFmtId="167" fontId="6" fillId="0" borderId="6" xfId="3" applyNumberFormat="1" applyFont="1" applyAlignment="1">
      <alignment horizontal="right" vertical="center"/>
    </xf>
    <xf numFmtId="167" fontId="6" fillId="0" borderId="6" xfId="3" applyNumberFormat="1" applyFont="1" applyAlignment="1">
      <alignment horizontal="right"/>
    </xf>
    <xf numFmtId="0" fontId="5" fillId="3" borderId="6" xfId="3" applyFont="1" applyFill="1" applyAlignment="1">
      <alignment vertical="center"/>
    </xf>
    <xf numFmtId="165" fontId="5" fillId="3" borderId="6" xfId="3" applyNumberFormat="1" applyFont="1" applyFill="1" applyAlignment="1">
      <alignment vertical="center"/>
    </xf>
    <xf numFmtId="0" fontId="3" fillId="4" borderId="6" xfId="3" applyFont="1" applyFill="1" applyAlignment="1">
      <alignment horizontal="left" vertical="center"/>
    </xf>
    <xf numFmtId="165" fontId="4" fillId="4" borderId="6" xfId="3" applyNumberFormat="1" applyFont="1" applyFill="1" applyAlignment="1">
      <alignment horizontal="right" vertical="center"/>
    </xf>
    <xf numFmtId="165" fontId="4" fillId="4" borderId="6" xfId="3" applyNumberFormat="1" applyFont="1" applyFill="1" applyAlignment="1">
      <alignment horizontal="right"/>
    </xf>
    <xf numFmtId="165" fontId="8" fillId="4" borderId="10" xfId="3" applyNumberFormat="1" applyFont="1" applyFill="1" applyBorder="1" applyAlignment="1">
      <alignment horizontal="right" vertical="center"/>
    </xf>
    <xf numFmtId="165" fontId="8" fillId="4" borderId="10" xfId="3" applyNumberFormat="1" applyFont="1" applyFill="1" applyBorder="1" applyAlignment="1">
      <alignment horizontal="right"/>
    </xf>
    <xf numFmtId="3" fontId="6" fillId="0" borderId="6" xfId="3" applyNumberFormat="1" applyFont="1" applyAlignment="1">
      <alignment horizontal="right"/>
    </xf>
    <xf numFmtId="165" fontId="8" fillId="0" borderId="11" xfId="3" applyNumberFormat="1" applyFont="1" applyBorder="1" applyAlignment="1">
      <alignment horizontal="right"/>
    </xf>
    <xf numFmtId="165" fontId="8" fillId="0" borderId="6" xfId="3" applyNumberFormat="1" applyFont="1" applyAlignment="1">
      <alignment horizontal="right"/>
    </xf>
    <xf numFmtId="0" fontId="12" fillId="8" borderId="6" xfId="3" applyFont="1" applyFill="1"/>
    <xf numFmtId="169" fontId="1" fillId="0" borderId="6" xfId="3" applyNumberFormat="1"/>
    <xf numFmtId="170" fontId="1" fillId="0" borderId="6" xfId="3" applyNumberFormat="1"/>
    <xf numFmtId="171" fontId="1" fillId="0" borderId="6" xfId="3" applyNumberFormat="1"/>
    <xf numFmtId="172" fontId="1" fillId="0" borderId="6" xfId="3" applyNumberFormat="1"/>
    <xf numFmtId="0" fontId="15" fillId="0" borderId="6" xfId="3" applyFont="1" applyAlignment="1">
      <alignment wrapText="1"/>
    </xf>
    <xf numFmtId="173" fontId="8" fillId="0" borderId="6" xfId="3" applyNumberFormat="1" applyFont="1" applyAlignment="1">
      <alignment horizontal="right"/>
    </xf>
    <xf numFmtId="8" fontId="12" fillId="8" borderId="6" xfId="3" applyNumberFormat="1" applyFont="1" applyFill="1"/>
    <xf numFmtId="174" fontId="1" fillId="0" borderId="6" xfId="3" applyNumberFormat="1"/>
  </cellXfs>
  <cellStyles count="6">
    <cellStyle name="Comma" xfId="1" xr:uid="{00000000-0005-0000-0000-000000000000}"/>
    <cellStyle name="Comma 2" xfId="4" xr:uid="{DB973E3E-7B6A-46CD-9A72-637B954C085F}"/>
    <cellStyle name="Normal" xfId="0" builtinId="0"/>
    <cellStyle name="Normal 2" xfId="3" xr:uid="{5157260A-1573-4761-AADB-8B524A7DB81C}"/>
    <cellStyle name="Percent" xfId="2" xr:uid="{00000000-0005-0000-0000-000002000000}"/>
    <cellStyle name="Percent 2" xfId="5" xr:uid="{0FE76DA3-A5FE-48A9-A9D2-09B315AE04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133"/>
  <sheetViews>
    <sheetView workbookViewId="0"/>
  </sheetViews>
  <sheetFormatPr defaultRowHeight="14.4"/>
  <cols>
    <col min="1" max="1" width="42" customWidth="1"/>
    <col min="2" max="17" width="14" customWidth="1"/>
  </cols>
  <sheetData>
    <row r="2" spans="1:2">
      <c r="A2" s="1" t="s">
        <v>0</v>
      </c>
      <c r="B2" s="2">
        <v>2010</v>
      </c>
    </row>
    <row r="3" spans="1:2">
      <c r="A3" s="4"/>
      <c r="B3" s="5"/>
    </row>
    <row r="4" spans="1:2">
      <c r="A4" s="45" t="s">
        <v>1</v>
      </c>
      <c r="B4" s="46"/>
    </row>
    <row r="5" spans="1:2">
      <c r="A5" s="11" t="s">
        <v>2</v>
      </c>
      <c r="B5" s="12">
        <v>65225</v>
      </c>
    </row>
    <row r="6" spans="1:2">
      <c r="A6" s="38" t="s">
        <v>3</v>
      </c>
      <c r="B6" s="37">
        <v>39541</v>
      </c>
    </row>
    <row r="7" spans="1:2">
      <c r="A7" s="16" t="s">
        <v>4</v>
      </c>
      <c r="B7" s="17">
        <f>B5-B6</f>
        <v>25684</v>
      </c>
    </row>
    <row r="9" spans="1:2">
      <c r="A9" t="s">
        <v>5</v>
      </c>
      <c r="B9" s="8">
        <v>1782</v>
      </c>
    </row>
    <row r="10" spans="1:2">
      <c r="A10" t="s">
        <v>6</v>
      </c>
      <c r="B10" s="8">
        <v>5517</v>
      </c>
    </row>
    <row r="11" spans="1:2">
      <c r="A11" s="16" t="s">
        <v>7</v>
      </c>
      <c r="B11" s="17">
        <f>B9+B10</f>
        <v>7299</v>
      </c>
    </row>
    <row r="12" spans="1:2">
      <c r="A12" s="16" t="s">
        <v>8</v>
      </c>
      <c r="B12" s="17">
        <f>B7-B11</f>
        <v>18385</v>
      </c>
    </row>
    <row r="13" spans="1:2">
      <c r="A13" s="9" t="s">
        <v>9</v>
      </c>
      <c r="B13" s="10" t="str">
        <f>IFERROR(B12/#REF!-1,"")</f>
        <v/>
      </c>
    </row>
    <row r="15" spans="1:2">
      <c r="A15" t="s">
        <v>10</v>
      </c>
      <c r="B15" s="7">
        <v>155</v>
      </c>
    </row>
    <row r="16" spans="1:2">
      <c r="A16" s="24" t="s">
        <v>11</v>
      </c>
      <c r="B16" s="25">
        <f>B15</f>
        <v>155</v>
      </c>
    </row>
    <row r="17" spans="1:2">
      <c r="A17" s="22"/>
      <c r="B17" s="23"/>
    </row>
    <row r="18" spans="1:2">
      <c r="B18" s="7"/>
    </row>
    <row r="19" spans="1:2">
      <c r="A19" t="s">
        <v>12</v>
      </c>
      <c r="B19" s="7">
        <f>B12+B16</f>
        <v>18540</v>
      </c>
    </row>
    <row r="20" spans="1:2">
      <c r="A20" t="s">
        <v>13</v>
      </c>
      <c r="B20" s="7">
        <v>4527</v>
      </c>
    </row>
    <row r="21" spans="1:2">
      <c r="A21" s="24" t="s">
        <v>14</v>
      </c>
      <c r="B21" s="17">
        <f>B19-B20</f>
        <v>14013</v>
      </c>
    </row>
    <row r="22" spans="1:2">
      <c r="B22" s="26"/>
    </row>
    <row r="23" spans="1:2">
      <c r="A23" s="4"/>
      <c r="B23" s="7"/>
    </row>
    <row r="24" spans="1:2">
      <c r="A24" s="28" t="s">
        <v>15</v>
      </c>
      <c r="B24" s="29"/>
    </row>
    <row r="25" spans="1:2">
      <c r="A25" s="4" t="s">
        <v>16</v>
      </c>
      <c r="B25" s="7">
        <v>11261</v>
      </c>
    </row>
    <row r="26" spans="1:2">
      <c r="A26" s="4" t="s">
        <v>17</v>
      </c>
      <c r="B26" s="7">
        <v>14359</v>
      </c>
    </row>
    <row r="27" spans="1:2">
      <c r="A27" s="4" t="s">
        <v>18</v>
      </c>
      <c r="B27" s="7">
        <v>5510</v>
      </c>
    </row>
    <row r="28" spans="1:2">
      <c r="A28" s="4" t="s">
        <v>19</v>
      </c>
      <c r="B28" s="7">
        <v>1051</v>
      </c>
    </row>
    <row r="29" spans="1:2">
      <c r="A29" s="4" t="s">
        <v>20</v>
      </c>
      <c r="B29" s="7">
        <v>1636</v>
      </c>
    </row>
    <row r="30" spans="1:2">
      <c r="A30" s="4" t="s">
        <v>21</v>
      </c>
      <c r="B30" s="7">
        <v>4414</v>
      </c>
    </row>
    <row r="31" spans="1:2">
      <c r="A31" s="4" t="s">
        <v>22</v>
      </c>
      <c r="B31" s="7">
        <v>3447</v>
      </c>
    </row>
    <row r="32" spans="1:2">
      <c r="A32" s="16" t="s">
        <v>23</v>
      </c>
      <c r="B32" s="17">
        <f>B25+B26+B27+B28+B29+B30+B31</f>
        <v>41678</v>
      </c>
    </row>
    <row r="33" spans="1:2">
      <c r="A33" s="30"/>
      <c r="B33" s="21"/>
    </row>
    <row r="34" spans="1:2">
      <c r="A34" s="30" t="s">
        <v>24</v>
      </c>
      <c r="B34" s="7">
        <v>4768</v>
      </c>
    </row>
    <row r="35" spans="1:2">
      <c r="A35" s="4" t="s">
        <v>25</v>
      </c>
      <c r="B35" s="7">
        <v>25391</v>
      </c>
    </row>
    <row r="36" spans="1:2">
      <c r="A36" s="4" t="s">
        <v>26</v>
      </c>
      <c r="B36" s="7">
        <v>741</v>
      </c>
    </row>
    <row r="37" spans="1:2">
      <c r="A37" s="4" t="s">
        <v>27</v>
      </c>
      <c r="B37" s="7">
        <v>342</v>
      </c>
    </row>
    <row r="38" spans="1:2">
      <c r="A38" s="4" t="s">
        <v>28</v>
      </c>
      <c r="B38" s="7">
        <v>2263</v>
      </c>
    </row>
    <row r="39" spans="1:2">
      <c r="A39" s="4" t="s">
        <v>29</v>
      </c>
      <c r="B39" s="7">
        <v>0</v>
      </c>
    </row>
    <row r="40" spans="1:2">
      <c r="A40" s="16" t="s">
        <v>30</v>
      </c>
      <c r="B40" s="17">
        <f>B34+B35+B36+B37+B38+B39</f>
        <v>33505</v>
      </c>
    </row>
    <row r="41" spans="1:2">
      <c r="A41" s="16" t="s">
        <v>31</v>
      </c>
      <c r="B41" s="17">
        <f>B32+B40</f>
        <v>75183</v>
      </c>
    </row>
    <row r="42" spans="1:2">
      <c r="A42" s="30"/>
      <c r="B42" s="21"/>
    </row>
    <row r="43" spans="1:2">
      <c r="A43" s="4" t="s">
        <v>32</v>
      </c>
      <c r="B43" s="7">
        <v>0</v>
      </c>
    </row>
    <row r="44" spans="1:2">
      <c r="A44" s="4" t="s">
        <v>33</v>
      </c>
      <c r="B44" s="7">
        <v>12015</v>
      </c>
    </row>
    <row r="45" spans="1:2">
      <c r="A45" s="4" t="s">
        <v>34</v>
      </c>
      <c r="B45" s="7">
        <v>5723</v>
      </c>
    </row>
    <row r="46" spans="1:2">
      <c r="A46" s="4" t="s">
        <v>35</v>
      </c>
      <c r="B46" s="7">
        <v>2984</v>
      </c>
    </row>
    <row r="47" spans="1:2">
      <c r="A47" s="4" t="s">
        <v>36</v>
      </c>
      <c r="B47" s="7">
        <v>0</v>
      </c>
    </row>
    <row r="48" spans="1:2">
      <c r="A48" s="4" t="s">
        <v>37</v>
      </c>
      <c r="B48" s="7">
        <v>0</v>
      </c>
    </row>
    <row r="49" spans="1:2">
      <c r="A49" s="4" t="s">
        <v>38</v>
      </c>
      <c r="B49" s="7">
        <v>0</v>
      </c>
    </row>
    <row r="50" spans="1:2">
      <c r="A50" s="16" t="s">
        <v>39</v>
      </c>
      <c r="B50" s="17">
        <f>SUM(B43:B49)</f>
        <v>20722</v>
      </c>
    </row>
    <row r="51" spans="1:2">
      <c r="A51" s="30"/>
      <c r="B51" s="21"/>
    </row>
    <row r="52" spans="1:2">
      <c r="A52" s="4" t="s">
        <v>40</v>
      </c>
      <c r="B52" s="7">
        <v>0</v>
      </c>
    </row>
    <row r="53" spans="1:2">
      <c r="A53" s="4" t="s">
        <v>41</v>
      </c>
      <c r="B53" s="7">
        <v>1139</v>
      </c>
    </row>
    <row r="54" spans="1:2">
      <c r="A54" s="4" t="s">
        <v>42</v>
      </c>
      <c r="B54" s="7">
        <v>5531</v>
      </c>
    </row>
    <row r="55" spans="1:2">
      <c r="A55" s="16" t="s">
        <v>43</v>
      </c>
      <c r="B55" s="32">
        <f>SUM(B52:B54)</f>
        <v>6670</v>
      </c>
    </row>
    <row r="56" spans="1:2">
      <c r="A56" s="16" t="s">
        <v>44</v>
      </c>
      <c r="B56" s="15">
        <f>B50+B55</f>
        <v>27392</v>
      </c>
    </row>
    <row r="57" spans="1:2">
      <c r="A57" s="4"/>
      <c r="B57" s="8"/>
    </row>
    <row r="58" spans="1:2">
      <c r="A58" s="4" t="s">
        <v>45</v>
      </c>
      <c r="B58" s="8">
        <v>10668</v>
      </c>
    </row>
    <row r="59" spans="1:2">
      <c r="A59" s="4" t="s">
        <v>46</v>
      </c>
      <c r="B59" s="8">
        <v>37169</v>
      </c>
    </row>
    <row r="60" spans="1:2">
      <c r="A60" s="4" t="s">
        <v>47</v>
      </c>
      <c r="B60" s="8">
        <v>0</v>
      </c>
    </row>
    <row r="61" spans="1:2">
      <c r="A61" s="4" t="s">
        <v>48</v>
      </c>
      <c r="B61" s="34">
        <v>-46</v>
      </c>
    </row>
    <row r="62" spans="1:2">
      <c r="A62" s="16" t="s">
        <v>49</v>
      </c>
      <c r="B62" s="35">
        <f>SUM(B58:B61)</f>
        <v>47791</v>
      </c>
    </row>
    <row r="63" spans="1:2">
      <c r="A63" s="16" t="s">
        <v>50</v>
      </c>
      <c r="B63" s="36">
        <f>B56+B62</f>
        <v>75183</v>
      </c>
    </row>
    <row r="67" spans="1:17" ht="19.95" customHeight="1">
      <c r="A67" s="39" t="s">
        <v>51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</row>
    <row r="68" spans="1:17">
      <c r="A68" t="s">
        <v>52</v>
      </c>
    </row>
    <row r="70" spans="1:17">
      <c r="A70" s="40" t="s">
        <v>53</v>
      </c>
      <c r="B70" s="40">
        <v>2010</v>
      </c>
      <c r="C70" s="40">
        <v>2011</v>
      </c>
      <c r="D70" s="40">
        <v>2012</v>
      </c>
      <c r="E70" s="40">
        <v>2013</v>
      </c>
      <c r="F70" s="40">
        <v>2014</v>
      </c>
      <c r="G70" s="40">
        <v>2015</v>
      </c>
      <c r="H70" s="40">
        <v>2016</v>
      </c>
      <c r="I70" s="40">
        <v>2017</v>
      </c>
      <c r="J70" s="40">
        <v>2018</v>
      </c>
      <c r="K70" s="40">
        <v>2019</v>
      </c>
      <c r="L70" s="40">
        <v>2020</v>
      </c>
      <c r="M70" s="40">
        <v>2021</v>
      </c>
      <c r="N70" s="40">
        <v>2022</v>
      </c>
      <c r="O70" s="40">
        <v>2023</v>
      </c>
      <c r="P70" s="40">
        <v>2024</v>
      </c>
      <c r="Q70" s="40">
        <v>2025</v>
      </c>
    </row>
    <row r="71" spans="1:17">
      <c r="A71" s="39" t="s">
        <v>1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</row>
    <row r="72" spans="1:17">
      <c r="A72" s="43" t="s">
        <v>2</v>
      </c>
      <c r="B72" s="44">
        <f>IFERROR(B5/B$5,"")</f>
        <v>1</v>
      </c>
      <c r="C72" s="44">
        <f>IFERROR('Horizontal Analysis'!C5/'Horizontal Analysis'!C$5,"")</f>
        <v>1</v>
      </c>
      <c r="D72" s="44">
        <f>IFERROR('Horizontal Analysis'!D5/'Horizontal Analysis'!D$5,"")</f>
        <v>1</v>
      </c>
      <c r="E72" s="44">
        <f>IFERROR('Horizontal Analysis'!E5/'Horizontal Analysis'!E$5,"")</f>
        <v>1</v>
      </c>
      <c r="F72" s="44">
        <f>IFERROR('Horizontal Analysis'!F5/'Horizontal Analysis'!F$5,"")</f>
        <v>1</v>
      </c>
      <c r="G72" s="44">
        <f>IFERROR('Horizontal Analysis'!G5/'Horizontal Analysis'!G$5,"")</f>
        <v>1</v>
      </c>
      <c r="H72" s="44">
        <f>IFERROR('Horizontal Analysis'!H5/'Horizontal Analysis'!H$5,"")</f>
        <v>1</v>
      </c>
      <c r="I72" s="44">
        <f>IFERROR('Horizontal Analysis'!I5/'Horizontal Analysis'!I$5,"")</f>
        <v>1</v>
      </c>
      <c r="J72" s="44">
        <f>IFERROR('Horizontal Analysis'!J5/'Horizontal Analysis'!J$5,"")</f>
        <v>1</v>
      </c>
      <c r="K72" s="44">
        <f>IFERROR('Horizontal Analysis'!K5/'Horizontal Analysis'!K$5,"")</f>
        <v>1</v>
      </c>
      <c r="L72" s="44">
        <f>IFERROR('Horizontal Analysis'!L5/'Horizontal Analysis'!L$5,"")</f>
        <v>1</v>
      </c>
      <c r="M72" s="44">
        <f>IFERROR('Horizontal Analysis'!M5/'Horizontal Analysis'!M$5,"")</f>
        <v>1</v>
      </c>
      <c r="N72" s="44">
        <f>IFERROR('Horizontal Analysis'!N5/'Horizontal Analysis'!N$5,"")</f>
        <v>1</v>
      </c>
      <c r="O72" s="44">
        <f>IFERROR('Horizontal Analysis'!O5/'Horizontal Analysis'!O$5,"")</f>
        <v>1</v>
      </c>
      <c r="P72" s="44">
        <f>IFERROR('Horizontal Analysis'!P5/'Horizontal Analysis'!P$5,"")</f>
        <v>1</v>
      </c>
      <c r="Q72" s="44">
        <f>IFERROR('Horizontal Analysis'!Q5/'Horizontal Analysis'!Q$5,"")</f>
        <v>1</v>
      </c>
    </row>
    <row r="73" spans="1:17">
      <c r="A73" t="s">
        <v>3</v>
      </c>
      <c r="B73" s="41">
        <f>IFERROR(B6/B$5,"")</f>
        <v>0.60622460712916826</v>
      </c>
      <c r="C73" s="41">
        <f>IFERROR('Horizontal Analysis'!C6/'Horizontal Analysis'!C$5,"")</f>
        <v>0.59521104121054236</v>
      </c>
      <c r="D73" s="41">
        <f>IFERROR('Horizontal Analysis'!D6/'Horizontal Analysis'!D$5,"")</f>
        <v>0.56128760191172333</v>
      </c>
      <c r="E73" s="41">
        <f>IFERROR('Horizontal Analysis'!E6/'Horizontal Analysis'!E$5,"")</f>
        <v>0.62375519279152769</v>
      </c>
      <c r="F73" s="41">
        <f>IFERROR('Horizontal Analysis'!F6/'Horizontal Analysis'!F$5,"")</f>
        <v>0.61411964222216142</v>
      </c>
      <c r="G73" s="41">
        <f>IFERROR('Horizontal Analysis'!G6/'Horizontal Analysis'!G$5,"")</f>
        <v>0.59940097982585627</v>
      </c>
      <c r="H73" s="41">
        <f>IFERROR('Horizontal Analysis'!H6/'Horizontal Analysis'!H$5,"")</f>
        <v>0.60924044351902951</v>
      </c>
      <c r="I73" s="41">
        <f>IFERROR('Horizontal Analysis'!I6/'Horizontal Analysis'!I$5,"")</f>
        <v>0.6153013950810089</v>
      </c>
      <c r="J73" s="41">
        <f>IFERROR('Horizontal Analysis'!J6/'Horizontal Analysis'!J$5,"")</f>
        <v>0.6165628117999209</v>
      </c>
      <c r="K73" s="41">
        <f>IFERROR('Horizontal Analysis'!K6/'Horizontal Analysis'!K$5,"")</f>
        <v>0.62182231890965278</v>
      </c>
      <c r="L73" s="41">
        <f>IFERROR('Horizontal Analysis'!L6/'Horizontal Analysis'!L$5,"")</f>
        <v>0.61766752272189129</v>
      </c>
      <c r="M73" s="41">
        <f>IFERROR('Horizontal Analysis'!M6/'Horizontal Analysis'!M$5,"")</f>
        <v>0.58220640374832222</v>
      </c>
      <c r="N73" s="41">
        <f>IFERROR('Horizontal Analysis'!N6/'Horizontal Analysis'!N$5,"")</f>
        <v>0.56690369438639909</v>
      </c>
      <c r="O73" s="41">
        <f>IFERROR('Horizontal Analysis'!O6/'Horizontal Analysis'!O$5,"")</f>
        <v>0.55868870422792438</v>
      </c>
      <c r="P73" s="41">
        <f>IFERROR('Horizontal Analysis'!P6/'Horizontal Analysis'!P$5,"")</f>
        <v>0.53793650184766073</v>
      </c>
      <c r="Q73" s="41">
        <f>IFERROR('Horizontal Analysis'!Q6/'Horizontal Analysis'!Q$5,"")</f>
        <v>0.53094835892839554</v>
      </c>
    </row>
    <row r="74" spans="1:17">
      <c r="A74" s="43" t="s">
        <v>4</v>
      </c>
      <c r="B74" s="44">
        <f>IFERROR(B7/B$5,"")</f>
        <v>0.39377539287083174</v>
      </c>
      <c r="C74" s="44">
        <f>IFERROR('Horizontal Analysis'!C7/'Horizontal Analysis'!C$5,"")</f>
        <v>0.40478895878945764</v>
      </c>
      <c r="D74" s="44">
        <f>IFERROR('Horizontal Analysis'!D7/'Horizontal Analysis'!D$5,"")</f>
        <v>0.43871239808827661</v>
      </c>
      <c r="E74" s="44">
        <f>IFERROR('Horizontal Analysis'!E7/'Horizontal Analysis'!E$5,"")</f>
        <v>0.37624480720847231</v>
      </c>
      <c r="F74" s="44">
        <f>IFERROR('Horizontal Analysis'!F7/'Horizontal Analysis'!F$5,"")</f>
        <v>0.38588035777783858</v>
      </c>
      <c r="G74" s="44">
        <f>IFERROR('Horizontal Analysis'!G7/'Horizontal Analysis'!G$5,"")</f>
        <v>0.40059902017414373</v>
      </c>
      <c r="H74" s="44">
        <f>IFERROR('Horizontal Analysis'!H7/'Horizontal Analysis'!H$5,"")</f>
        <v>0.39075955648097049</v>
      </c>
      <c r="I74" s="44">
        <f>IFERROR('Horizontal Analysis'!I7/'Horizontal Analysis'!I$5,"")</f>
        <v>0.38469860491899105</v>
      </c>
      <c r="J74" s="44">
        <f>IFERROR('Horizontal Analysis'!J7/'Horizontal Analysis'!J$5,"")</f>
        <v>0.38343718820007905</v>
      </c>
      <c r="K74" s="44">
        <f>IFERROR('Horizontal Analysis'!K7/'Horizontal Analysis'!K$5,"")</f>
        <v>0.37817768109034722</v>
      </c>
      <c r="L74" s="44">
        <f>IFERROR('Horizontal Analysis'!L7/'Horizontal Analysis'!L$5,"")</f>
        <v>0.38233247727810865</v>
      </c>
      <c r="M74" s="44">
        <f>IFERROR('Horizontal Analysis'!M7/'Horizontal Analysis'!M$5,"")</f>
        <v>0.41779359625167778</v>
      </c>
      <c r="N74" s="44">
        <f>IFERROR('Horizontal Analysis'!N7/'Horizontal Analysis'!N$5,"")</f>
        <v>0.43309630561360085</v>
      </c>
      <c r="O74" s="44">
        <f>IFERROR('Horizontal Analysis'!O7/'Horizontal Analysis'!O$5,"")</f>
        <v>0.44131129577207562</v>
      </c>
      <c r="P74" s="44">
        <f>IFERROR('Horizontal Analysis'!P7/'Horizontal Analysis'!P$5,"")</f>
        <v>0.46206349815233932</v>
      </c>
      <c r="Q74" s="44">
        <f>IFERROR('Horizontal Analysis'!Q7/'Horizontal Analysis'!Q$5,"")</f>
        <v>0.46905164107160452</v>
      </c>
    </row>
    <row r="75" spans="1:17"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</row>
    <row r="76" spans="1:17">
      <c r="A76" t="s">
        <v>5</v>
      </c>
      <c r="B76" s="41">
        <f>IFERROR(B9/B$5,"")</f>
        <v>2.7320812571866616E-2</v>
      </c>
      <c r="C76" s="41">
        <f>IFERROR('Horizontal Analysis'!C9/'Horizontal Analysis'!C$5,"")</f>
        <v>2.2439006364954873E-2</v>
      </c>
      <c r="D76" s="41">
        <f>IFERROR('Horizontal Analysis'!D9/'Horizontal Analysis'!D$5,"")</f>
        <v>2.1602729572929181E-2</v>
      </c>
      <c r="E76" s="41">
        <f>IFERROR('Horizontal Analysis'!E9/'Horizontal Analysis'!E$5,"")</f>
        <v>2.6183371365045931E-2</v>
      </c>
      <c r="F76" s="41">
        <f>IFERROR('Horizontal Analysis'!F9/'Horizontal Analysis'!F$5,"")</f>
        <v>3.3047949889220163E-2</v>
      </c>
      <c r="G76" s="41">
        <f>IFERROR('Horizontal Analysis'!G9/'Horizontal Analysis'!G$5,"")</f>
        <v>3.4516398177267184E-2</v>
      </c>
      <c r="H76" s="41">
        <f>IFERROR('Horizontal Analysis'!H9/'Horizontal Analysis'!H$5,"")</f>
        <v>4.6582482760539605E-2</v>
      </c>
      <c r="I76" s="41">
        <f>IFERROR('Horizontal Analysis'!I9/'Horizontal Analysis'!I$5,"")</f>
        <v>5.0520428906706681E-2</v>
      </c>
      <c r="J76" s="41">
        <f>IFERROR('Horizontal Analysis'!J9/'Horizontal Analysis'!J$5,"")</f>
        <v>5.3600406634161032E-2</v>
      </c>
      <c r="K76" s="41">
        <f>IFERROR('Horizontal Analysis'!K9/'Horizontal Analysis'!K$5,"")</f>
        <v>6.233136285716482E-2</v>
      </c>
      <c r="L76" s="41">
        <f>IFERROR('Horizontal Analysis'!L9/'Horizontal Analysis'!L$5,"")</f>
        <v>6.8309564140393061E-2</v>
      </c>
      <c r="M76" s="41">
        <f>IFERROR('Horizontal Analysis'!M9/'Horizontal Analysis'!M$5,"")</f>
        <v>5.9904269074427925E-2</v>
      </c>
      <c r="N76" s="41">
        <f>IFERROR('Horizontal Analysis'!N9/'Horizontal Analysis'!N$5,"")</f>
        <v>6.657148363798665E-2</v>
      </c>
      <c r="O76" s="41">
        <f>IFERROR('Horizontal Analysis'!O9/'Horizontal Analysis'!O$5,"")</f>
        <v>7.8048971392045086E-2</v>
      </c>
      <c r="P76" s="41">
        <f>IFERROR('Horizontal Analysis'!P9/'Horizontal Analysis'!P$5,"")</f>
        <v>8.0222997941360744E-2</v>
      </c>
      <c r="Q76" s="41">
        <f>IFERROR('Horizontal Analysis'!Q9/'Horizontal Analysis'!Q$5,"")</f>
        <v>8.3020753987038676E-2</v>
      </c>
    </row>
    <row r="77" spans="1:17">
      <c r="A77" t="s">
        <v>6</v>
      </c>
      <c r="B77" s="41">
        <f>IFERROR(B10/B$5,"")</f>
        <v>8.4584131851284022E-2</v>
      </c>
      <c r="C77" s="41">
        <f>IFERROR('Horizontal Analysis'!C10/'Horizontal Analysis'!C$5,"")</f>
        <v>7.0199262810741903E-2</v>
      </c>
      <c r="D77" s="41">
        <f>IFERROR('Horizontal Analysis'!D10/'Horizontal Analysis'!D$5,"")</f>
        <v>6.4150075395506934E-2</v>
      </c>
      <c r="E77" s="41">
        <f>IFERROR('Horizontal Analysis'!E10/'Horizontal Analysis'!E$5,"")</f>
        <v>6.3366684219764782E-2</v>
      </c>
      <c r="F77" s="41">
        <f>IFERROR('Horizontal Analysis'!F10/'Horizontal Analysis'!F$5,"")</f>
        <v>6.5609015563883044E-2</v>
      </c>
      <c r="G77" s="41">
        <f>IFERROR('Horizontal Analysis'!G10/'Horizontal Analysis'!G$5,"")</f>
        <v>6.1309714823609952E-2</v>
      </c>
      <c r="H77" s="41">
        <f>IFERROR('Horizontal Analysis'!H10/'Horizontal Analysis'!H$5,"")</f>
        <v>6.5822972653369755E-2</v>
      </c>
      <c r="I77" s="41">
        <f>IFERROR('Horizontal Analysis'!I10/'Horizontal Analysis'!I$5,"")</f>
        <v>6.6573893924984945E-2</v>
      </c>
      <c r="J77" s="41">
        <f>IFERROR('Horizontal Analysis'!J10/'Horizontal Analysis'!J$5,"")</f>
        <v>6.2896515371147807E-2</v>
      </c>
      <c r="K77" s="41">
        <f>IFERROR('Horizontal Analysis'!K10/'Horizontal Analysis'!K$5,"")</f>
        <v>7.0126146348213125E-2</v>
      </c>
      <c r="L77" s="41">
        <f>IFERROR('Horizontal Analysis'!L10/'Horizontal Analysis'!L$5,"")</f>
        <v>7.2549769593646979E-2</v>
      </c>
      <c r="M77" s="41">
        <f>IFERROR('Horizontal Analysis'!M10/'Horizontal Analysis'!M$5,"")</f>
        <v>6.006555190163388E-2</v>
      </c>
      <c r="N77" s="41">
        <f>IFERROR('Horizontal Analysis'!N10/'Horizontal Analysis'!N$5,"")</f>
        <v>6.3637378020328261E-2</v>
      </c>
      <c r="O77" s="41">
        <f>IFERROR('Horizontal Analysis'!O10/'Horizontal Analysis'!O$5,"")</f>
        <v>6.5048201729783317E-2</v>
      </c>
      <c r="P77" s="41">
        <f>IFERROR('Horizontal Analysis'!P10/'Horizontal Analysis'!P$5,"")</f>
        <v>6.6738271510222866E-2</v>
      </c>
      <c r="Q77" s="41">
        <f>IFERROR('Horizontal Analysis'!Q10/'Horizontal Analysis'!Q$5,"")</f>
        <v>6.6322889458647019E-2</v>
      </c>
    </row>
    <row r="78" spans="1:17">
      <c r="A78" s="43" t="s">
        <v>7</v>
      </c>
      <c r="B78" s="44">
        <f>IFERROR(B11/B$5,"")</f>
        <v>0.11190494442315063</v>
      </c>
      <c r="C78" s="44">
        <f>IFERROR('Horizontal Analysis'!C11/'Horizontal Analysis'!C$5,"")</f>
        <v>9.2638269175696772E-2</v>
      </c>
      <c r="D78" s="44">
        <f>IFERROR('Horizontal Analysis'!D11/'Horizontal Analysis'!D$5,"")</f>
        <v>8.5752804968436125E-2</v>
      </c>
      <c r="E78" s="44">
        <f>IFERROR('Horizontal Analysis'!E11/'Horizontal Analysis'!E$5,"")</f>
        <v>8.9550055584810717E-2</v>
      </c>
      <c r="F78" s="44">
        <f>IFERROR('Horizontal Analysis'!F11/'Horizontal Analysis'!F$5,"")</f>
        <v>9.8656965453103207E-2</v>
      </c>
      <c r="G78" s="44">
        <f>IFERROR('Horizontal Analysis'!G11/'Horizontal Analysis'!G$5,"")</f>
        <v>9.5826113000877136E-2</v>
      </c>
      <c r="H78" s="44">
        <f>IFERROR('Horizontal Analysis'!H11/'Horizontal Analysis'!H$5,"")</f>
        <v>0.11240545541390935</v>
      </c>
      <c r="I78" s="44">
        <f>IFERROR('Horizontal Analysis'!I11/'Horizontal Analysis'!I$5,"")</f>
        <v>0.11709432283169163</v>
      </c>
      <c r="J78" s="44">
        <f>IFERROR('Horizontal Analysis'!J11/'Horizontal Analysis'!J$5,"")</f>
        <v>0.11649692200530884</v>
      </c>
      <c r="K78" s="44">
        <f>IFERROR('Horizontal Analysis'!K11/'Horizontal Analysis'!K$5,"")</f>
        <v>0.13245750920537794</v>
      </c>
      <c r="L78" s="44">
        <f>IFERROR('Horizontal Analysis'!L11/'Horizontal Analysis'!L$5,"")</f>
        <v>0.14085933373404003</v>
      </c>
      <c r="M78" s="44">
        <f>IFERROR('Horizontal Analysis'!M11/'Horizontal Analysis'!M$5,"")</f>
        <v>0.11996982097606181</v>
      </c>
      <c r="N78" s="44">
        <f>IFERROR('Horizontal Analysis'!N11/'Horizontal Analysis'!N$5,"")</f>
        <v>0.13020886165831491</v>
      </c>
      <c r="O78" s="44">
        <f>IFERROR('Horizontal Analysis'!O11/'Horizontal Analysis'!O$5,"")</f>
        <v>0.1430971731218284</v>
      </c>
      <c r="P78" s="44">
        <f>IFERROR('Horizontal Analysis'!P11/'Horizontal Analysis'!P$5,"")</f>
        <v>0.14696126945158361</v>
      </c>
      <c r="Q78" s="44">
        <f>IFERROR('Horizontal Analysis'!Q11/'Horizontal Analysis'!Q$5,"")</f>
        <v>0.14934364344568568</v>
      </c>
    </row>
    <row r="79" spans="1:17">
      <c r="A79" s="43" t="s">
        <v>8</v>
      </c>
      <c r="B79" s="44">
        <f>IFERROR(B12/B$5,"")</f>
        <v>0.28187044844768111</v>
      </c>
      <c r="C79" s="44">
        <f>IFERROR('Horizontal Analysis'!C12/'Horizontal Analysis'!C$5,"")</f>
        <v>0.31215068961376086</v>
      </c>
      <c r="D79" s="44">
        <f>IFERROR('Horizontal Analysis'!D12/'Horizontal Analysis'!D$5,"")</f>
        <v>0.35295959311984054</v>
      </c>
      <c r="E79" s="44">
        <f>IFERROR('Horizontal Analysis'!E12/'Horizontal Analysis'!E$5,"")</f>
        <v>0.28669475162366159</v>
      </c>
      <c r="F79" s="44">
        <f>IFERROR('Horizontal Analysis'!F12/'Horizontal Analysis'!F$5,"")</f>
        <v>0.28722339232473537</v>
      </c>
      <c r="G79" s="44">
        <f>IFERROR('Horizontal Analysis'!G12/'Horizontal Analysis'!G$5,"")</f>
        <v>0.30477290717326661</v>
      </c>
      <c r="H79" s="44">
        <f>IFERROR('Horizontal Analysis'!H12/'Horizontal Analysis'!H$5,"")</f>
        <v>0.27835410106706115</v>
      </c>
      <c r="I79" s="44">
        <f>IFERROR('Horizontal Analysis'!I12/'Horizontal Analysis'!I$5,"")</f>
        <v>0.26760428208729942</v>
      </c>
      <c r="J79" s="44">
        <f>IFERROR('Horizontal Analysis'!J12/'Horizontal Analysis'!J$5,"")</f>
        <v>0.26694026619477024</v>
      </c>
      <c r="K79" s="44">
        <f>IFERROR('Horizontal Analysis'!K12/'Horizontal Analysis'!K$5,"")</f>
        <v>0.24572017188496928</v>
      </c>
      <c r="L79" s="44">
        <f>IFERROR('Horizontal Analysis'!L12/'Horizontal Analysis'!L$5,"")</f>
        <v>0.24147314354406862</v>
      </c>
      <c r="M79" s="44">
        <f>IFERROR('Horizontal Analysis'!M12/'Horizontal Analysis'!M$5,"")</f>
        <v>0.29782377527561593</v>
      </c>
      <c r="N79" s="44">
        <f>IFERROR('Horizontal Analysis'!N12/'Horizontal Analysis'!N$5,"")</f>
        <v>0.30288744395528594</v>
      </c>
      <c r="O79" s="44">
        <f>IFERROR('Horizontal Analysis'!O12/'Horizontal Analysis'!O$5,"")</f>
        <v>0.29821412265024722</v>
      </c>
      <c r="P79" s="44">
        <f>IFERROR('Horizontal Analysis'!P12/'Horizontal Analysis'!P$5,"")</f>
        <v>0.31510222870075566</v>
      </c>
      <c r="Q79" s="44">
        <f>IFERROR('Horizontal Analysis'!Q12/'Horizontal Analysis'!Q$5,"")</f>
        <v>0.31970799762591884</v>
      </c>
    </row>
    <row r="80" spans="1:17"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</row>
    <row r="81" spans="1:17"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</row>
    <row r="82" spans="1:17">
      <c r="A82" t="s">
        <v>10</v>
      </c>
      <c r="B82" s="41">
        <f>IFERROR(B15/B$5,"")</f>
        <v>2.3763894212341895E-3</v>
      </c>
      <c r="C82" s="41">
        <f>IFERROR('Horizontal Analysis'!C15/'Horizontal Analysis'!C$5,"")</f>
        <v>3.8337536605418986E-3</v>
      </c>
      <c r="D82" s="41">
        <f>IFERROR('Horizontal Analysis'!D15/'Horizontal Analysis'!D$5,"")</f>
        <v>3.3352927645871138E-3</v>
      </c>
      <c r="E82" s="41">
        <f>IFERROR('Horizontal Analysis'!E15/'Horizontal Analysis'!E$5,"")</f>
        <v>6.7637938096073956E-3</v>
      </c>
      <c r="F82" s="41">
        <f>IFERROR('Horizontal Analysis'!F15/'Horizontal Analysis'!F$5,"")</f>
        <v>5.3611969692825296E-3</v>
      </c>
      <c r="G82" s="41">
        <f>IFERROR('Horizontal Analysis'!G15/'Horizontal Analysis'!G$5,"")</f>
        <v>5.4981494555334486E-3</v>
      </c>
      <c r="H82" s="41">
        <f>IFERROR('Horizontal Analysis'!H15/'Horizontal Analysis'!H$5,"")</f>
        <v>6.2511883286418502E-3</v>
      </c>
      <c r="I82" s="41">
        <f>IFERROR('Horizontal Analysis'!I15/'Horizontal Analysis'!I$5,"")</f>
        <v>1.1974663444340717E-2</v>
      </c>
      <c r="J82" s="41">
        <f>IFERROR('Horizontal Analysis'!J15/'Horizontal Analysis'!J$5,"")</f>
        <v>7.5490878969860127E-3</v>
      </c>
      <c r="K82" s="41">
        <f>IFERROR('Horizontal Analysis'!K15/'Horizontal Analysis'!K$5,"")</f>
        <v>6.9453519567673943E-3</v>
      </c>
      <c r="L82" s="41">
        <f>IFERROR('Horizontal Analysis'!L15/'Horizontal Analysis'!L$5,"")</f>
        <v>2.9251589166347921E-3</v>
      </c>
      <c r="M82" s="41">
        <f>IFERROR('Horizontal Analysis'!M15/'Horizontal Analysis'!M$5,"")</f>
        <v>7.0527066812094575E-4</v>
      </c>
      <c r="N82" s="41">
        <f>IFERROR('Horizontal Analysis'!N15/'Horizontal Analysis'!N$5,"")</f>
        <v>-8.4701061045626988E-4</v>
      </c>
      <c r="O82" s="41">
        <f>IFERROR('Horizontal Analysis'!O15/'Horizontal Analysis'!O$5,"")</f>
        <v>-1.4740989081231982E-3</v>
      </c>
      <c r="P82" s="41">
        <f>IFERROR('Horizontal Analysis'!P15/'Horizontal Analysis'!P$5,"")</f>
        <v>6.8791796130781137E-4</v>
      </c>
      <c r="Q82" s="41">
        <f>IFERROR('Horizontal Analysis'!Q15/'Horizontal Analysis'!Q$5,"")</f>
        <v>-7.7133609348305101E-4</v>
      </c>
    </row>
    <row r="83" spans="1:17">
      <c r="A83" t="s">
        <v>11</v>
      </c>
      <c r="B83" s="41">
        <f>IFERROR(B16/B$5,"")</f>
        <v>2.3763894212341895E-3</v>
      </c>
      <c r="C83" s="41">
        <f>IFERROR('Horizontal Analysis'!C16/'Horizontal Analysis'!C$5,"")</f>
        <v>3.8337536605418986E-3</v>
      </c>
      <c r="D83" s="41">
        <f>IFERROR('Horizontal Analysis'!D16/'Horizontal Analysis'!D$5,"")</f>
        <v>3.3352927645871138E-3</v>
      </c>
      <c r="E83" s="41">
        <f>IFERROR('Horizontal Analysis'!E16/'Horizontal Analysis'!E$5,"")</f>
        <v>6.7637938096073956E-3</v>
      </c>
      <c r="F83" s="41">
        <f>IFERROR('Horizontal Analysis'!F16/'Horizontal Analysis'!F$5,"")</f>
        <v>5.3611969692825296E-3</v>
      </c>
      <c r="G83" s="41">
        <f>IFERROR('Horizontal Analysis'!G16/'Horizontal Analysis'!G$5,"")</f>
        <v>5.4981494555334486E-3</v>
      </c>
      <c r="H83" s="41">
        <f>IFERROR('Horizontal Analysis'!H16/'Horizontal Analysis'!H$5,"")</f>
        <v>6.2511883286418502E-3</v>
      </c>
      <c r="I83" s="41">
        <f>IFERROR('Horizontal Analysis'!I16/'Horizontal Analysis'!I$5,"")</f>
        <v>1.1974663444340717E-2</v>
      </c>
      <c r="J83" s="41">
        <f>IFERROR('Horizontal Analysis'!J16/'Horizontal Analysis'!J$5,"")</f>
        <v>7.5490878969860127E-3</v>
      </c>
      <c r="K83" s="41">
        <f>IFERROR('Horizontal Analysis'!K16/'Horizontal Analysis'!K$5,"")</f>
        <v>6.9453519567673943E-3</v>
      </c>
      <c r="L83" s="41">
        <f>IFERROR('Horizontal Analysis'!L16/'Horizontal Analysis'!L$5,"")</f>
        <v>2.9251589166347921E-3</v>
      </c>
      <c r="M83" s="41">
        <f>IFERROR('Horizontal Analysis'!M16/'Horizontal Analysis'!M$5,"")</f>
        <v>7.0527066812094575E-4</v>
      </c>
      <c r="N83" s="41">
        <f>IFERROR('Horizontal Analysis'!N16/'Horizontal Analysis'!N$5,"")</f>
        <v>-8.4701061045626988E-4</v>
      </c>
      <c r="O83" s="41">
        <f>IFERROR('Horizontal Analysis'!O16/'Horizontal Analysis'!O$5,"")</f>
        <v>-1.4740989081231982E-3</v>
      </c>
      <c r="P83" s="41">
        <f>IFERROR('Horizontal Analysis'!P16/'Horizontal Analysis'!P$5,"")</f>
        <v>6.8791796130781137E-4</v>
      </c>
      <c r="Q83" s="41">
        <f>IFERROR('Horizontal Analysis'!Q16/'Horizontal Analysis'!Q$5,"")</f>
        <v>-7.7133609348305101E-4</v>
      </c>
    </row>
    <row r="84" spans="1:17"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</row>
    <row r="85" spans="1:17"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</row>
    <row r="86" spans="1:17">
      <c r="A86" s="43" t="s">
        <v>12</v>
      </c>
      <c r="B86" s="44">
        <f>IFERROR(B19/B$5,"")</f>
        <v>0.2842468378689153</v>
      </c>
      <c r="C86" s="44">
        <f>IFERROR('Horizontal Analysis'!C19/'Horizontal Analysis'!C$5,"")</f>
        <v>0.31598444327430275</v>
      </c>
      <c r="D86" s="44">
        <f>IFERROR('Horizontal Analysis'!D19/'Horizontal Analysis'!D$5,"")</f>
        <v>0.35629488588442765</v>
      </c>
      <c r="E86" s="44">
        <f>IFERROR('Horizontal Analysis'!E19/'Horizontal Analysis'!E$5,"")</f>
        <v>0.29345854543326899</v>
      </c>
      <c r="F86" s="44">
        <f>IFERROR('Horizontal Analysis'!F19/'Horizontal Analysis'!F$5,"")</f>
        <v>0.29258458929401787</v>
      </c>
      <c r="G86" s="44">
        <f>IFERROR('Horizontal Analysis'!G19/'Horizontal Analysis'!G$5,"")</f>
        <v>0.31027105662880006</v>
      </c>
      <c r="H86" s="44">
        <f>IFERROR('Horizontal Analysis'!H19/'Horizontal Analysis'!H$5,"")</f>
        <v>0.28460528939570301</v>
      </c>
      <c r="I86" s="44">
        <f>IFERROR('Horizontal Analysis'!I19/'Horizontal Analysis'!I$5,"")</f>
        <v>0.27957894553164014</v>
      </c>
      <c r="J86" s="44">
        <f>IFERROR('Horizontal Analysis'!J19/'Horizontal Analysis'!J$5,"")</f>
        <v>0.27448935409175623</v>
      </c>
      <c r="K86" s="44">
        <f>IFERROR('Horizontal Analysis'!K19/'Horizontal Analysis'!K$5,"")</f>
        <v>0.25266552384173668</v>
      </c>
      <c r="L86" s="44">
        <f>IFERROR('Horizontal Analysis'!L19/'Horizontal Analysis'!L$5,"")</f>
        <v>0.24439830246070343</v>
      </c>
      <c r="M86" s="44">
        <f>IFERROR('Horizontal Analysis'!M19/'Horizontal Analysis'!M$5,"")</f>
        <v>0.29852904594373691</v>
      </c>
      <c r="N86" s="44">
        <f>IFERROR('Horizontal Analysis'!N19/'Horizontal Analysis'!N$5,"")</f>
        <v>0.30204043334482966</v>
      </c>
      <c r="O86" s="44">
        <f>IFERROR('Horizontal Analysis'!O19/'Horizontal Analysis'!O$5,"")</f>
        <v>0.29674002374212399</v>
      </c>
      <c r="P86" s="44">
        <f>IFERROR('Horizontal Analysis'!P19/'Horizontal Analysis'!P$5,"")</f>
        <v>0.31579014666206351</v>
      </c>
      <c r="Q86" s="44">
        <f>IFERROR('Horizontal Analysis'!Q19/'Horizontal Analysis'!Q$5,"")</f>
        <v>0.31893666153243577</v>
      </c>
    </row>
    <row r="87" spans="1:17">
      <c r="A87" t="s">
        <v>13</v>
      </c>
      <c r="B87" s="41">
        <f>IFERROR(B20/B$5,"")</f>
        <v>6.9405902644691458E-2</v>
      </c>
      <c r="C87" s="41">
        <f>IFERROR('Horizontal Analysis'!C20/'Horizontal Analysis'!C$5,"")</f>
        <v>7.6518027880165179E-2</v>
      </c>
      <c r="D87" s="41">
        <f>IFERROR('Horizontal Analysis'!D20/'Horizontal Analysis'!D$5,"")</f>
        <v>8.9643979860454415E-2</v>
      </c>
      <c r="E87" s="41">
        <f>IFERROR('Horizontal Analysis'!E20/'Horizontal Analysis'!E$5,"")</f>
        <v>7.6753847054005037E-2</v>
      </c>
      <c r="F87" s="41">
        <f>IFERROR('Horizontal Analysis'!F20/'Horizontal Analysis'!F$5,"")</f>
        <v>7.6440821685494681E-2</v>
      </c>
      <c r="G87" s="41">
        <f>IFERROR('Horizontal Analysis'!G20/'Horizontal Analysis'!G$5,"")</f>
        <v>8.1813319641443644E-2</v>
      </c>
      <c r="H87" s="41">
        <f>IFERROR('Horizontal Analysis'!H20/'Horizontal Analysis'!H$5,"")</f>
        <v>7.2737306331415008E-2</v>
      </c>
      <c r="I87" s="41">
        <f>IFERROR('Horizontal Analysis'!I20/'Horizontal Analysis'!I$5,"")</f>
        <v>6.8654737080886777E-2</v>
      </c>
      <c r="J87" s="41">
        <f>IFERROR('Horizontal Analysis'!J20/'Horizontal Analysis'!J$5,"")</f>
        <v>5.0347333345883767E-2</v>
      </c>
      <c r="K87" s="41">
        <f>IFERROR('Horizontal Analysis'!K20/'Horizontal Analysis'!K$5,"")</f>
        <v>4.0284578781892115E-2</v>
      </c>
      <c r="L87" s="41">
        <f>IFERROR('Horizontal Analysis'!L20/'Horizontal Analysis'!L$5,"")</f>
        <v>3.5262189679981057E-2</v>
      </c>
      <c r="M87" s="41">
        <f>IFERROR('Horizontal Analysis'!M20/'Horizontal Analysis'!M$5,"")</f>
        <v>3.9711112386794492E-2</v>
      </c>
      <c r="N87" s="41">
        <f>IFERROR('Horizontal Analysis'!N20/'Horizontal Analysis'!N$5,"")</f>
        <v>4.8944026292832364E-2</v>
      </c>
      <c r="O87" s="41">
        <f>IFERROR('Horizontal Analysis'!O20/'Horizontal Analysis'!O$5,"")</f>
        <v>4.3677681098921166E-2</v>
      </c>
      <c r="P87" s="41">
        <f>IFERROR('Horizontal Analysis'!P20/'Horizontal Analysis'!P$5,"")</f>
        <v>7.6077588962624829E-2</v>
      </c>
      <c r="Q87" s="41">
        <f>IFERROR('Horizontal Analysis'!Q20/'Horizontal Analysis'!Q$5,"")</f>
        <v>4.9786020314253381E-2</v>
      </c>
    </row>
    <row r="88" spans="1:17">
      <c r="A88" s="43" t="s">
        <v>14</v>
      </c>
      <c r="B88" s="44">
        <f>IFERROR(B21/B$5,"")</f>
        <v>0.21484093522422384</v>
      </c>
      <c r="C88" s="44">
        <f>IFERROR('Horizontal Analysis'!C21/'Horizontal Analysis'!C$5,"")</f>
        <v>0.2394664153941376</v>
      </c>
      <c r="D88" s="44">
        <f>IFERROR('Horizontal Analysis'!D21/'Horizontal Analysis'!D$5,"")</f>
        <v>0.26665090602397323</v>
      </c>
      <c r="E88" s="44">
        <f>IFERROR('Horizontal Analysis'!E21/'Horizontal Analysis'!E$5,"")</f>
        <v>0.21670469837926393</v>
      </c>
      <c r="F88" s="44">
        <f>IFERROR('Horizontal Analysis'!F21/'Horizontal Analysis'!F$5,"")</f>
        <v>0.21614376760852322</v>
      </c>
      <c r="G88" s="44">
        <f>IFERROR('Horizontal Analysis'!G21/'Horizontal Analysis'!G$5,"")</f>
        <v>0.22845773698735639</v>
      </c>
      <c r="H88" s="44">
        <f>IFERROR('Horizontal Analysis'!H21/'Horizontal Analysis'!H$5,"")</f>
        <v>0.211867983064288</v>
      </c>
      <c r="I88" s="44">
        <f>IFERROR('Horizontal Analysis'!I21/'Horizontal Analysis'!I$5,"")</f>
        <v>0.21092420845075338</v>
      </c>
      <c r="J88" s="44">
        <f>IFERROR('Horizontal Analysis'!J21/'Horizontal Analysis'!J$5,"")</f>
        <v>0.22414202074587247</v>
      </c>
      <c r="K88" s="44">
        <f>IFERROR('Horizontal Analysis'!K21/'Horizontal Analysis'!K$5,"")</f>
        <v>0.21238094505984456</v>
      </c>
      <c r="L88" s="44">
        <f>IFERROR('Horizontal Analysis'!L21/'Horizontal Analysis'!L$5,"")</f>
        <v>0.20913611278072236</v>
      </c>
      <c r="M88" s="44">
        <f>IFERROR('Horizontal Analysis'!M21/'Horizontal Analysis'!M$5,"")</f>
        <v>0.25881793355694238</v>
      </c>
      <c r="N88" s="44">
        <f>IFERROR('Horizontal Analysis'!N21/'Horizontal Analysis'!N$5,"")</f>
        <v>0.25309640705199732</v>
      </c>
      <c r="O88" s="44">
        <f>IFERROR('Horizontal Analysis'!O21/'Horizontal Analysis'!O$5,"")</f>
        <v>0.25306234264320282</v>
      </c>
      <c r="P88" s="44">
        <f>IFERROR('Horizontal Analysis'!P21/'Horizontal Analysis'!P$5,"")</f>
        <v>0.23971255769943867</v>
      </c>
      <c r="Q88" s="44">
        <f>IFERROR('Horizontal Analysis'!Q21/'Horizontal Analysis'!Q$5,"")</f>
        <v>0.26915064121818238</v>
      </c>
    </row>
    <row r="89" spans="1:17"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</row>
    <row r="90" spans="1:17"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</row>
    <row r="91" spans="1:17">
      <c r="A91" s="39" t="s">
        <v>15</v>
      </c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</row>
    <row r="92" spans="1:17">
      <c r="A92" t="s">
        <v>16</v>
      </c>
      <c r="B92" s="41">
        <f t="shared" ref="B92:B99" si="0">IFERROR(B25/B$41,"")</f>
        <v>0.14978120053735552</v>
      </c>
      <c r="C92" s="41">
        <f>IFERROR('Horizontal Analysis'!C25/'Horizontal Analysis'!C$41,"")</f>
        <v>8.4342318962628143E-2</v>
      </c>
      <c r="D92" s="41">
        <f>IFERROR('Horizontal Analysis'!D25/'Horizontal Analysis'!D$41,"")</f>
        <v>6.103462377317339E-2</v>
      </c>
      <c r="E92" s="41">
        <f>IFERROR('Horizontal Analysis'!E25/'Horizontal Analysis'!E$41,"")</f>
        <v>6.888405797101449E-2</v>
      </c>
      <c r="F92" s="41">
        <f>IFERROR('Horizontal Analysis'!F25/'Horizontal Analysis'!F$41,"")</f>
        <v>5.9713853148089836E-2</v>
      </c>
      <c r="G92" s="41">
        <f>IFERROR('Horizontal Analysis'!G25/'Horizontal Analysis'!G$41,"")</f>
        <v>7.2707493484899077E-2</v>
      </c>
      <c r="H92" s="41">
        <f>IFERROR('Horizontal Analysis'!H25/'Horizontal Analysis'!H$41,"")</f>
        <v>6.3677001796783192E-2</v>
      </c>
      <c r="I92" s="41">
        <f>IFERROR('Horizontal Analysis'!I25/'Horizontal Analysis'!I$41,"")</f>
        <v>5.4058014648872027E-2</v>
      </c>
      <c r="J92" s="41">
        <f>IFERROR('Horizontal Analysis'!J25/'Horizontal Analysis'!J$41,"")</f>
        <v>7.085378358055916E-2</v>
      </c>
      <c r="K92" s="41">
        <f>IFERROR('Horizontal Analysis'!K25/'Horizontal Analysis'!K$41,"")</f>
        <v>0.1442886008342294</v>
      </c>
      <c r="L92" s="41">
        <f>IFERROR('Horizontal Analysis'!L25/'Horizontal Analysis'!L$41,"")</f>
        <v>0.11737390702959048</v>
      </c>
      <c r="M92" s="41">
        <f>IFERROR('Horizontal Analysis'!M25/'Horizontal Analysis'!M$41,"")</f>
        <v>9.9543592344203166E-2</v>
      </c>
      <c r="N92" s="41">
        <f>IFERROR('Horizontal Analysis'!N25/'Horizontal Analysis'!N$41,"")</f>
        <v>6.7032359569673003E-2</v>
      </c>
      <c r="O92" s="41">
        <f>IFERROR('Horizontal Analysis'!O25/'Horizontal Analysis'!O$41,"")</f>
        <v>8.4987081056091762E-2</v>
      </c>
      <c r="P92" s="41">
        <f>IFERROR('Horizontal Analysis'!P25/'Horizontal Analysis'!P$41,"")</f>
        <v>8.2040111786947229E-2</v>
      </c>
      <c r="Q92" s="41">
        <f>IFERROR('Horizontal Analysis'!Q25/'Horizontal Analysis'!Q$41,"")</f>
        <v>0.10002755810166435</v>
      </c>
    </row>
    <row r="93" spans="1:17">
      <c r="A93" t="s">
        <v>17</v>
      </c>
      <c r="B93" s="41">
        <f t="shared" si="0"/>
        <v>0.19098732426213372</v>
      </c>
      <c r="C93" s="41">
        <f>IFERROR('Horizontal Analysis'!C26/'Horizontal Analysis'!C$41,"")</f>
        <v>0.13866856862964141</v>
      </c>
      <c r="D93" s="41">
        <f>IFERROR('Horizontal Analysis'!D26/'Horizontal Analysis'!D$41,"")</f>
        <v>0.10441089603780443</v>
      </c>
      <c r="E93" s="41">
        <f>IFERROR('Horizontal Analysis'!E26/'Horizontal Analysis'!E$41,"")</f>
        <v>0.1269903381642512</v>
      </c>
      <c r="F93" s="41">
        <f>IFERROR('Horizontal Analysis'!F26/'Horizontal Analysis'!F$41,"")</f>
        <v>4.8451727276256365E-2</v>
      </c>
      <c r="G93" s="41">
        <f>IFERROR('Horizontal Analysis'!G26/'Horizontal Analysis'!G$41,"")</f>
        <v>7.0507678696222445E-2</v>
      </c>
      <c r="H93" s="41">
        <f>IFERROR('Horizontal Analysis'!H26/'Horizontal Analysis'!H$41,"")</f>
        <v>0.14508247172708791</v>
      </c>
      <c r="I93" s="41">
        <f>IFERROR('Horizontal Analysis'!I26/'Horizontal Analysis'!I$41,"")</f>
        <v>0.14358985289846771</v>
      </c>
      <c r="J93" s="41">
        <f>IFERROR('Horizontal Analysis'!J26/'Horizontal Analysis'!J$41,"")</f>
        <v>0.1104327021669287</v>
      </c>
      <c r="K93" s="41">
        <f>IFERROR('Horizontal Analysis'!K26/'Horizontal Analysis'!K$41,"")</f>
        <v>0.15276382800222146</v>
      </c>
      <c r="L93" s="41">
        <f>IFERROR('Horizontal Analysis'!L26/'Horizontal Analysis'!L$41,"")</f>
        <v>0.16341142617201007</v>
      </c>
      <c r="M93" s="41">
        <f>IFERROR('Horizontal Analysis'!M26/'Horizontal Analysis'!M$41,"")</f>
        <v>7.8914080261650935E-2</v>
      </c>
      <c r="N93" s="41">
        <f>IFERROR('Horizontal Analysis'!N26/'Horizontal Analysis'!N$41,"")</f>
        <v>6.9901206219614181E-2</v>
      </c>
      <c r="O93" s="41">
        <f>IFERROR('Horizontal Analysis'!O26/'Horizontal Analysis'!O$41,"")</f>
        <v>8.9595924931150969E-2</v>
      </c>
      <c r="P93" s="41">
        <f>IFERROR('Horizontal Analysis'!P26/'Horizontal Analysis'!P$41,"")</f>
        <v>9.6520357279850949E-2</v>
      </c>
      <c r="Q93" s="41">
        <f>IFERROR('Horizontal Analysis'!Q26/'Horizontal Analysis'!Q$41,"")</f>
        <v>5.2229561770510607E-2</v>
      </c>
    </row>
    <row r="94" spans="1:17">
      <c r="A94" t="s">
        <v>18</v>
      </c>
      <c r="B94" s="41">
        <f t="shared" si="0"/>
        <v>7.3287844326509977E-2</v>
      </c>
      <c r="C94" s="41">
        <f>IFERROR('Horizontal Analysis'!C27/'Horizontal Analysis'!C$41,"")</f>
        <v>4.6136924147768772E-2</v>
      </c>
      <c r="D94" s="41">
        <f>IFERROR('Horizontal Analysis'!D27/'Horizontal Analysis'!D$41,"")</f>
        <v>6.2079698291530351E-2</v>
      </c>
      <c r="E94" s="41">
        <f>IFERROR('Horizontal Analysis'!E27/'Horizontal Analysis'!E$41,"")</f>
        <v>6.3294685990338162E-2</v>
      </c>
      <c r="F94" s="41">
        <f>IFERROR('Horizontal Analysis'!F27/'Horizontal Analysis'!F$41,"")</f>
        <v>7.5310883846117352E-2</v>
      </c>
      <c r="G94" s="41">
        <f>IFERROR('Horizontal Analysis'!G27/'Horizontal Analysis'!G$41,"")</f>
        <v>5.8004193074198136E-2</v>
      </c>
      <c r="H94" s="41">
        <f>IFERROR('Horizontal Analysis'!H27/'Horizontal Analysis'!H$41,"")</f>
        <v>4.8973222334823402E-2</v>
      </c>
      <c r="I94" s="41">
        <f>IFERROR('Horizontal Analysis'!I27/'Horizontal Analysis'!I$41,"")</f>
        <v>4.7623488285964737E-2</v>
      </c>
      <c r="J94" s="41">
        <f>IFERROR('Horizontal Analysis'!J27/'Horizontal Analysis'!J$41,"")</f>
        <v>6.339736140542758E-2</v>
      </c>
      <c r="K94" s="41">
        <f>IFERROR('Horizontal Analysis'!K27/'Horizontal Analysis'!K$41,"")</f>
        <v>6.7725011520873457E-2</v>
      </c>
      <c r="L94" s="41">
        <f>IFERROR('Horizontal Analysis'!L27/'Horizontal Analysis'!L$41,"")</f>
        <v>4.9770290964777947E-2</v>
      </c>
      <c r="M94" s="41">
        <f>IFERROR('Horizontal Analysis'!M27/'Horizontal Analysis'!M$41,"")</f>
        <v>7.4865670281081015E-2</v>
      </c>
      <c r="N94" s="41">
        <f>IFERROR('Horizontal Analysis'!N27/'Horizontal Analysis'!N$41,"")</f>
        <v>7.9896812235120698E-2</v>
      </c>
      <c r="O94" s="41">
        <f>IFERROR('Horizontal Analysis'!O27/'Horizontal Analysis'!O$41,"")</f>
        <v>8.3690932347844332E-2</v>
      </c>
      <c r="P94" s="41">
        <f>IFERROR('Horizontal Analysis'!P27/'Horizontal Analysis'!P$41,"")</f>
        <v>9.1539262425338372E-2</v>
      </c>
      <c r="Q94" s="41">
        <f>IFERROR('Horizontal Analysis'!Q27/'Horizontal Analysis'!Q$41,"")</f>
        <v>0.11072511211136814</v>
      </c>
    </row>
    <row r="95" spans="1:17">
      <c r="A95" t="s">
        <v>19</v>
      </c>
      <c r="B95" s="41">
        <f t="shared" si="0"/>
        <v>1.3979224026708165E-2</v>
      </c>
      <c r="C95" s="41">
        <f>IFERROR('Horizontal Analysis'!C28/'Horizontal Analysis'!C$41,"")</f>
        <v>6.6683280198674925E-3</v>
      </c>
      <c r="D95" s="41">
        <f>IFERROR('Horizontal Analysis'!D28/'Horizontal Analysis'!D$41,"")</f>
        <v>4.4926844783715015E-3</v>
      </c>
      <c r="E95" s="41">
        <f>IFERROR('Horizontal Analysis'!E28/'Horizontal Analysis'!E$41,"")</f>
        <v>8.5217391304347832E-3</v>
      </c>
      <c r="F95" s="41">
        <f>IFERROR('Horizontal Analysis'!F28/'Horizontal Analysis'!F$41,"")</f>
        <v>9.1054568040752418E-3</v>
      </c>
      <c r="G95" s="41">
        <f>IFERROR('Horizontal Analysis'!G28/'Horizontal Analysis'!G$41,"")</f>
        <v>8.0866430964028381E-3</v>
      </c>
      <c r="H95" s="41">
        <f>IFERROR('Horizontal Analysis'!H28/'Horizontal Analysis'!H$41,"")</f>
        <v>6.6275809329594702E-3</v>
      </c>
      <c r="I95" s="41">
        <f>IFERROR('Horizontal Analysis'!I28/'Horizontal Analysis'!I$41,"")</f>
        <v>1.2935662729571378E-2</v>
      </c>
      <c r="J95" s="41">
        <f>IFERROR('Horizontal Analysis'!J28/'Horizontal Analysis'!J$41,"")</f>
        <v>1.0816870599494155E-2</v>
      </c>
      <c r="K95" s="41">
        <f>IFERROR('Horizontal Analysis'!K28/'Horizontal Analysis'!K$41,"")</f>
        <v>1.2129411903720947E-2</v>
      </c>
      <c r="L95" s="41">
        <f>IFERROR('Horizontal Analysis'!L28/'Horizontal Analysis'!L$41,"")</f>
        <v>1.2538284839203676E-2</v>
      </c>
      <c r="M95" s="41">
        <f>IFERROR('Horizontal Analysis'!M28/'Horizontal Analysis'!M$41,"")</f>
        <v>1.8746331929732594E-2</v>
      </c>
      <c r="N95" s="41">
        <f>IFERROR('Horizontal Analysis'!N28/'Horizontal Analysis'!N$41,"")</f>
        <v>1.4021062777281683E-2</v>
      </c>
      <c r="O95" s="41">
        <f>IFERROR('Horizontal Analysis'!O28/'Horizontal Analysis'!O$41,"")</f>
        <v>1.7956055737230667E-2</v>
      </c>
      <c r="P95" s="41">
        <f>IFERROR('Horizontal Analysis'!P28/'Horizontal Analysis'!P$41,"")</f>
        <v>1.996273768425667E-2</v>
      </c>
      <c r="Q95" s="41">
        <f>IFERROR('Horizontal Analysis'!Q28/'Horizontal Analysis'!Q$41,"")</f>
        <v>1.5916891446132262E-2</v>
      </c>
    </row>
    <row r="96" spans="1:17">
      <c r="A96" t="s">
        <v>20</v>
      </c>
      <c r="B96" s="41">
        <f t="shared" si="0"/>
        <v>2.176023835175505E-2</v>
      </c>
      <c r="C96" s="41">
        <f>IFERROR('Horizontal Analysis'!C29/'Horizontal Analysis'!C$41,"")</f>
        <v>1.7306717309295273E-2</v>
      </c>
      <c r="D96" s="41">
        <f>IFERROR('Horizontal Analysis'!D29/'Horizontal Analysis'!D$41,"")</f>
        <v>1.4670801526717557E-2</v>
      </c>
      <c r="E96" s="41">
        <f>IFERROR('Horizontal Analysis'!E29/'Horizontal Analysis'!E$41,"")</f>
        <v>1.6681159420289856E-2</v>
      </c>
      <c r="F96" s="41">
        <f>IFERROR('Horizontal Analysis'!F29/'Horizontal Analysis'!F$41,"")</f>
        <v>1.8624994069160062E-2</v>
      </c>
      <c r="G96" s="41">
        <f>IFERROR('Horizontal Analysis'!G29/'Horizontal Analysis'!G$41,"")</f>
        <v>1.9092602219093292E-2</v>
      </c>
      <c r="H96" s="41">
        <f>IFERROR('Horizontal Analysis'!H29/'Horizontal Analysis'!H$41,"")</f>
        <v>0</v>
      </c>
      <c r="I96" s="41">
        <f>IFERROR('Horizontal Analysis'!I29/'Horizontal Analysis'!I$41,"")</f>
        <v>0</v>
      </c>
      <c r="J96" s="41">
        <f>IFERROR('Horizontal Analysis'!J29/'Horizontal Analysis'!J$41,"")</f>
        <v>0</v>
      </c>
      <c r="K96" s="41">
        <f>IFERROR('Horizontal Analysis'!K29/'Horizontal Analysis'!K$41,"")</f>
        <v>0</v>
      </c>
      <c r="L96" s="41">
        <f>IFERROR('Horizontal Analysis'!L29/'Horizontal Analysis'!L$41,"")</f>
        <v>0</v>
      </c>
      <c r="M96" s="41">
        <f>IFERROR('Horizontal Analysis'!M29/'Horizontal Analysis'!M$41,"")</f>
        <v>0</v>
      </c>
      <c r="N96" s="41">
        <f>IFERROR('Horizontal Analysis'!N29/'Horizontal Analysis'!N$41,"")</f>
        <v>0</v>
      </c>
      <c r="O96" s="41">
        <f>IFERROR('Horizontal Analysis'!O29/'Horizontal Analysis'!O$41,"")</f>
        <v>0</v>
      </c>
      <c r="P96" s="41">
        <f>IFERROR('Horizontal Analysis'!P29/'Horizontal Analysis'!P$41,"")</f>
        <v>0</v>
      </c>
      <c r="Q96" s="41">
        <f>IFERROR('Horizontal Analysis'!Q29/'Horizontal Analysis'!Q$41,"")</f>
        <v>0</v>
      </c>
    </row>
    <row r="97" spans="1:17">
      <c r="A97" t="s">
        <v>21</v>
      </c>
      <c r="B97" s="41">
        <f t="shared" si="0"/>
        <v>5.871008073633667E-2</v>
      </c>
      <c r="C97" s="41">
        <f>IFERROR('Horizontal Analysis'!C30/'Horizontal Analysis'!C$41,"")</f>
        <v>5.4549673028503665E-2</v>
      </c>
      <c r="D97" s="41">
        <f>IFERROR('Horizontal Analysis'!D30/'Horizontal Analysis'!D$41,"")</f>
        <v>4.4086241366775719E-2</v>
      </c>
      <c r="E97" s="41">
        <f>IFERROR('Horizontal Analysis'!E30/'Horizontal Analysis'!E$41,"")</f>
        <v>3.6420289855072466E-2</v>
      </c>
      <c r="F97" s="41">
        <f>IFERROR('Horizontal Analysis'!F30/'Horizontal Analysis'!F$41,"")</f>
        <v>4.2093866864505107E-2</v>
      </c>
      <c r="G97" s="41">
        <f>IFERROR('Horizontal Analysis'!G30/'Horizontal Analysis'!G$41,"")</f>
        <v>4.6454304786232394E-2</v>
      </c>
      <c r="H97" s="41">
        <f>IFERROR('Horizontal Analysis'!H30/'Horizontal Analysis'!H$41,"")</f>
        <v>4.2106277550157604E-2</v>
      </c>
      <c r="I97" s="41">
        <f>IFERROR('Horizontal Analysis'!I30/'Horizontal Analysis'!I$41,"")</f>
        <v>4.7423658274694323E-2</v>
      </c>
      <c r="J97" s="41">
        <f>IFERROR('Horizontal Analysis'!J30/'Horizontal Analysis'!J$41,"")</f>
        <v>7.0569416911613919E-2</v>
      </c>
      <c r="K97" s="41">
        <f>IFERROR('Horizontal Analysis'!K30/'Horizontal Analysis'!K$41,"")</f>
        <v>6.7583216155218659E-2</v>
      </c>
      <c r="L97" s="41">
        <f>IFERROR('Horizontal Analysis'!L30/'Horizontal Analysis'!L$41,"")</f>
        <v>6.5840660969223933E-2</v>
      </c>
      <c r="M97" s="41">
        <f>IFERROR('Horizontal Analysis'!M30/'Horizontal Analysis'!M$41,"")</f>
        <v>7.187423433484709E-2</v>
      </c>
      <c r="N97" s="41">
        <f>IFERROR('Horizontal Analysis'!N30/'Horizontal Analysis'!N$41,"")</f>
        <v>9.2834970446910747E-2</v>
      </c>
      <c r="O97" s="41">
        <f>IFERROR('Horizontal Analysis'!O30/'Horizontal Analysis'!O$41,"")</f>
        <v>8.927543301860838E-2</v>
      </c>
      <c r="P97" s="41">
        <f>IFERROR('Horizontal Analysis'!P30/'Horizontal Analysis'!P$41,"")</f>
        <v>8.9958353882404515E-2</v>
      </c>
      <c r="Q97" s="41">
        <f>IFERROR('Horizontal Analysis'!Q30/'Horizontal Analysis'!Q$41,"")</f>
        <v>9.2361395275038199E-2</v>
      </c>
    </row>
    <row r="98" spans="1:17">
      <c r="A98" t="s">
        <v>22</v>
      </c>
      <c r="B98" s="41">
        <f t="shared" si="0"/>
        <v>4.5848130561430112E-2</v>
      </c>
      <c r="C98" s="41">
        <f>IFERROR('Horizontal Analysis'!C31/'Horizontal Analysis'!C$41,"")</f>
        <v>3.8918630930386437E-2</v>
      </c>
      <c r="D98" s="41">
        <f>IFERROR('Horizontal Analysis'!D31/'Horizontal Analysis'!D$41,"")</f>
        <v>3.6679843693202471E-2</v>
      </c>
      <c r="E98" s="41">
        <f>IFERROR('Horizontal Analysis'!E31/'Horizontal Analysis'!E$41,"")</f>
        <v>3.3246376811594203E-2</v>
      </c>
      <c r="F98" s="41">
        <f>IFERROR('Horizontal Analysis'!F31/'Horizontal Analysis'!F$41,"")</f>
        <v>4.2296593756874383E-2</v>
      </c>
      <c r="G98" s="41">
        <f>IFERROR('Horizontal Analysis'!G31/'Horizontal Analysis'!G$41,"")</f>
        <v>3.2838862706082023E-2</v>
      </c>
      <c r="H98" s="41">
        <f>IFERROR('Horizontal Analysis'!H31/'Horizontal Analysis'!H$41,"")</f>
        <v>2.5748711476408673E-2</v>
      </c>
      <c r="I98" s="41">
        <f>IFERROR('Horizontal Analysis'!I31/'Horizontal Analysis'!I$41,"")</f>
        <v>3.713108049419294E-2</v>
      </c>
      <c r="J98" s="41">
        <f>IFERROR('Horizontal Analysis'!J31/'Horizontal Analysis'!J$41,"")</f>
        <v>3.3049422380203704E-2</v>
      </c>
      <c r="K98" s="41">
        <f>IFERROR('Horizontal Analysis'!K31/'Horizontal Analysis'!K$41,"")</f>
        <v>3.6488674095168323E-2</v>
      </c>
      <c r="L98" s="41">
        <f>IFERROR('Horizontal Analysis'!L31/'Horizontal Analysis'!L$41,"")</f>
        <v>3.4777453934693475E-2</v>
      </c>
      <c r="M98" s="41">
        <f>IFERROR('Horizontal Analysis'!M31/'Horizontal Analysis'!M$41,"")</f>
        <v>4.0202050130768482E-2</v>
      </c>
      <c r="N98" s="41">
        <f>IFERROR('Horizontal Analysis'!N31/'Horizontal Analysis'!N$41,"")</f>
        <v>6.0163569616305937E-2</v>
      </c>
      <c r="O98" s="41">
        <f>IFERROR('Horizontal Analysis'!O31/'Horizontal Analysis'!O$41,"")</f>
        <v>4.1678129688612328E-2</v>
      </c>
      <c r="P98" s="41">
        <f>IFERROR('Horizontal Analysis'!P31/'Horizontal Analysis'!P$41,"")</f>
        <v>3.9144610663598006E-2</v>
      </c>
      <c r="Q98" s="41">
        <f>IFERROR('Horizontal Analysis'!Q31/'Horizontal Analysis'!Q$41,"")</f>
        <v>4.0599486138831589E-2</v>
      </c>
    </row>
    <row r="99" spans="1:17">
      <c r="A99" s="43" t="s">
        <v>23</v>
      </c>
      <c r="B99" s="44">
        <f t="shared" si="0"/>
        <v>0.55435404280222922</v>
      </c>
      <c r="C99" s="44">
        <f>IFERROR('Horizontal Analysis'!C32/'Horizontal Analysis'!C$41,"")</f>
        <v>0.38659116102809121</v>
      </c>
      <c r="D99" s="44">
        <f>IFERROR('Horizontal Analysis'!D32/'Horizontal Analysis'!D$41,"")</f>
        <v>0.32745478916757542</v>
      </c>
      <c r="E99" s="44">
        <f>IFERROR('Horizontal Analysis'!E32/'Horizontal Analysis'!E$41,"")</f>
        <v>0.35403864734299517</v>
      </c>
      <c r="F99" s="44">
        <f>IFERROR('Horizontal Analysis'!F32/'Horizontal Analysis'!F$41,"")</f>
        <v>0.29559737576507833</v>
      </c>
      <c r="G99" s="44">
        <f>IFERROR('Horizontal Analysis'!G32/'Horizontal Analysis'!G$41,"")</f>
        <v>0.30769177806313019</v>
      </c>
      <c r="H99" s="44">
        <f>IFERROR('Horizontal Analysis'!H32/'Horizontal Analysis'!H$41,"")</f>
        <v>0.33221526581822025</v>
      </c>
      <c r="I99" s="44">
        <f>IFERROR('Horizontal Analysis'!I32/'Horizontal Analysis'!I$41,"")</f>
        <v>0.34276175733176312</v>
      </c>
      <c r="J99" s="44">
        <f>IFERROR('Horizontal Analysis'!J32/'Horizontal Analysis'!J$41,"")</f>
        <v>0.35911955704422721</v>
      </c>
      <c r="K99" s="44">
        <f>IFERROR('Horizontal Analysis'!K32/'Horizontal Analysis'!K$41,"")</f>
        <v>0.48097874251143224</v>
      </c>
      <c r="L99" s="44">
        <f>IFERROR('Horizontal Analysis'!L32/'Horizontal Analysis'!L$41,"")</f>
        <v>0.4437120239094996</v>
      </c>
      <c r="M99" s="44">
        <f>IFERROR('Horizontal Analysis'!M32/'Horizontal Analysis'!M$41,"")</f>
        <v>0.38414595928228329</v>
      </c>
      <c r="N99" s="44">
        <f>IFERROR('Horizontal Analysis'!N32/'Horizontal Analysis'!N$41,"")</f>
        <v>0.38384998086490624</v>
      </c>
      <c r="O99" s="44">
        <f>IFERROR('Horizontal Analysis'!O32/'Horizontal Analysis'!O$41,"")</f>
        <v>0.40718355677953844</v>
      </c>
      <c r="P99" s="44">
        <f>IFERROR('Horizontal Analysis'!P32/'Horizontal Analysis'!P$41,"")</f>
        <v>0.41916543372239573</v>
      </c>
      <c r="Q99" s="44">
        <f>IFERROR('Horizontal Analysis'!Q32/'Horizontal Analysis'!Q$41,"")</f>
        <v>0.41186000484354512</v>
      </c>
    </row>
    <row r="100" spans="1:17"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</row>
    <row r="101" spans="1:17">
      <c r="A101" t="s">
        <v>24</v>
      </c>
      <c r="B101" s="41">
        <f t="shared" ref="B101:B108" si="1">IFERROR(B34/B$41,"")</f>
        <v>6.3418591968929142E-2</v>
      </c>
      <c r="C101" s="41">
        <f>IFERROR('Horizontal Analysis'!C34/'Horizontal Analysis'!C$41,"")</f>
        <v>6.6829364704264801E-2</v>
      </c>
      <c r="D101" s="41">
        <f>IFERROR('Horizontal Analysis'!D34/'Horizontal Analysis'!D$41,"")</f>
        <v>8.7763540530716097E-2</v>
      </c>
      <c r="E101" s="41">
        <f>IFERROR('Horizontal Analysis'!E34/'Horizontal Analysis'!E$41,"")</f>
        <v>8.0178743961352661E-2</v>
      </c>
      <c r="F101" s="41">
        <f>IFERROR('Horizontal Analysis'!F34/'Horizontal Analysis'!F$41,"")</f>
        <v>8.8958285706891418E-2</v>
      </c>
      <c r="G101" s="41">
        <f>IFERROR('Horizontal Analysis'!G34/'Horizontal Analysis'!G$41,"")</f>
        <v>7.7358432106968147E-2</v>
      </c>
      <c r="H101" s="41">
        <f>IFERROR('Horizontal Analysis'!H34/'Horizontal Analysis'!H$41,"")</f>
        <v>8.3963865384256695E-2</v>
      </c>
      <c r="I101" s="41">
        <f>IFERROR('Horizontal Analysis'!I34/'Horizontal Analysis'!I$41,"")</f>
        <v>9.0011430276644669E-2</v>
      </c>
      <c r="J101" s="41">
        <f>IFERROR('Horizontal Analysis'!J34/'Horizontal Analysis'!J$41,"")</f>
        <v>0.11293731628956183</v>
      </c>
      <c r="K101" s="41">
        <f>IFERROR('Horizontal Analysis'!K34/'Horizontal Analysis'!K$41,"")</f>
        <v>0.11041723286343924</v>
      </c>
      <c r="L101" s="41">
        <f>IFERROR('Horizontal Analysis'!L34/'Horizontal Analysis'!L$41,"")</f>
        <v>0.11351454823889739</v>
      </c>
      <c r="M101" s="41">
        <f>IFERROR('Horizontal Analysis'!M34/'Horizontal Analysis'!M$41,"")</f>
        <v>0.11236403211377713</v>
      </c>
      <c r="N101" s="41">
        <f>IFERROR('Horizontal Analysis'!N34/'Horizontal Analysis'!N$41,"")</f>
        <v>0.11939448058851045</v>
      </c>
      <c r="O101" s="41">
        <f>IFERROR('Horizontal Analysis'!O34/'Horizontal Analysis'!O$41,"")</f>
        <v>0.12398499076813119</v>
      </c>
      <c r="P101" s="41">
        <f>IFERROR('Horizontal Analysis'!P34/'Horizontal Analysis'!P$41,"")</f>
        <v>0.12515754287906186</v>
      </c>
      <c r="Q101" s="41">
        <f>IFERROR('Horizontal Analysis'!Q34/'Horizontal Analysis'!Q$41,"")</f>
        <v>0.13872024629705407</v>
      </c>
    </row>
    <row r="102" spans="1:17">
      <c r="A102" t="s">
        <v>25</v>
      </c>
      <c r="B102" s="41">
        <f t="shared" si="1"/>
        <v>0.33772262346541104</v>
      </c>
      <c r="C102" s="41">
        <f>IFERROR('Horizontal Analysis'!C35/'Horizontal Analysis'!C$41,"")</f>
        <v>0.47793694305282242</v>
      </c>
      <c r="D102" s="41">
        <f>IFERROR('Horizontal Analysis'!D35/'Horizontal Analysis'!D$41,"")</f>
        <v>0.52323018902217378</v>
      </c>
      <c r="E102" s="41">
        <f>IFERROR('Horizontal Analysis'!E35/'Horizontal Analysis'!E$41,"")</f>
        <v>0.51311594202898547</v>
      </c>
      <c r="F102" s="41">
        <f>IFERROR('Horizontal Analysis'!F35/'Horizontal Analysis'!F$41,"")</f>
        <v>0.56143271839509312</v>
      </c>
      <c r="G102" s="41">
        <f>IFERROR('Horizontal Analysis'!G35/'Horizontal Analysis'!G$41,"")</f>
        <v>0.56480847152461966</v>
      </c>
      <c r="H102" s="41">
        <f>IFERROR('Horizontal Analysis'!H35/'Horizontal Analysis'!H$41,"")</f>
        <v>0.52980235384816254</v>
      </c>
      <c r="I102" s="41">
        <f>IFERROR('Horizontal Analysis'!I35/'Horizontal Analysis'!I$41,"")</f>
        <v>0.51879601086009497</v>
      </c>
      <c r="J102" s="41">
        <f>IFERROR('Horizontal Analysis'!J35/'Horizontal Analysis'!J$41,"")</f>
        <v>0.46701483354979834</v>
      </c>
      <c r="K102" s="41">
        <f>IFERROR('Horizontal Analysis'!K35/'Horizontal Analysis'!K$41,"")</f>
        <v>0.31118470028004586</v>
      </c>
      <c r="L102" s="41">
        <f>IFERROR('Horizontal Analysis'!L35/'Horizontal Analysis'!L$41,"")</f>
        <v>0.31148730425332216</v>
      </c>
      <c r="M102" s="41">
        <f>IFERROR('Horizontal Analysis'!M35/'Horizontal Analysis'!M$41,"")</f>
        <v>0.36431986142529105</v>
      </c>
      <c r="N102" s="41">
        <f>IFERROR('Horizontal Analysis'!N35/'Horizontal Analysis'!N$41,"")</f>
        <v>0.34246148176496433</v>
      </c>
      <c r="O102" s="41">
        <f>IFERROR('Horizontal Analysis'!O35/'Horizontal Analysis'!O$41,"")</f>
        <v>0.285164060660894</v>
      </c>
      <c r="P102" s="41">
        <f>IFERROR('Horizontal Analysis'!P35/'Horizontal Analysis'!P$41,"")</f>
        <v>0.25064113102087787</v>
      </c>
      <c r="Q102" s="41">
        <f>IFERROR('Horizontal Analysis'!Q35/'Horizontal Analysis'!Q$41,"")</f>
        <v>0.21635336723814932</v>
      </c>
    </row>
    <row r="103" spans="1:17">
      <c r="A103" t="s">
        <v>26</v>
      </c>
      <c r="B103" s="41">
        <f t="shared" si="1"/>
        <v>9.8559514783927212E-3</v>
      </c>
      <c r="C103" s="41">
        <f>IFERROR('Horizontal Analysis'!C36/'Horizontal Analysis'!C$41,"")</f>
        <v>7.6995127652078263E-3</v>
      </c>
      <c r="D103" s="41">
        <f>IFERROR('Horizontal Analysis'!D36/'Horizontal Analysis'!D$41,"")</f>
        <v>6.4465194474736462E-3</v>
      </c>
      <c r="E103" s="41">
        <f>IFERROR('Horizontal Analysis'!E36/'Horizontal Analysis'!E$41,"")</f>
        <v>7.6183574879227049E-3</v>
      </c>
      <c r="F103" s="41">
        <f>IFERROR('Horizontal Analysis'!F36/'Horizontal Analysis'!F$41,"")</f>
        <v>1.9910368833543968E-2</v>
      </c>
      <c r="G103" s="41">
        <f>IFERROR('Horizontal Analysis'!G36/'Horizontal Analysis'!G$41,"")</f>
        <v>1.7612288668027637E-2</v>
      </c>
      <c r="H103" s="41">
        <f>IFERROR('Horizontal Analysis'!H36/'Horizontal Analysis'!H$41,"")</f>
        <v>1.6830076534260118E-2</v>
      </c>
      <c r="I103" s="41">
        <f>IFERROR('Horizontal Analysis'!I36/'Horizontal Analysis'!I$41,"")</f>
        <v>1.5232375659105988E-2</v>
      </c>
      <c r="J103" s="41">
        <f>IFERROR('Horizontal Analysis'!J36/'Horizontal Analysis'!J$41,"")</f>
        <v>0</v>
      </c>
      <c r="K103" s="41">
        <f>IFERROR('Horizontal Analysis'!K36/'Horizontal Analysis'!K$41,"")</f>
        <v>0</v>
      </c>
      <c r="L103" s="41">
        <f>IFERROR('Horizontal Analysis'!L36/'Horizontal Analysis'!L$41,"")</f>
        <v>0</v>
      </c>
      <c r="M103" s="41">
        <f>IFERROR('Horizontal Analysis'!M36/'Horizontal Analysis'!M$41,"")</f>
        <v>0</v>
      </c>
      <c r="N103" s="41">
        <f>IFERROR('Horizontal Analysis'!N36/'Horizontal Analysis'!N$41,"")</f>
        <v>0</v>
      </c>
      <c r="O103" s="41">
        <f>IFERROR('Horizontal Analysis'!O36/'Horizontal Analysis'!O$41,"")</f>
        <v>0</v>
      </c>
      <c r="P103" s="41">
        <f>IFERROR('Horizontal Analysis'!P36/'Horizontal Analysis'!P$41,"")</f>
        <v>0</v>
      </c>
      <c r="Q103" s="41">
        <f>IFERROR('Horizontal Analysis'!Q36/'Horizontal Analysis'!Q$41,"")</f>
        <v>0</v>
      </c>
    </row>
    <row r="104" spans="1:17">
      <c r="A104" t="s">
        <v>27</v>
      </c>
      <c r="B104" s="41">
        <f t="shared" si="1"/>
        <v>4.5489006823351023E-3</v>
      </c>
      <c r="C104" s="41">
        <f>IFERROR('Horizontal Analysis'!C37/'Horizontal Analysis'!C$41,"")</f>
        <v>3.0385577162695174E-2</v>
      </c>
      <c r="D104" s="41">
        <f>IFERROR('Horizontal Analysis'!D37/'Horizontal Analysis'!D$41,"")</f>
        <v>2.3991275899672846E-2</v>
      </c>
      <c r="E104" s="41">
        <f>IFERROR('Horizontal Analysis'!E37/'Horizontal Analysis'!E$41,"")</f>
        <v>2.018840579710145E-2</v>
      </c>
      <c r="F104" s="41">
        <f>IFERROR('Horizontal Analysis'!F37/'Horizontal Analysis'!F$41,"")</f>
        <v>1.7865846557309169E-2</v>
      </c>
      <c r="G104" s="41">
        <f>IFERROR('Horizontal Analysis'!G37/'Horizontal Analysis'!G$41,"")</f>
        <v>1.3402001521624627E-2</v>
      </c>
      <c r="H104" s="41">
        <f>IFERROR('Horizontal Analysis'!H37/'Horizontal Analysis'!H$41,"")</f>
        <v>9.966240371045057E-3</v>
      </c>
      <c r="I104" s="41">
        <f>IFERROR('Horizontal Analysis'!I37/'Horizontal Analysis'!I$41,"")</f>
        <v>6.1227915453254435E-3</v>
      </c>
      <c r="J104" s="41">
        <f>IFERROR('Horizontal Analysis'!J37/'Horizontal Analysis'!J$41,"")</f>
        <v>0</v>
      </c>
      <c r="K104" s="41">
        <f>IFERROR('Horizontal Analysis'!K37/'Horizontal Analysis'!K$41,"")</f>
        <v>0</v>
      </c>
      <c r="L104" s="41">
        <f>IFERROR('Horizontal Analysis'!L37/'Horizontal Analysis'!L$41,"")</f>
        <v>0</v>
      </c>
      <c r="M104" s="41">
        <f>IFERROR('Horizontal Analysis'!M37/'Horizontal Analysis'!M$41,"")</f>
        <v>0</v>
      </c>
      <c r="N104" s="41">
        <f>IFERROR('Horizontal Analysis'!N37/'Horizontal Analysis'!N$41,"")</f>
        <v>0</v>
      </c>
      <c r="O104" s="41">
        <f>IFERROR('Horizontal Analysis'!O37/'Horizontal Analysis'!O$41,"")</f>
        <v>0</v>
      </c>
      <c r="P104" s="41">
        <f>IFERROR('Horizontal Analysis'!P37/'Horizontal Analysis'!P$41,"")</f>
        <v>0</v>
      </c>
      <c r="Q104" s="41">
        <f>IFERROR('Horizontal Analysis'!Q37/'Horizontal Analysis'!Q$41,"")</f>
        <v>0</v>
      </c>
    </row>
    <row r="105" spans="1:17">
      <c r="A105" t="s">
        <v>28</v>
      </c>
      <c r="B105" s="41">
        <f t="shared" si="1"/>
        <v>3.009988960270274E-2</v>
      </c>
      <c r="C105" s="41">
        <f>IFERROR('Horizontal Analysis'!C38/'Horizontal Analysis'!C$41,"")</f>
        <v>3.0557441286918563E-2</v>
      </c>
      <c r="D105" s="41">
        <f>IFERROR('Horizontal Analysis'!D38/'Horizontal Analysis'!D$41,"")</f>
        <v>3.1113685932388221E-2</v>
      </c>
      <c r="E105" s="41">
        <f>IFERROR('Horizontal Analysis'!E38/'Horizontal Analysis'!E$41,"")</f>
        <v>2.4859903381642512E-2</v>
      </c>
      <c r="F105" s="41">
        <f>IFERROR('Horizontal Analysis'!F38/'Horizontal Analysis'!F$41,"")</f>
        <v>1.6235404742083945E-2</v>
      </c>
      <c r="G105" s="41">
        <f>IFERROR('Horizontal Analysis'!G38/'Horizontal Analysis'!G$41,"")</f>
        <v>1.9127028115629701E-2</v>
      </c>
      <c r="H105" s="41">
        <f>IFERROR('Horizontal Analysis'!H38/'Horizontal Analysis'!H$41,"")</f>
        <v>2.7222198044055384E-2</v>
      </c>
      <c r="I105" s="41">
        <f>IFERROR('Horizontal Analysis'!I38/'Horizontal Analysis'!I$41,"")</f>
        <v>2.7075634327065775E-2</v>
      </c>
      <c r="J105" s="41">
        <f>IFERROR('Horizontal Analysis'!J38/'Horizontal Analysis'!J$41,"")</f>
        <v>0</v>
      </c>
      <c r="K105" s="41">
        <f>IFERROR('Horizontal Analysis'!K38/'Horizontal Analysis'!K$41,"")</f>
        <v>0</v>
      </c>
      <c r="L105" s="41">
        <f>IFERROR('Horizontal Analysis'!L38/'Horizontal Analysis'!L$41,"")</f>
        <v>0</v>
      </c>
      <c r="M105" s="41">
        <f>IFERROR('Horizontal Analysis'!M38/'Horizontal Analysis'!M$41,"")</f>
        <v>0</v>
      </c>
      <c r="N105" s="41">
        <f>IFERROR('Horizontal Analysis'!N38/'Horizontal Analysis'!N$41,"")</f>
        <v>0</v>
      </c>
      <c r="O105" s="41">
        <f>IFERROR('Horizontal Analysis'!O38/'Horizontal Analysis'!O$41,"")</f>
        <v>0</v>
      </c>
      <c r="P105" s="41">
        <f>IFERROR('Horizontal Analysis'!P38/'Horizontal Analysis'!P$41,"")</f>
        <v>0</v>
      </c>
      <c r="Q105" s="41">
        <f>IFERROR('Horizontal Analysis'!Q38/'Horizontal Analysis'!Q$41,"")</f>
        <v>0</v>
      </c>
    </row>
    <row r="106" spans="1:17">
      <c r="A106" t="s">
        <v>29</v>
      </c>
      <c r="B106" s="41">
        <f t="shared" si="1"/>
        <v>0</v>
      </c>
      <c r="C106" s="41">
        <f>IFERROR('Horizontal Analysis'!C39/'Horizontal Analysis'!C$41,"")</f>
        <v>0</v>
      </c>
      <c r="D106" s="41">
        <f>IFERROR('Horizontal Analysis'!D39/'Horizontal Analysis'!D$41,"")</f>
        <v>0</v>
      </c>
      <c r="E106" s="41">
        <f>IFERROR('Horizontal Analysis'!E39/'Horizontal Analysis'!E$41,"")</f>
        <v>0</v>
      </c>
      <c r="F106" s="41">
        <f>IFERROR('Horizontal Analysis'!F39/'Horizontal Analysis'!F$41,"")</f>
        <v>0</v>
      </c>
      <c r="G106" s="41">
        <f>IFERROR('Horizontal Analysis'!G39/'Horizontal Analysis'!G$41,"")</f>
        <v>0</v>
      </c>
      <c r="H106" s="41">
        <f>IFERROR('Horizontal Analysis'!H39/'Horizontal Analysis'!H$41,"")</f>
        <v>0</v>
      </c>
      <c r="I106" s="41">
        <f>IFERROR('Horizontal Analysis'!I39/'Horizontal Analysis'!I$41,"")</f>
        <v>0</v>
      </c>
      <c r="J106" s="41">
        <f>IFERROR('Horizontal Analysis'!J39/'Horizontal Analysis'!J$41,"")</f>
        <v>6.0928293116412603E-2</v>
      </c>
      <c r="K106" s="41">
        <f>IFERROR('Horizontal Analysis'!K39/'Horizontal Analysis'!K$41,"")</f>
        <v>9.7419324345082658E-2</v>
      </c>
      <c r="L106" s="41">
        <f>IFERROR('Horizontal Analysis'!L39/'Horizontal Analysis'!L$41,"")</f>
        <v>0.13128612359828087</v>
      </c>
      <c r="M106" s="41">
        <f>IFERROR('Horizontal Analysis'!M39/'Horizontal Analysis'!M$41,"")</f>
        <v>0.13917014717864856</v>
      </c>
      <c r="N106" s="41">
        <f>IFERROR('Horizontal Analysis'!N39/'Horizontal Analysis'!N$41,"")</f>
        <v>0.15429405678161898</v>
      </c>
      <c r="O106" s="41">
        <f>IFERROR('Horizontal Analysis'!O39/'Horizontal Analysis'!O$41,"")</f>
        <v>0.18366739179143635</v>
      </c>
      <c r="P106" s="41">
        <f>IFERROR('Horizontal Analysis'!P39/'Horizontal Analysis'!P$41,"")</f>
        <v>0.20503589237766454</v>
      </c>
      <c r="Q106" s="41">
        <f>IFERROR('Horizontal Analysis'!Q39/'Horizontal Analysis'!Q$41,"")</f>
        <v>0.23306638162125148</v>
      </c>
    </row>
    <row r="107" spans="1:17">
      <c r="A107" s="43" t="s">
        <v>30</v>
      </c>
      <c r="B107" s="44">
        <f t="shared" si="1"/>
        <v>0.44564595719777078</v>
      </c>
      <c r="C107" s="44">
        <f>IFERROR('Horizontal Analysis'!C40/'Horizontal Analysis'!C$41,"")</f>
        <v>0.61340883897190879</v>
      </c>
      <c r="D107" s="44">
        <f>IFERROR('Horizontal Analysis'!D40/'Horizontal Analysis'!D$41,"")</f>
        <v>0.67254521083242458</v>
      </c>
      <c r="E107" s="44">
        <f>IFERROR('Horizontal Analysis'!E40/'Horizontal Analysis'!E$41,"")</f>
        <v>0.64596135265700483</v>
      </c>
      <c r="F107" s="44">
        <f>IFERROR('Horizontal Analysis'!F40/'Horizontal Analysis'!F$41,"")</f>
        <v>0.70440262423492161</v>
      </c>
      <c r="G107" s="44">
        <f>IFERROR('Horizontal Analysis'!G40/'Horizontal Analysis'!G$41,"")</f>
        <v>0.69230822193686981</v>
      </c>
      <c r="H107" s="44">
        <f>IFERROR('Horizontal Analysis'!H40/'Horizontal Analysis'!H$41,"")</f>
        <v>0.66778473418177975</v>
      </c>
      <c r="I107" s="44">
        <f>IFERROR('Horizontal Analysis'!I40/'Horizontal Analysis'!I$41,"")</f>
        <v>0.65723824266823694</v>
      </c>
      <c r="J107" s="44">
        <f>IFERROR('Horizontal Analysis'!J40/'Horizontal Analysis'!J$41,"")</f>
        <v>0.64088044295577273</v>
      </c>
      <c r="K107" s="44">
        <f>IFERROR('Horizontal Analysis'!K40/'Horizontal Analysis'!K$41,"")</f>
        <v>0.51902125748856776</v>
      </c>
      <c r="L107" s="44">
        <f>IFERROR('Horizontal Analysis'!L40/'Horizontal Analysis'!L$41,"")</f>
        <v>0.5562879760905004</v>
      </c>
      <c r="M107" s="44">
        <f>IFERROR('Horizontal Analysis'!M40/'Horizontal Analysis'!M$41,"")</f>
        <v>0.61585404071771666</v>
      </c>
      <c r="N107" s="44">
        <f>IFERROR('Horizontal Analysis'!N40/'Horizontal Analysis'!N$41,"")</f>
        <v>0.61615001913509371</v>
      </c>
      <c r="O107" s="44">
        <f>IFERROR('Horizontal Analysis'!O40/'Horizontal Analysis'!O$41,"")</f>
        <v>0.59281644322046156</v>
      </c>
      <c r="P107" s="44">
        <f>IFERROR('Horizontal Analysis'!P40/'Horizontal Analysis'!P$41,"")</f>
        <v>0.58083456627760421</v>
      </c>
      <c r="Q107" s="44">
        <f>IFERROR('Horizontal Analysis'!Q40/'Horizontal Analysis'!Q$41,"")</f>
        <v>0.58813999515645488</v>
      </c>
    </row>
    <row r="108" spans="1:17">
      <c r="A108" s="43" t="s">
        <v>31</v>
      </c>
      <c r="B108" s="44">
        <f t="shared" si="1"/>
        <v>1</v>
      </c>
      <c r="C108" s="44">
        <f>IFERROR('Horizontal Analysis'!C41/'Horizontal Analysis'!C$41,"")</f>
        <v>1</v>
      </c>
      <c r="D108" s="44">
        <f>IFERROR('Horizontal Analysis'!D41/'Horizontal Analysis'!D$41,"")</f>
        <v>1</v>
      </c>
      <c r="E108" s="44">
        <f>IFERROR('Horizontal Analysis'!E41/'Horizontal Analysis'!E$41,"")</f>
        <v>1</v>
      </c>
      <c r="F108" s="44">
        <f>IFERROR('Horizontal Analysis'!F41/'Horizontal Analysis'!F$41,"")</f>
        <v>1</v>
      </c>
      <c r="G108" s="44">
        <f>IFERROR('Horizontal Analysis'!G41/'Horizontal Analysis'!G$41,"")</f>
        <v>1</v>
      </c>
      <c r="H108" s="44">
        <f>IFERROR('Horizontal Analysis'!H41/'Horizontal Analysis'!H$41,"")</f>
        <v>1</v>
      </c>
      <c r="I108" s="44">
        <f>IFERROR('Horizontal Analysis'!I41/'Horizontal Analysis'!I$41,"")</f>
        <v>1</v>
      </c>
      <c r="J108" s="44">
        <f>IFERROR('Horizontal Analysis'!J41/'Horizontal Analysis'!J$41,"")</f>
        <v>1</v>
      </c>
      <c r="K108" s="44">
        <f>IFERROR('Horizontal Analysis'!K41/'Horizontal Analysis'!K$41,"")</f>
        <v>1</v>
      </c>
      <c r="L108" s="44">
        <f>IFERROR('Horizontal Analysis'!L41/'Horizontal Analysis'!L$41,"")</f>
        <v>1</v>
      </c>
      <c r="M108" s="44">
        <f>IFERROR('Horizontal Analysis'!M41/'Horizontal Analysis'!M$41,"")</f>
        <v>1</v>
      </c>
      <c r="N108" s="44">
        <f>IFERROR('Horizontal Analysis'!N41/'Horizontal Analysis'!N$41,"")</f>
        <v>1</v>
      </c>
      <c r="O108" s="44">
        <f>IFERROR('Horizontal Analysis'!O41/'Horizontal Analysis'!O$41,"")</f>
        <v>1</v>
      </c>
      <c r="P108" s="44">
        <f>IFERROR('Horizontal Analysis'!P41/'Horizontal Analysis'!P$41,"")</f>
        <v>1</v>
      </c>
      <c r="Q108" s="44">
        <f>IFERROR('Horizontal Analysis'!Q41/'Horizontal Analysis'!Q$41,"")</f>
        <v>1</v>
      </c>
    </row>
    <row r="109" spans="1:17"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</row>
    <row r="110" spans="1:17">
      <c r="A110" t="s">
        <v>32</v>
      </c>
      <c r="B110" s="41">
        <f t="shared" ref="B110:B117" si="2">IFERROR(B43/B$41,"")</f>
        <v>0</v>
      </c>
      <c r="C110" s="41">
        <f>IFERROR('Horizontal Analysis'!C43/'Horizontal Analysis'!C$41,"")</f>
        <v>0</v>
      </c>
      <c r="D110" s="41">
        <f>IFERROR('Horizontal Analysis'!D43/'Horizontal Analysis'!D$41,"")</f>
        <v>0</v>
      </c>
      <c r="E110" s="41">
        <f>IFERROR('Horizontal Analysis'!E43/'Horizontal Analysis'!E$41,"")</f>
        <v>0</v>
      </c>
      <c r="F110" s="41">
        <f>IFERROR('Horizontal Analysis'!F43/'Horizontal Analysis'!F$41,"")</f>
        <v>0</v>
      </c>
      <c r="G110" s="41">
        <f>IFERROR('Horizontal Analysis'!G43/'Horizontal Analysis'!G$41,"")</f>
        <v>0</v>
      </c>
      <c r="H110" s="41">
        <f>IFERROR('Horizontal Analysis'!H43/'Horizontal Analysis'!H$41,"")</f>
        <v>0</v>
      </c>
      <c r="I110" s="41">
        <f>IFERROR('Horizontal Analysis'!I43/'Horizontal Analysis'!I$41,"")</f>
        <v>0</v>
      </c>
      <c r="J110" s="41">
        <f>IFERROR('Horizontal Analysis'!J43/'Horizontal Analysis'!J$41,"")</f>
        <v>0</v>
      </c>
      <c r="K110" s="41">
        <f>IFERROR('Horizontal Analysis'!K43/'Horizontal Analysis'!K$41,"")</f>
        <v>0</v>
      </c>
      <c r="L110" s="41">
        <f>IFERROR('Horizontal Analysis'!L43/'Horizontal Analysis'!L$41,"")</f>
        <v>0</v>
      </c>
      <c r="M110" s="41">
        <f>IFERROR('Horizontal Analysis'!M43/'Horizontal Analysis'!M$41,"")</f>
        <v>0</v>
      </c>
      <c r="N110" s="41">
        <f>IFERROR('Horizontal Analysis'!N43/'Horizontal Analysis'!N$41,"")</f>
        <v>0</v>
      </c>
      <c r="O110" s="41">
        <f>IFERROR('Horizontal Analysis'!O43/'Horizontal Analysis'!O$41,"")</f>
        <v>0</v>
      </c>
      <c r="P110" s="41">
        <f>IFERROR('Horizontal Analysis'!P43/'Horizontal Analysis'!P$41,"")</f>
        <v>0</v>
      </c>
      <c r="Q110" s="41">
        <f>IFERROR('Horizontal Analysis'!Q43/'Horizontal Analysis'!Q$41,"")</f>
        <v>0</v>
      </c>
    </row>
    <row r="111" spans="1:17">
      <c r="A111" t="s">
        <v>33</v>
      </c>
      <c r="B111" s="41">
        <f t="shared" si="2"/>
        <v>0.15981006344519372</v>
      </c>
      <c r="C111" s="41">
        <f>IFERROR('Horizontal Analysis'!C44/'Horizontal Analysis'!C$41,"")</f>
        <v>0.12573579328183138</v>
      </c>
      <c r="D111" s="41">
        <f>IFERROR('Horizontal Analysis'!D44/'Horizontal Analysis'!D$41,"")</f>
        <v>0.12026876590330789</v>
      </c>
      <c r="E111" s="41">
        <f>IFERROR('Horizontal Analysis'!E44/'Horizontal Analysis'!E$41,"")</f>
        <v>0.10805314009661836</v>
      </c>
      <c r="F111" s="41">
        <f>IFERROR('Horizontal Analysis'!F44/'Horizontal Analysis'!F$41,"")</f>
        <v>0.13024555834005494</v>
      </c>
      <c r="G111" s="41">
        <f>IFERROR('Horizontal Analysis'!G44/'Horizontal Analysis'!G$41,"")</f>
        <v>0.12217750680772103</v>
      </c>
      <c r="H111" s="41">
        <f>IFERROR('Horizontal Analysis'!H44/'Horizontal Analysis'!H$41,"")</f>
        <v>0.11593292838357902</v>
      </c>
      <c r="I111" s="41">
        <f>IFERROR('Horizontal Analysis'!I44/'Horizontal Analysis'!I$41,"")</f>
        <v>0.1306861629706996</v>
      </c>
      <c r="J111" s="41">
        <f>IFERROR('Horizontal Analysis'!J44/'Horizontal Analysis'!J$41,"")</f>
        <v>0.15281427301934514</v>
      </c>
      <c r="K111" s="41">
        <f>IFERROR('Horizontal Analysis'!K44/'Horizontal Analysis'!K$41,"")</f>
        <v>0.1365843859669853</v>
      </c>
      <c r="L111" s="41">
        <f>IFERROR('Horizontal Analysis'!L44/'Horizontal Analysis'!L$41,"")</f>
        <v>0.13058835152892359</v>
      </c>
      <c r="M111" s="41">
        <f>IFERROR('Horizontal Analysis'!M44/'Horizontal Analysis'!M$41,"")</f>
        <v>0.1560190540224842</v>
      </c>
      <c r="N111" s="41">
        <f>IFERROR('Horizontal Analysis'!N44/'Horizontal Analysis'!N$41,"")</f>
        <v>0.18175504245155988</v>
      </c>
      <c r="O111" s="41">
        <f>IFERROR('Horizontal Analysis'!O44/'Horizontal Analysis'!O$41,"")</f>
        <v>0.17757804545312736</v>
      </c>
      <c r="P111" s="41">
        <f>IFERROR('Horizontal Analysis'!P44/'Horizontal Analysis'!P$41,"")</f>
        <v>0.18894185982793577</v>
      </c>
      <c r="Q111" s="41">
        <f>IFERROR('Horizontal Analysis'!Q44/'Horizontal Analysis'!Q$41,"")</f>
        <v>0.19446555376474289</v>
      </c>
    </row>
    <row r="112" spans="1:17">
      <c r="A112" t="s">
        <v>34</v>
      </c>
      <c r="B112" s="41">
        <f t="shared" si="2"/>
        <v>7.6120931593578342E-2</v>
      </c>
      <c r="C112" s="41">
        <f>IFERROR('Horizontal Analysis'!C45/'Horizontal Analysis'!C$41,"")</f>
        <v>7.9461377834683905E-2</v>
      </c>
      <c r="D112" s="41">
        <f>IFERROR('Horizontal Analysis'!D45/'Horizontal Analysis'!D$41,"")</f>
        <v>6.4828698655034531E-2</v>
      </c>
      <c r="E112" s="41">
        <f>IFERROR('Horizontal Analysis'!E45/'Horizontal Analysis'!E$41,"")</f>
        <v>6.6937198067632847E-2</v>
      </c>
      <c r="F112" s="41">
        <f>IFERROR('Horizontal Analysis'!F45/'Horizontal Analysis'!F$41,"")</f>
        <v>7.9594028614685189E-2</v>
      </c>
      <c r="G112" s="41">
        <f>IFERROR('Horizontal Analysis'!G45/'Horizontal Analysis'!G$41,"")</f>
        <v>8.6687850068335404E-2</v>
      </c>
      <c r="H112" s="41">
        <f>IFERROR('Horizontal Analysis'!H45/'Horizontal Analysis'!H$41,"")</f>
        <v>6.8473604695261842E-2</v>
      </c>
      <c r="I112" s="41">
        <f>IFERROR('Horizontal Analysis'!I45/'Horizontal Analysis'!I$41,"")</f>
        <v>6.8592317468606709E-2</v>
      </c>
      <c r="J112" s="41">
        <f>IFERROR('Horizontal Analysis'!J45/'Horizontal Analysis'!J$41,"")</f>
        <v>0</v>
      </c>
      <c r="K112" s="41">
        <f>IFERROR('Horizontal Analysis'!K45/'Horizontal Analysis'!K$41,"")</f>
        <v>0</v>
      </c>
      <c r="L112" s="41">
        <f>IFERROR('Horizontal Analysis'!L45/'Horizontal Analysis'!L$41,"")</f>
        <v>0</v>
      </c>
      <c r="M112" s="41">
        <f>IFERROR('Horizontal Analysis'!M45/'Horizontal Analysis'!M$41,"")</f>
        <v>0</v>
      </c>
      <c r="N112" s="41">
        <f>IFERROR('Horizontal Analysis'!N45/'Horizontal Analysis'!N$41,"")</f>
        <v>0</v>
      </c>
      <c r="O112" s="41">
        <f>IFERROR('Horizontal Analysis'!O45/'Horizontal Analysis'!O$41,"")</f>
        <v>0</v>
      </c>
      <c r="P112" s="41">
        <f>IFERROR('Horizontal Analysis'!P45/'Horizontal Analysis'!P$41,"")</f>
        <v>0</v>
      </c>
      <c r="Q112" s="41">
        <f>IFERROR('Horizontal Analysis'!Q45/'Horizontal Analysis'!Q$41,"")</f>
        <v>0</v>
      </c>
    </row>
    <row r="113" spans="1:17">
      <c r="A113" t="s">
        <v>35</v>
      </c>
      <c r="B113" s="41">
        <f t="shared" si="2"/>
        <v>3.9689823497333174E-2</v>
      </c>
      <c r="C113" s="41">
        <f>IFERROR('Horizontal Analysis'!C46/'Horizontal Analysis'!C$41,"")</f>
        <v>3.5154806609894215E-2</v>
      </c>
      <c r="D113" s="41">
        <f>IFERROR('Horizontal Analysis'!D46/'Horizontal Analysis'!D$41,"")</f>
        <v>3.3811568520537988E-2</v>
      </c>
      <c r="E113" s="41">
        <f>IFERROR('Horizontal Analysis'!E46/'Horizontal Analysis'!E$41,"")</f>
        <v>3.5917874396135266E-2</v>
      </c>
      <c r="F113" s="41">
        <f>IFERROR('Horizontal Analysis'!F46/'Horizontal Analysis'!F$41,"")</f>
        <v>3.6624554108670243E-2</v>
      </c>
      <c r="G113" s="41">
        <f>IFERROR('Horizontal Analysis'!G46/'Horizontal Analysis'!G$41,"")</f>
        <v>3.0776751503551032E-2</v>
      </c>
      <c r="H113" s="41">
        <f>IFERROR('Horizontal Analysis'!H46/'Horizontal Analysis'!H$41,"")</f>
        <v>2.5117661321910185E-2</v>
      </c>
      <c r="I113" s="41">
        <f>IFERROR('Horizontal Analysis'!I46/'Horizontal Analysis'!I$41,"")</f>
        <v>2.0110892334254327E-2</v>
      </c>
      <c r="J113" s="41">
        <f>IFERROR('Horizontal Analysis'!J46/'Horizontal Analysis'!J$41,"")</f>
        <v>2.062478638321143E-2</v>
      </c>
      <c r="K113" s="41">
        <f>IFERROR('Horizontal Analysis'!K46/'Horizontal Analysis'!K$41,"")</f>
        <v>1.6312375190537524E-2</v>
      </c>
      <c r="L113" s="41">
        <f>IFERROR('Horizontal Analysis'!L46/'Horizontal Analysis'!L$41,"")</f>
        <v>2.05101763572593E-2</v>
      </c>
      <c r="M113" s="41">
        <f>IFERROR('Horizontal Analysis'!M46/'Horizontal Analysis'!M$41,"")</f>
        <v>2.1686486116888223E-2</v>
      </c>
      <c r="N113" s="41">
        <f>IFERROR('Horizontal Analysis'!N46/'Horizontal Analysis'!N$41,"")</f>
        <v>2.2429164717721932E-2</v>
      </c>
      <c r="O113" s="41">
        <f>IFERROR('Horizontal Analysis'!O46/'Horizontal Analysis'!O$41,"")</f>
        <v>2.2862701831909082E-2</v>
      </c>
      <c r="P113" s="41">
        <f>IFERROR('Horizontal Analysis'!P46/'Horizontal Analysis'!P$41,"")</f>
        <v>2.2601238424023236E-2</v>
      </c>
      <c r="Q113" s="41">
        <f>IFERROR('Horizontal Analysis'!Q46/'Horizontal Analysis'!Q$41,"")</f>
        <v>2.5205920259658558E-2</v>
      </c>
    </row>
    <row r="114" spans="1:17">
      <c r="A114" t="s">
        <v>36</v>
      </c>
      <c r="B114" s="41">
        <f t="shared" si="2"/>
        <v>0</v>
      </c>
      <c r="C114" s="41">
        <f>IFERROR('Horizontal Analysis'!C47/'Horizontal Analysis'!C$41,"")</f>
        <v>0</v>
      </c>
      <c r="D114" s="41">
        <f>IFERROR('Horizontal Analysis'!D47/'Horizontal Analysis'!D$41,"")</f>
        <v>0</v>
      </c>
      <c r="E114" s="41">
        <f>IFERROR('Horizontal Analysis'!E47/'Horizontal Analysis'!E$41,"")</f>
        <v>0</v>
      </c>
      <c r="F114" s="41">
        <f>IFERROR('Horizontal Analysis'!F47/'Horizontal Analysis'!F$41,"")</f>
        <v>0</v>
      </c>
      <c r="G114" s="41">
        <f>IFERROR('Horizontal Analysis'!G47/'Horizontal Analysis'!G$41,"")</f>
        <v>0</v>
      </c>
      <c r="H114" s="41">
        <f>IFERROR('Horizontal Analysis'!H47/'Horizontal Analysis'!H$41,"")</f>
        <v>0</v>
      </c>
      <c r="I114" s="41">
        <f>IFERROR('Horizontal Analysis'!I47/'Horizontal Analysis'!I$41,"")</f>
        <v>0</v>
      </c>
      <c r="J114" s="41">
        <f>IFERROR('Horizontal Analysis'!J47/'Horizontal Analysis'!J$41,"")</f>
        <v>8.9375897190511991E-2</v>
      </c>
      <c r="K114" s="41">
        <f>IFERROR('Horizontal Analysis'!K47/'Horizontal Analysis'!K$41,"")</f>
        <v>0.1114275248437297</v>
      </c>
      <c r="L114" s="41">
        <f>IFERROR('Horizontal Analysis'!L47/'Horizontal Analysis'!L$41,"")</f>
        <v>0.13178629649755472</v>
      </c>
      <c r="M114" s="41">
        <f>IFERROR('Horizontal Analysis'!M47/'Horizontal Analysis'!M$41,"")</f>
        <v>0.13530692132808361</v>
      </c>
      <c r="N114" s="41">
        <f>IFERROR('Horizontal Analysis'!N47/'Horizontal Analysis'!N$41,"")</f>
        <v>0.17248515258465508</v>
      </c>
      <c r="O114" s="41">
        <f>IFERROR('Horizontal Analysis'!O47/'Horizontal Analysis'!O$41,"")</f>
        <v>0.16685149312360495</v>
      </c>
      <c r="P114" s="41">
        <f>IFERROR('Horizontal Analysis'!P47/'Horizontal Analysis'!P$41,"")</f>
        <v>0.21454326264452847</v>
      </c>
      <c r="Q114" s="41">
        <f>IFERROR('Horizontal Analysis'!Q47/'Horizontal Analysis'!Q$41,"")</f>
        <v>0.18479794900916099</v>
      </c>
    </row>
    <row r="115" spans="1:17">
      <c r="A115" t="s">
        <v>37</v>
      </c>
      <c r="B115" s="41">
        <f t="shared" si="2"/>
        <v>0</v>
      </c>
      <c r="C115" s="41">
        <f>IFERROR('Horizontal Analysis'!C48/'Horizontal Analysis'!C$41,"")</f>
        <v>0</v>
      </c>
      <c r="D115" s="41">
        <f>IFERROR('Horizontal Analysis'!D48/'Horizontal Analysis'!D$41,"")</f>
        <v>0</v>
      </c>
      <c r="E115" s="41">
        <f>IFERROR('Horizontal Analysis'!E48/'Horizontal Analysis'!E$41,"")</f>
        <v>0</v>
      </c>
      <c r="F115" s="41">
        <f>IFERROR('Horizontal Analysis'!F48/'Horizontal Analysis'!F$41,"")</f>
        <v>2.7208536958837813E-2</v>
      </c>
      <c r="G115" s="41">
        <f>IFERROR('Horizontal Analysis'!G48/'Horizontal Analysis'!G$41,"")</f>
        <v>2.9258569466295327E-2</v>
      </c>
      <c r="H115" s="41">
        <f>IFERROR('Horizontal Analysis'!H48/'Horizontal Analysis'!H$41,"")</f>
        <v>2.5195376858178471E-2</v>
      </c>
      <c r="I115" s="41">
        <f>IFERROR('Horizontal Analysis'!I48/'Horizontal Analysis'!I$41,"")</f>
        <v>3.1911520599809763E-2</v>
      </c>
      <c r="J115" s="41">
        <f>IFERROR('Horizontal Analysis'!J48/'Horizontal Analysis'!J$41,"")</f>
        <v>3.2713104108278081E-2</v>
      </c>
      <c r="K115" s="41">
        <f>IFERROR('Horizontal Analysis'!K48/'Horizontal Analysis'!K$41,"")</f>
        <v>1.7665339304493731E-2</v>
      </c>
      <c r="L115" s="41">
        <f>IFERROR('Horizontal Analysis'!L48/'Horizontal Analysis'!L$41,"")</f>
        <v>1.5425085214642099E-2</v>
      </c>
      <c r="M115" s="41">
        <f>IFERROR('Horizontal Analysis'!M48/'Horizontal Analysis'!M$41,"")</f>
        <v>1.7093919692765282E-2</v>
      </c>
      <c r="N115" s="41">
        <f>IFERROR('Horizontal Analysis'!N48/'Horizontal Analysis'!N$41,"")</f>
        <v>2.8297260138056158E-2</v>
      </c>
      <c r="O115" s="41">
        <f>IFERROR('Horizontal Analysis'!O48/'Horizontal Analysis'!O$41,"")</f>
        <v>1.6974726518294982E-2</v>
      </c>
      <c r="P115" s="41">
        <f>IFERROR('Horizontal Analysis'!P48/'Horizontal Analysis'!P$41,"")</f>
        <v>2.7308345662776044E-2</v>
      </c>
      <c r="Q115" s="41">
        <f>IFERROR('Horizontal Analysis'!Q48/'Horizontal Analysis'!Q$41,"")</f>
        <v>2.2210716482806807E-2</v>
      </c>
    </row>
    <row r="116" spans="1:17">
      <c r="A116" t="s">
        <v>38</v>
      </c>
      <c r="B116" s="41">
        <f t="shared" si="2"/>
        <v>0</v>
      </c>
      <c r="C116" s="41">
        <f>IFERROR('Horizontal Analysis'!C49/'Horizontal Analysis'!C$41,"")</f>
        <v>0</v>
      </c>
      <c r="D116" s="41">
        <f>IFERROR('Horizontal Analysis'!D49/'Horizontal Analysis'!D$41,"")</f>
        <v>0</v>
      </c>
      <c r="E116" s="41">
        <f>IFERROR('Horizontal Analysis'!E49/'Horizontal Analysis'!E$41,"")</f>
        <v>0</v>
      </c>
      <c r="F116" s="41">
        <f>IFERROR('Horizontal Analysis'!F49/'Horizontal Analysis'!F$41,"")</f>
        <v>0</v>
      </c>
      <c r="G116" s="41">
        <f>IFERROR('Horizontal Analysis'!G49/'Horizontal Analysis'!G$41,"")</f>
        <v>8.6064741341026381E-3</v>
      </c>
      <c r="H116" s="41">
        <f>IFERROR('Horizontal Analysis'!H49/'Horizontal Analysis'!H$41,"")</f>
        <v>1.0880175077560105E-2</v>
      </c>
      <c r="I116" s="41">
        <f>IFERROR('Horizontal Analysis'!I49/'Horizontal Analysis'!I$41,"")</f>
        <v>1.7307943376168006E-2</v>
      </c>
      <c r="J116" s="41">
        <f>IFERROR('Horizontal Analysis'!J49/'Horizontal Analysis'!J$41,"")</f>
        <v>2.4018046346298449E-2</v>
      </c>
      <c r="K116" s="41">
        <f>IFERROR('Horizontal Analysis'!K49/'Horizontal Analysis'!K$41,"")</f>
        <v>3.0308759408713325E-2</v>
      </c>
      <c r="L116" s="41">
        <f>IFERROR('Horizontal Analysis'!L49/'Horizontal Analysis'!L$41,"")</f>
        <v>2.7086523736600306E-2</v>
      </c>
      <c r="M116" s="41">
        <f>IFERROR('Horizontal Analysis'!M49/'Horizontal Analysis'!M$41,"")</f>
        <v>2.7387308334425445E-2</v>
      </c>
      <c r="N116" s="41">
        <f>IFERROR('Horizontal Analysis'!N49/'Horizontal Analysis'!N$41,"")</f>
        <v>3.1545973834531046E-2</v>
      </c>
      <c r="O116" s="41">
        <f>IFERROR('Horizontal Analysis'!O49/'Horizontal Analysis'!O$41,"")</f>
        <v>2.7857270486665552E-2</v>
      </c>
      <c r="P116" s="41">
        <f>IFERROR('Horizontal Analysis'!P49/'Horizontal Analysis'!P$41,"")</f>
        <v>2.9897528631705847E-2</v>
      </c>
      <c r="Q116" s="41">
        <f>IFERROR('Horizontal Analysis'!Q49/'Horizontal Analysis'!Q$41,"")</f>
        <v>3.4378035914608855E-2</v>
      </c>
    </row>
    <row r="117" spans="1:17">
      <c r="A117" s="43" t="s">
        <v>39</v>
      </c>
      <c r="B117" s="44">
        <f t="shared" si="2"/>
        <v>0.27562081853610526</v>
      </c>
      <c r="C117" s="44">
        <f>IFERROR('Horizontal Analysis'!C50/'Horizontal Analysis'!C$41,"")</f>
        <v>0.24035197772640951</v>
      </c>
      <c r="D117" s="44">
        <f>IFERROR('Horizontal Analysis'!D50/'Horizontal Analysis'!D$41,"")</f>
        <v>0.21890903307888041</v>
      </c>
      <c r="E117" s="44">
        <f>IFERROR('Horizontal Analysis'!E50/'Horizontal Analysis'!E$41,"")</f>
        <v>0.21090821256038647</v>
      </c>
      <c r="F117" s="44">
        <f>IFERROR('Horizontal Analysis'!F50/'Horizontal Analysis'!F$41,"")</f>
        <v>0.27367267802224821</v>
      </c>
      <c r="G117" s="44">
        <f>IFERROR('Horizontal Analysis'!G50/'Horizontal Analysis'!G$41,"")</f>
        <v>0.27750715198000542</v>
      </c>
      <c r="H117" s="44">
        <f>IFERROR('Horizontal Analysis'!H50/'Horizontal Analysis'!H$41,"")</f>
        <v>0.24559974633648962</v>
      </c>
      <c r="I117" s="44">
        <f>IFERROR('Horizontal Analysis'!I50/'Horizontal Analysis'!I$41,"")</f>
        <v>0.26860883674953839</v>
      </c>
      <c r="J117" s="44">
        <f>IFERROR('Horizontal Analysis'!J50/'Horizontal Analysis'!J$41,"")</f>
        <v>0.31954610704764508</v>
      </c>
      <c r="K117" s="44">
        <f>IFERROR('Horizontal Analysis'!K50/'Horizontal Analysis'!K$41,"")</f>
        <v>0.31229838471445959</v>
      </c>
      <c r="L117" s="44">
        <f>IFERROR('Horizontal Analysis'!L50/'Horizontal Analysis'!L$41,"")</f>
        <v>0.32539643333497997</v>
      </c>
      <c r="M117" s="44">
        <f>IFERROR('Horizontal Analysis'!M50/'Horizontal Analysis'!M$41,"")</f>
        <v>0.35749368949464677</v>
      </c>
      <c r="N117" s="44">
        <f>IFERROR('Horizontal Analysis'!N50/'Horizontal Analysis'!N$41,"")</f>
        <v>0.43651259372652407</v>
      </c>
      <c r="O117" s="44">
        <f>IFERROR('Horizontal Analysis'!O50/'Horizontal Analysis'!O$41,"")</f>
        <v>0.41212423741360188</v>
      </c>
      <c r="P117" s="44">
        <f>IFERROR('Horizontal Analysis'!P50/'Horizontal Analysis'!P$41,"")</f>
        <v>0.48329223519096937</v>
      </c>
      <c r="Q117" s="44">
        <f>IFERROR('Horizontal Analysis'!Q50/'Horizontal Analysis'!Q$41,"")</f>
        <v>0.4610581754309781</v>
      </c>
    </row>
    <row r="118" spans="1:17"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</row>
    <row r="119" spans="1:17">
      <c r="A119" t="s">
        <v>40</v>
      </c>
      <c r="B119" s="41">
        <f>IFERROR(B52/B$41,"")</f>
        <v>0</v>
      </c>
      <c r="C119" s="41">
        <f>IFERROR('Horizontal Analysis'!C52/'Horizontal Analysis'!C$41,"")</f>
        <v>0</v>
      </c>
      <c r="D119" s="41">
        <f>IFERROR('Horizontal Analysis'!D52/'Horizontal Analysis'!D$41,"")</f>
        <v>0</v>
      </c>
      <c r="E119" s="41">
        <f>IFERROR('Horizontal Analysis'!E52/'Horizontal Analysis'!E$41,"")</f>
        <v>8.1932367149758448E-2</v>
      </c>
      <c r="F119" s="41">
        <f>IFERROR('Horizontal Analysis'!F52/'Horizontal Analysis'!F$41,"")</f>
        <v>0.12503073253421557</v>
      </c>
      <c r="G119" s="41">
        <f>IFERROR('Horizontal Analysis'!G52/'Horizontal Analysis'!G$41,"")</f>
        <v>0.18405117065261173</v>
      </c>
      <c r="H119" s="41">
        <f>IFERROR('Horizontal Analysis'!H52/'Horizontal Analysis'!H$41,"")</f>
        <v>0.23447399016432172</v>
      </c>
      <c r="I119" s="41">
        <f>IFERROR('Horizontal Analysis'!I52/'Horizontal Analysis'!I$41,"")</f>
        <v>0.25899834540750666</v>
      </c>
      <c r="J119" s="41">
        <f>IFERROR('Horizontal Analysis'!J52/'Horizontal Analysis'!J$41,"")</f>
        <v>0.25629913186137127</v>
      </c>
      <c r="K119" s="41">
        <f>IFERROR('Horizontal Analysis'!K52/'Horizontal Analysis'!K$41,"")</f>
        <v>0.27120431530562811</v>
      </c>
      <c r="L119" s="41">
        <f>IFERROR('Horizontal Analysis'!L52/'Horizontal Analysis'!L$41,"")</f>
        <v>0.30463308304105124</v>
      </c>
      <c r="M119" s="41">
        <f>IFERROR('Horizontal Analysis'!M52/'Horizontal Analysis'!M$41,"")</f>
        <v>0.31084153366647482</v>
      </c>
      <c r="N119" s="41">
        <f>IFERROR('Horizontal Analysis'!N52/'Horizontal Analysis'!N$41,"")</f>
        <v>0.28053181386514719</v>
      </c>
      <c r="O119" s="41">
        <f>IFERROR('Horizontal Analysis'!O52/'Horizontal Analysis'!O$41,"")</f>
        <v>0.27023707892893306</v>
      </c>
      <c r="P119" s="41">
        <f>IFERROR('Horizontal Analysis'!P52/'Horizontal Analysis'!P$41,"")</f>
        <v>0.23494438051400077</v>
      </c>
      <c r="Q119" s="41">
        <f>IFERROR('Horizontal Analysis'!Q52/'Horizontal Analysis'!Q$41,"")</f>
        <v>0.21803747345097024</v>
      </c>
    </row>
    <row r="120" spans="1:17">
      <c r="A120" t="s">
        <v>41</v>
      </c>
      <c r="B120" s="41">
        <f>IFERROR(B53/B$41,"")</f>
        <v>1.5149701395262227E-2</v>
      </c>
      <c r="C120" s="41">
        <f>IFERROR('Horizontal Analysis'!C53/'Horizontal Analysis'!C$41,"")</f>
        <v>1.4488145672031692E-2</v>
      </c>
      <c r="D120" s="41">
        <f>IFERROR('Horizontal Analysis'!D53/'Horizontal Analysis'!D$41,"")</f>
        <v>1.5039985459832789E-2</v>
      </c>
      <c r="E120" s="41">
        <f>IFERROR('Horizontal Analysis'!E53/'Horizontal Analysis'!E$41,"")</f>
        <v>1.2681159420289856E-2</v>
      </c>
      <c r="F120" s="41">
        <f>IFERROR('Horizontal Analysis'!F53/'Horizontal Analysis'!F$41,"")</f>
        <v>1.3073727888750383E-2</v>
      </c>
      <c r="G120" s="41">
        <f>IFERROR('Horizontal Analysis'!G53/'Horizontal Analysis'!G$41,"")</f>
        <v>1.2475944904795182E-2</v>
      </c>
      <c r="H120" s="41">
        <f>IFERROR('Horizontal Analysis'!H53/'Horizontal Analysis'!H$41,"")</f>
        <v>9.1082608506431739E-3</v>
      </c>
      <c r="I120" s="41">
        <f>IFERROR('Horizontal Analysis'!I53/'Horizontal Analysis'!I$41,"")</f>
        <v>7.5562388261718695E-3</v>
      </c>
      <c r="J120" s="41">
        <f>IFERROR('Horizontal Analysis'!J53/'Horizontal Analysis'!J$41,"")</f>
        <v>7.6478228176908884E-3</v>
      </c>
      <c r="K120" s="41">
        <f>IFERROR('Horizontal Analysis'!K53/'Horizontal Analysis'!K$41,"")</f>
        <v>0</v>
      </c>
      <c r="L120" s="41">
        <f>IFERROR('Horizontal Analysis'!L53/'Horizontal Analysis'!L$41,"")</f>
        <v>0</v>
      </c>
      <c r="M120" s="41">
        <f>IFERROR('Horizontal Analysis'!M53/'Horizontal Analysis'!M$41,"")</f>
        <v>0</v>
      </c>
      <c r="N120" s="41">
        <f>IFERROR('Horizontal Analysis'!N53/'Horizontal Analysis'!N$41,"")</f>
        <v>0</v>
      </c>
      <c r="O120" s="41">
        <f>IFERROR('Horizontal Analysis'!O53/'Horizontal Analysis'!O$41,"")</f>
        <v>0</v>
      </c>
      <c r="P120" s="41">
        <f>IFERROR('Horizontal Analysis'!P53/'Horizontal Analysis'!P$41,"")</f>
        <v>0</v>
      </c>
      <c r="Q120" s="41">
        <f>IFERROR('Horizontal Analysis'!Q53/'Horizontal Analysis'!Q$41,"")</f>
        <v>0</v>
      </c>
    </row>
    <row r="121" spans="1:17">
      <c r="A121" t="s">
        <v>42</v>
      </c>
      <c r="B121" s="41">
        <f>IFERROR(B54/B$41,"")</f>
        <v>7.3567162789460377E-2</v>
      </c>
      <c r="C121" s="41">
        <f>IFERROR('Horizontal Analysis'!C54/'Horizontal Analysis'!C$41,"")</f>
        <v>8.6791382732811437E-2</v>
      </c>
      <c r="D121" s="41">
        <f>IFERROR('Horizontal Analysis'!D54/'Horizontal Analysis'!D$41,"")</f>
        <v>9.4647400945110871E-2</v>
      </c>
      <c r="E121" s="41">
        <f>IFERROR('Horizontal Analysis'!E54/'Horizontal Analysis'!E$41,"")</f>
        <v>9.7623188405797104E-2</v>
      </c>
      <c r="F121" s="41">
        <f>IFERROR('Horizontal Analysis'!F54/'Horizontal Analysis'!F$41,"")</f>
        <v>0.10708293255233158</v>
      </c>
      <c r="G121" s="41">
        <f>IFERROR('Horizontal Analysis'!G54/'Horizontal Analysis'!G$41,"")</f>
        <v>0.11507544435225954</v>
      </c>
      <c r="H121" s="41">
        <f>IFERROR('Horizontal Analysis'!H54/'Horizontal Analysis'!H$41,"")</f>
        <v>0.11214041021368663</v>
      </c>
      <c r="I121" s="41">
        <f>IFERROR('Horizontal Analysis'!I54/'Horizontal Analysis'!I$41,"")</f>
        <v>0.10768173207324969</v>
      </c>
      <c r="J121" s="41">
        <f>IFERROR('Horizontal Analysis'!J54/'Horizontal Analysis'!J$41,"")</f>
        <v>0.12353544329755964</v>
      </c>
      <c r="K121" s="41">
        <f>IFERROR('Horizontal Analysis'!K54/'Horizontal Analysis'!K$41,"")</f>
        <v>0.14918940315967341</v>
      </c>
      <c r="L121" s="41">
        <f>IFERROR('Horizontal Analysis'!L54/'Horizontal Analysis'!L$41,"")</f>
        <v>0.16823716840389272</v>
      </c>
      <c r="M121" s="41">
        <f>IFERROR('Horizontal Analysis'!M54/'Horizontal Analysis'!M$41,"")</f>
        <v>0.15192221126945146</v>
      </c>
      <c r="N121" s="41">
        <f>IFERROR('Horizontal Analysis'!N54/'Horizontal Analysis'!N$41,"")</f>
        <v>0.13930915224447563</v>
      </c>
      <c r="O121" s="41">
        <f>IFERROR('Horizontal Analysis'!O54/'Horizontal Analysis'!O$41,"")</f>
        <v>0.14137947660550848</v>
      </c>
      <c r="P121" s="41">
        <f>IFERROR('Horizontal Analysis'!P54/'Horizontal Analysis'!P$41,"")</f>
        <v>0.12572743711984219</v>
      </c>
      <c r="Q121" s="41">
        <f>IFERROR('Horizontal Analysis'!Q54/'Horizontal Analysis'!Q$41,"")</f>
        <v>0.11565773394462213</v>
      </c>
    </row>
    <row r="122" spans="1:17">
      <c r="A122" s="43" t="s">
        <v>43</v>
      </c>
      <c r="B122" s="44">
        <f>IFERROR(B55/B$41,"")</f>
        <v>8.8716864184722605E-2</v>
      </c>
      <c r="C122" s="44">
        <f>IFERROR('Horizontal Analysis'!C55/'Horizontal Analysis'!C$41,"")</f>
        <v>0.10127952840484312</v>
      </c>
      <c r="D122" s="44">
        <f>IFERROR('Horizontal Analysis'!D55/'Horizontal Analysis'!D$41,"")</f>
        <v>0.10968738640494366</v>
      </c>
      <c r="E122" s="44">
        <f>IFERROR('Horizontal Analysis'!E55/'Horizontal Analysis'!E$41,"")</f>
        <v>0.19223671497584541</v>
      </c>
      <c r="F122" s="44">
        <f>IFERROR('Horizontal Analysis'!F55/'Horizontal Analysis'!F$41,"")</f>
        <v>0.24518739297529751</v>
      </c>
      <c r="G122" s="44">
        <f>IFERROR('Horizontal Analysis'!G55/'Horizontal Analysis'!G$41,"")</f>
        <v>0.31160255990966645</v>
      </c>
      <c r="H122" s="44">
        <f>IFERROR('Horizontal Analysis'!H55/'Horizontal Analysis'!H$41,"")</f>
        <v>0.35572266122865154</v>
      </c>
      <c r="I122" s="44">
        <f>IFERROR('Horizontal Analysis'!I55/'Horizontal Analysis'!I$41,"")</f>
        <v>0.37423631630692822</v>
      </c>
      <c r="J122" s="44">
        <f>IFERROR('Horizontal Analysis'!J55/'Horizontal Analysis'!J$41,"")</f>
        <v>0.38748239797662176</v>
      </c>
      <c r="K122" s="44">
        <f>IFERROR('Horizontal Analysis'!K55/'Horizontal Analysis'!K$41,"")</f>
        <v>0.42039371846530149</v>
      </c>
      <c r="L122" s="44">
        <f>IFERROR('Horizontal Analysis'!L55/'Horizontal Analysis'!L$41,"")</f>
        <v>0.47287025144494393</v>
      </c>
      <c r="M122" s="44">
        <f>IFERROR('Horizontal Analysis'!M55/'Horizontal Analysis'!M$41,"")</f>
        <v>0.46276374493592631</v>
      </c>
      <c r="N122" s="44">
        <f>IFERROR('Horizontal Analysis'!N55/'Horizontal Analysis'!N$41,"")</f>
        <v>0.41984096610962285</v>
      </c>
      <c r="O122" s="44">
        <f>IFERROR('Horizontal Analysis'!O55/'Horizontal Analysis'!O$41,"")</f>
        <v>0.41161655553444154</v>
      </c>
      <c r="P122" s="44">
        <f>IFERROR('Horizontal Analysis'!P55/'Horizontal Analysis'!P$41,"")</f>
        <v>0.36067181763384293</v>
      </c>
      <c r="Q122" s="44">
        <f>IFERROR('Horizontal Analysis'!Q55/'Horizontal Analysis'!Q$41,"")</f>
        <v>0.33369520739559239</v>
      </c>
    </row>
    <row r="123" spans="1:17">
      <c r="A123" s="43" t="s">
        <v>44</v>
      </c>
      <c r="B123" s="44">
        <f>IFERROR(B56/B$41,"")</f>
        <v>0.36433768272082784</v>
      </c>
      <c r="C123" s="44">
        <f>IFERROR('Horizontal Analysis'!C56/'Horizontal Analysis'!C$41,"")</f>
        <v>0.34163150613125265</v>
      </c>
      <c r="D123" s="44">
        <f>IFERROR('Horizontal Analysis'!D56/'Horizontal Analysis'!D$41,"")</f>
        <v>0.32859641948382406</v>
      </c>
      <c r="E123" s="44">
        <f>IFERROR('Horizontal Analysis'!E56/'Horizontal Analysis'!E$41,"")</f>
        <v>0.40314492753623188</v>
      </c>
      <c r="F123" s="44">
        <f>IFERROR('Horizontal Analysis'!F56/'Horizontal Analysis'!F$41,"")</f>
        <v>0.51886007099754572</v>
      </c>
      <c r="G123" s="44">
        <f>IFERROR('Horizontal Analysis'!G56/'Horizontal Analysis'!G$41,"")</f>
        <v>0.58910971188967187</v>
      </c>
      <c r="H123" s="44">
        <f>IFERROR('Horizontal Analysis'!H56/'Horizontal Analysis'!H$41,"")</f>
        <v>0.60132240756514121</v>
      </c>
      <c r="I123" s="44">
        <f>IFERROR('Horizontal Analysis'!I56/'Horizontal Analysis'!I$41,"")</f>
        <v>0.64284515305646661</v>
      </c>
      <c r="J123" s="44">
        <f>IFERROR('Horizontal Analysis'!J56/'Horizontal Analysis'!J$41,"")</f>
        <v>0.70702850502426684</v>
      </c>
      <c r="K123" s="44">
        <f>IFERROR('Horizontal Analysis'!K56/'Horizontal Analysis'!K$41,"")</f>
        <v>0.73269210317976108</v>
      </c>
      <c r="L123" s="44">
        <f>IFERROR('Horizontal Analysis'!L56/'Horizontal Analysis'!L$41,"")</f>
        <v>0.79826668477992391</v>
      </c>
      <c r="M123" s="44">
        <f>IFERROR('Horizontal Analysis'!M56/'Horizontal Analysis'!M$41,"")</f>
        <v>0.82025743443057308</v>
      </c>
      <c r="N123" s="44">
        <f>IFERROR('Horizontal Analysis'!N56/'Horizontal Analysis'!N$41,"")</f>
        <v>0.85635355983614692</v>
      </c>
      <c r="O123" s="44">
        <f>IFERROR('Horizontal Analysis'!O56/'Horizontal Analysis'!O$41,"")</f>
        <v>0.82374079294804348</v>
      </c>
      <c r="P123" s="44">
        <f>IFERROR('Horizontal Analysis'!P56/'Horizontal Analysis'!P$41,"")</f>
        <v>0.84396405282481235</v>
      </c>
      <c r="Q123" s="44">
        <f>IFERROR('Horizontal Analysis'!Q56/'Horizontal Analysis'!Q$41,"")</f>
        <v>0.79475338282657049</v>
      </c>
    </row>
    <row r="124" spans="1:17"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</row>
    <row r="125" spans="1:17">
      <c r="A125" t="s">
        <v>45</v>
      </c>
      <c r="B125" s="41">
        <f t="shared" ref="B125:B130" si="3">IFERROR(B58/B$41,"")</f>
        <v>0.14189377917880372</v>
      </c>
      <c r="C125" s="41">
        <f>IFERROR('Horizontal Analysis'!C58/'Horizontal Analysis'!C$41,"")</f>
        <v>0.11455603200109993</v>
      </c>
      <c r="D125" s="41">
        <f>IFERROR('Horizontal Analysis'!D58/'Horizontal Analysis'!D$41,"")</f>
        <v>9.3272900763358785E-2</v>
      </c>
      <c r="E125" s="41">
        <f>IFERROR('Horizontal Analysis'!E58/'Horizontal Analysis'!E$41,"")</f>
        <v>9.5478260869565221E-2</v>
      </c>
      <c r="F125" s="41">
        <f>IFERROR('Horizontal Analysis'!F58/'Horizontal Analysis'!F$41,"")</f>
        <v>0.10055685195329518</v>
      </c>
      <c r="G125" s="41">
        <f>IFERROR('Horizontal Analysis'!G58/'Horizontal Analysis'!G$41,"")</f>
        <v>9.438203794422316E-2</v>
      </c>
      <c r="H125" s="41">
        <f>IFERROR('Horizontal Analysis'!H58/'Horizontal Analysis'!H$41,"")</f>
        <v>9.714752895680881E-2</v>
      </c>
      <c r="I125" s="41">
        <f>IFERROR('Horizontal Analysis'!I58/'Horizontal Analysis'!I$41,"")</f>
        <v>9.5564040189811864E-2</v>
      </c>
      <c r="J125" s="41">
        <f>IFERROR('Horizontal Analysis'!J58/'Horizontal Analysis'!J$41,"")</f>
        <v>0.109921389021806</v>
      </c>
      <c r="K125" s="41">
        <f>IFERROR('Horizontal Analysis'!K58/'Horizontal Analysis'!K$41,"")</f>
        <v>0.13344716350187288</v>
      </c>
      <c r="L125" s="41">
        <f>IFERROR('Horizontal Analysis'!L58/'Horizontal Analysis'!L$41,"")</f>
        <v>0.15677950402608309</v>
      </c>
      <c r="M125" s="41">
        <f>IFERROR('Horizontal Analysis'!M58/'Horizontal Analysis'!M$41,"")</f>
        <v>0.16343211719591341</v>
      </c>
      <c r="N125" s="41">
        <f>IFERROR('Horizontal Analysis'!N58/'Horizontal Analysis'!N$41,"")</f>
        <v>0.18383580672137886</v>
      </c>
      <c r="O125" s="41">
        <f>IFERROR('Horizontal Analysis'!O58/'Horizontal Analysis'!O$41,"")</f>
        <v>0.20934645175745853</v>
      </c>
      <c r="P125" s="41">
        <f>IFERROR('Horizontal Analysis'!P58/'Horizontal Analysis'!P$41,"")</f>
        <v>0.22816592690010412</v>
      </c>
      <c r="Q125" s="41">
        <f>IFERROR('Horizontal Analysis'!Q58/'Horizontal Analysis'!Q$41,"")</f>
        <v>0.26046024813426083</v>
      </c>
    </row>
    <row r="126" spans="1:17">
      <c r="A126" t="s">
        <v>46</v>
      </c>
      <c r="B126" s="41">
        <f t="shared" si="3"/>
        <v>0.49438037854302169</v>
      </c>
      <c r="C126" s="41">
        <f>IFERROR('Horizontal Analysis'!C59/'Horizontal Analysis'!C$41,"")</f>
        <v>0.54000567151609935</v>
      </c>
      <c r="D126" s="41">
        <f>IFERROR('Horizontal Analysis'!D59/'Horizontal Analysis'!D$41,"")</f>
        <v>0.57529648309705561</v>
      </c>
      <c r="E126" s="41">
        <f>IFERROR('Horizontal Analysis'!E59/'Horizontal Analysis'!E$41,"")</f>
        <v>0.50365217391304351</v>
      </c>
      <c r="F126" s="41">
        <f>IFERROR('Horizontal Analysis'!F59/'Horizontal Analysis'!F$41,"")</f>
        <v>0.37591604518653032</v>
      </c>
      <c r="G126" s="41">
        <f>IFERROR('Horizontal Analysis'!G59/'Horizontal Analysis'!G$41,"")</f>
        <v>0.31769594359661113</v>
      </c>
      <c r="H126" s="41">
        <f>IFERROR('Horizontal Analysis'!H59/'Horizontal Analysis'!H$41,"")</f>
        <v>0.2995591974782863</v>
      </c>
      <c r="I126" s="41">
        <f>IFERROR('Horizontal Analysis'!I59/'Horizontal Analysis'!I$41,"")</f>
        <v>0.26199046677626231</v>
      </c>
      <c r="J126" s="41">
        <f>IFERROR('Horizontal Analysis'!J59/'Horizontal Analysis'!J$41,"")</f>
        <v>0.19249436051678173</v>
      </c>
      <c r="K126" s="41">
        <f>IFERROR('Horizontal Analysis'!K59/'Horizontal Analysis'!K$41,"")</f>
        <v>0.1355859102671661</v>
      </c>
      <c r="L126" s="41">
        <f>IFERROR('Horizontal Analysis'!L59/'Horizontal Analysis'!L$41,"")</f>
        <v>4.6207330929210096E-2</v>
      </c>
      <c r="M126" s="41">
        <f>IFERROR('Horizontal Analysis'!M59/'Horizontal Analysis'!M$41,"")</f>
        <v>1.5846063555193416E-2</v>
      </c>
      <c r="N126" s="41">
        <f>IFERROR('Horizontal Analysis'!N59/'Horizontal Analysis'!N$41,"")</f>
        <v>0</v>
      </c>
      <c r="O126" s="41">
        <f>IFERROR('Horizontal Analysis'!O59/'Horizontal Analysis'!O$41,"")</f>
        <v>0</v>
      </c>
      <c r="P126" s="41">
        <f>IFERROR('Horizontal Analysis'!P59/'Horizontal Analysis'!P$41,"")</f>
        <v>0</v>
      </c>
      <c r="Q126" s="41">
        <f>IFERROR('Horizontal Analysis'!Q59/'Horizontal Analysis'!Q$41,"")</f>
        <v>0</v>
      </c>
    </row>
    <row r="127" spans="1:17">
      <c r="A127" t="s">
        <v>47</v>
      </c>
      <c r="B127" s="41">
        <f t="shared" si="3"/>
        <v>0</v>
      </c>
      <c r="C127" s="41">
        <f>IFERROR('Horizontal Analysis'!C60/'Horizontal Analysis'!C$41,"")</f>
        <v>0</v>
      </c>
      <c r="D127" s="41">
        <f>IFERROR('Horizontal Analysis'!D60/'Horizontal Analysis'!D$41,"")</f>
        <v>0</v>
      </c>
      <c r="E127" s="41">
        <f>IFERROR('Horizontal Analysis'!E60/'Horizontal Analysis'!E$41,"")</f>
        <v>0</v>
      </c>
      <c r="F127" s="41">
        <f>IFERROR('Horizontal Analysis'!F60/'Horizontal Analysis'!F$41,"")</f>
        <v>0</v>
      </c>
      <c r="G127" s="41">
        <f>IFERROR('Horizontal Analysis'!G60/'Horizontal Analysis'!G$41,"")</f>
        <v>0</v>
      </c>
      <c r="H127" s="41">
        <f>IFERROR('Horizontal Analysis'!H60/'Horizontal Analysis'!H$41,"")</f>
        <v>0</v>
      </c>
      <c r="I127" s="41">
        <f>IFERROR('Horizontal Analysis'!I60/'Horizontal Analysis'!I$41,"")</f>
        <v>0</v>
      </c>
      <c r="J127" s="41">
        <f>IFERROR('Horizontal Analysis'!J60/'Horizontal Analysis'!J$41,"")</f>
        <v>0</v>
      </c>
      <c r="K127" s="41">
        <f>IFERROR('Horizontal Analysis'!K60/'Horizontal Analysis'!K$41,"")</f>
        <v>0</v>
      </c>
      <c r="L127" s="41">
        <f>IFERROR('Horizontal Analysis'!L60/'Horizontal Analysis'!L$41,"")</f>
        <v>0</v>
      </c>
      <c r="M127" s="41">
        <f>IFERROR('Horizontal Analysis'!M60/'Horizontal Analysis'!M$41,"")</f>
        <v>0</v>
      </c>
      <c r="N127" s="41">
        <f>IFERROR('Horizontal Analysis'!N60/'Horizontal Analysis'!N$41,"")</f>
        <v>-8.6972544683987466E-3</v>
      </c>
      <c r="O127" s="41">
        <f>IFERROR('Horizontal Analysis'!O60/'Horizontal Analysis'!O$41,"")</f>
        <v>-6.0694928570010471E-4</v>
      </c>
      <c r="P127" s="41">
        <f>IFERROR('Horizontal Analysis'!P60/'Horizontal Analysis'!P$41,"")</f>
        <v>-5.24795879226259E-2</v>
      </c>
      <c r="Q127" s="41">
        <f>IFERROR('Horizontal Analysis'!Q60/'Horizontal Analysis'!Q$41,"")</f>
        <v>-3.9705935569715037E-2</v>
      </c>
    </row>
    <row r="128" spans="1:17">
      <c r="A128" t="s">
        <v>48</v>
      </c>
      <c r="B128" s="41">
        <f t="shared" si="3"/>
        <v>-6.1184044265325942E-4</v>
      </c>
      <c r="C128" s="41">
        <f>IFERROR('Horizontal Analysis'!C61/'Horizontal Analysis'!C$41,"")</f>
        <v>3.8067903515480663E-3</v>
      </c>
      <c r="D128" s="41">
        <f>IFERROR('Horizontal Analysis'!D61/'Horizontal Analysis'!D$41,"")</f>
        <v>2.8341966557615412E-3</v>
      </c>
      <c r="E128" s="41">
        <f>IFERROR('Horizontal Analysis'!E61/'Horizontal Analysis'!E$41,"")</f>
        <v>-2.2753623188405798E-3</v>
      </c>
      <c r="F128" s="41">
        <f>IFERROR('Horizontal Analysis'!F61/'Horizontal Analysis'!F$41,"")</f>
        <v>4.6670318626288072E-3</v>
      </c>
      <c r="G128" s="41">
        <f>IFERROR('Horizontal Analysis'!G61/'Horizontal Analysis'!G$41,"")</f>
        <v>-1.187693430506164E-3</v>
      </c>
      <c r="H128" s="41">
        <f>IFERROR('Horizontal Analysis'!H61/'Horizontal Analysis'!H$41,"")</f>
        <v>1.9708659997637449E-3</v>
      </c>
      <c r="I128" s="41">
        <f>IFERROR('Horizontal Analysis'!I61/'Horizontal Analysis'!I$41,"")</f>
        <v>-3.9966002254082525E-4</v>
      </c>
      <c r="J128" s="41">
        <f>IFERROR('Horizontal Analysis'!J61/'Horizontal Analysis'!J$41,"")</f>
        <v>-9.4442545628546041E-3</v>
      </c>
      <c r="K128" s="41">
        <f>IFERROR('Horizontal Analysis'!K61/'Horizontal Analysis'!K$41,"")</f>
        <v>-1.7251769488000567E-3</v>
      </c>
      <c r="L128" s="41">
        <f>IFERROR('Horizontal Analysis'!L61/'Horizontal Analysis'!L$41,"")</f>
        <v>-1.253519735217112E-3</v>
      </c>
      <c r="M128" s="41">
        <f>IFERROR('Horizontal Analysis'!M61/'Horizontal Analysis'!M$41,"")</f>
        <v>4.6438481832012355E-4</v>
      </c>
      <c r="N128" s="41">
        <f>IFERROR('Horizontal Analysis'!N61/'Horizontal Analysis'!N$41,"")</f>
        <v>-3.1492112089127014E-2</v>
      </c>
      <c r="O128" s="41">
        <f>IFERROR('Horizontal Analysis'!O61/'Horizontal Analysis'!O$41,"")</f>
        <v>-3.2480295419801859E-2</v>
      </c>
      <c r="P128" s="41">
        <f>IFERROR('Horizontal Analysis'!P61/'Horizontal Analysis'!P$41,"")</f>
        <v>-1.9650391802290536E-2</v>
      </c>
      <c r="Q128" s="41">
        <f>IFERROR('Horizontal Analysis'!Q61/'Horizontal Analysis'!Q$41,"")</f>
        <v>-1.550769539111627E-2</v>
      </c>
    </row>
    <row r="129" spans="1:17">
      <c r="A129" s="43" t="s">
        <v>49</v>
      </c>
      <c r="B129" s="44">
        <f t="shared" si="3"/>
        <v>0.63566231727917211</v>
      </c>
      <c r="C129" s="44">
        <f>IFERROR('Horizontal Analysis'!C62/'Horizontal Analysis'!C$41,"")</f>
        <v>0.65836849386874741</v>
      </c>
      <c r="D129" s="44">
        <f>IFERROR('Horizontal Analysis'!D62/'Horizontal Analysis'!D$41,"")</f>
        <v>0.67140358051617599</v>
      </c>
      <c r="E129" s="44">
        <f>IFERROR('Horizontal Analysis'!E62/'Horizontal Analysis'!E$41,"")</f>
        <v>0.59685507246376812</v>
      </c>
      <c r="F129" s="44">
        <f>IFERROR('Horizontal Analysis'!F62/'Horizontal Analysis'!F$41,"")</f>
        <v>0.48113992900245428</v>
      </c>
      <c r="G129" s="44">
        <f>IFERROR('Horizontal Analysis'!G62/'Horizontal Analysis'!G$41,"")</f>
        <v>0.41089028811032813</v>
      </c>
      <c r="H129" s="44">
        <f>IFERROR('Horizontal Analysis'!H62/'Horizontal Analysis'!H$41,"")</f>
        <v>0.39867759243485884</v>
      </c>
      <c r="I129" s="44">
        <f>IFERROR('Horizontal Analysis'!I62/'Horizontal Analysis'!I$41,"")</f>
        <v>0.35715484694353339</v>
      </c>
      <c r="J129" s="44">
        <f>IFERROR('Horizontal Analysis'!J62/'Horizontal Analysis'!J$41,"")</f>
        <v>0.29297149497573316</v>
      </c>
      <c r="K129" s="44">
        <f>IFERROR('Horizontal Analysis'!K62/'Horizontal Analysis'!K$41,"")</f>
        <v>0.26730789682023892</v>
      </c>
      <c r="L129" s="44">
        <f>IFERROR('Horizontal Analysis'!L62/'Horizontal Analysis'!L$41,"")</f>
        <v>0.20173331522007606</v>
      </c>
      <c r="M129" s="44">
        <f>IFERROR('Horizontal Analysis'!M62/'Horizontal Analysis'!M$41,"")</f>
        <v>0.17974256556942694</v>
      </c>
      <c r="N129" s="44">
        <f>IFERROR('Horizontal Analysis'!N62/'Horizontal Analysis'!N$41,"")</f>
        <v>0.14364644016385311</v>
      </c>
      <c r="O129" s="44">
        <f>IFERROR('Horizontal Analysis'!O62/'Horizontal Analysis'!O$41,"")</f>
        <v>0.17625920705195655</v>
      </c>
      <c r="P129" s="44">
        <f>IFERROR('Horizontal Analysis'!P62/'Horizontal Analysis'!P$41,"")</f>
        <v>0.15603594717518768</v>
      </c>
      <c r="Q129" s="44">
        <f>IFERROR('Horizontal Analysis'!Q62/'Horizontal Analysis'!Q$41,"")</f>
        <v>0.20524661717342954</v>
      </c>
    </row>
    <row r="130" spans="1:17">
      <c r="A130" s="43" t="s">
        <v>50</v>
      </c>
      <c r="B130" s="44">
        <f t="shared" si="3"/>
        <v>1</v>
      </c>
      <c r="C130" s="44">
        <f>IFERROR('Horizontal Analysis'!C63/'Horizontal Analysis'!C$41,"")</f>
        <v>1</v>
      </c>
      <c r="D130" s="44">
        <f>IFERROR('Horizontal Analysis'!D63/'Horizontal Analysis'!D$41,"")</f>
        <v>1</v>
      </c>
      <c r="E130" s="44">
        <f>IFERROR('Horizontal Analysis'!E63/'Horizontal Analysis'!E$41,"")</f>
        <v>1</v>
      </c>
      <c r="F130" s="44">
        <f>IFERROR('Horizontal Analysis'!F63/'Horizontal Analysis'!F$41,"")</f>
        <v>1</v>
      </c>
      <c r="G130" s="44">
        <f>IFERROR('Horizontal Analysis'!G63/'Horizontal Analysis'!G$41,"")</f>
        <v>1</v>
      </c>
      <c r="H130" s="44">
        <f>IFERROR('Horizontal Analysis'!H63/'Horizontal Analysis'!H$41,"")</f>
        <v>1</v>
      </c>
      <c r="I130" s="44">
        <f>IFERROR('Horizontal Analysis'!I63/'Horizontal Analysis'!I$41,"")</f>
        <v>1</v>
      </c>
      <c r="J130" s="44">
        <f>IFERROR('Horizontal Analysis'!J63/'Horizontal Analysis'!J$41,"")</f>
        <v>1</v>
      </c>
      <c r="K130" s="44">
        <f>IFERROR('Horizontal Analysis'!K63/'Horizontal Analysis'!K$41,"")</f>
        <v>1</v>
      </c>
      <c r="L130" s="44">
        <f>IFERROR('Horizontal Analysis'!L63/'Horizontal Analysis'!L$41,"")</f>
        <v>1</v>
      </c>
      <c r="M130" s="44">
        <f>IFERROR('Horizontal Analysis'!M63/'Horizontal Analysis'!M$41,"")</f>
        <v>1</v>
      </c>
      <c r="N130" s="44">
        <f>IFERROR('Horizontal Analysis'!N63/'Horizontal Analysis'!N$41,"")</f>
        <v>1</v>
      </c>
      <c r="O130" s="44">
        <f>IFERROR('Horizontal Analysis'!O63/'Horizontal Analysis'!O$41,"")</f>
        <v>1</v>
      </c>
      <c r="P130" s="44">
        <f>IFERROR('Horizontal Analysis'!P63/'Horizontal Analysis'!P$41,"")</f>
        <v>1</v>
      </c>
      <c r="Q130" s="44">
        <f>IFERROR('Horizontal Analysis'!Q63/'Horizontal Analysis'!Q$41,"")</f>
        <v>1</v>
      </c>
    </row>
    <row r="131" spans="1:17"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</row>
    <row r="132" spans="1:17">
      <c r="A132" t="s">
        <v>54</v>
      </c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</row>
    <row r="133" spans="1:17">
      <c r="A133" t="s">
        <v>55</v>
      </c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</row>
  </sheetData>
  <mergeCells count="1">
    <mergeCell ref="A4:B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Q133"/>
  <sheetViews>
    <sheetView workbookViewId="0"/>
  </sheetViews>
  <sheetFormatPr defaultRowHeight="14.4"/>
  <cols>
    <col min="1" max="1" width="42" customWidth="1"/>
    <col min="2" max="17" width="14" customWidth="1"/>
  </cols>
  <sheetData>
    <row r="2" spans="1:17">
      <c r="A2" s="1" t="s">
        <v>0</v>
      </c>
      <c r="B2" s="2">
        <v>2010</v>
      </c>
      <c r="C2" s="2">
        <v>2011</v>
      </c>
      <c r="D2" s="2">
        <v>2012</v>
      </c>
      <c r="E2" s="2">
        <v>2013</v>
      </c>
      <c r="F2" s="3">
        <v>2014</v>
      </c>
      <c r="G2" s="3">
        <v>2015</v>
      </c>
      <c r="H2" s="3">
        <v>2016</v>
      </c>
      <c r="I2" s="3">
        <v>2017</v>
      </c>
      <c r="J2" s="3">
        <v>2018</v>
      </c>
      <c r="K2" s="3">
        <v>2019</v>
      </c>
      <c r="L2" s="3">
        <v>2020</v>
      </c>
      <c r="M2" s="3">
        <v>2021</v>
      </c>
      <c r="N2" s="3">
        <v>2022</v>
      </c>
      <c r="O2" s="3">
        <v>2023</v>
      </c>
      <c r="P2" s="3">
        <v>2024</v>
      </c>
      <c r="Q2" s="3">
        <v>2025</v>
      </c>
    </row>
    <row r="3" spans="1:17">
      <c r="A3" s="4"/>
      <c r="B3" s="5"/>
      <c r="C3" s="5"/>
      <c r="D3" s="5"/>
      <c r="E3" s="5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spans="1:17">
      <c r="A4" s="45" t="s">
        <v>1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</row>
    <row r="5" spans="1:17">
      <c r="A5" s="11" t="s">
        <v>2</v>
      </c>
      <c r="B5" s="12">
        <v>65225</v>
      </c>
      <c r="C5" s="12">
        <v>108249</v>
      </c>
      <c r="D5" s="12">
        <v>156508</v>
      </c>
      <c r="E5" s="13">
        <v>170910</v>
      </c>
      <c r="F5" s="14">
        <v>182795</v>
      </c>
      <c r="G5" s="14">
        <v>233715</v>
      </c>
      <c r="H5" s="14">
        <v>215639</v>
      </c>
      <c r="I5" s="14">
        <v>229234</v>
      </c>
      <c r="J5" s="14">
        <v>265595</v>
      </c>
      <c r="K5" s="15">
        <v>260174</v>
      </c>
      <c r="L5" s="15">
        <v>274515</v>
      </c>
      <c r="M5" s="15">
        <v>365817</v>
      </c>
      <c r="N5" s="15">
        <v>394328</v>
      </c>
      <c r="O5" s="15">
        <v>383285</v>
      </c>
      <c r="P5" s="15">
        <v>391035</v>
      </c>
      <c r="Q5" s="15">
        <v>416161</v>
      </c>
    </row>
    <row r="6" spans="1:17">
      <c r="A6" s="38" t="s">
        <v>3</v>
      </c>
      <c r="B6" s="37">
        <v>39541</v>
      </c>
      <c r="C6" s="37">
        <v>64431</v>
      </c>
      <c r="D6" s="37">
        <v>87846</v>
      </c>
      <c r="E6" s="37">
        <v>106606</v>
      </c>
      <c r="F6" s="37">
        <v>112258</v>
      </c>
      <c r="G6" s="37">
        <v>140089</v>
      </c>
      <c r="H6" s="37">
        <v>131376</v>
      </c>
      <c r="I6" s="37">
        <v>141048</v>
      </c>
      <c r="J6" s="37">
        <v>163756</v>
      </c>
      <c r="K6" s="37">
        <v>161782</v>
      </c>
      <c r="L6" s="37">
        <v>169559</v>
      </c>
      <c r="M6" s="37">
        <v>212981</v>
      </c>
      <c r="N6" s="37">
        <v>223546</v>
      </c>
      <c r="O6" s="37">
        <v>214137</v>
      </c>
      <c r="P6" s="37">
        <v>210352</v>
      </c>
      <c r="Q6" s="37">
        <v>220960</v>
      </c>
    </row>
    <row r="7" spans="1:17">
      <c r="A7" s="16" t="s">
        <v>4</v>
      </c>
      <c r="B7" s="17">
        <f>B5-B6</f>
        <v>25684</v>
      </c>
      <c r="C7" s="17">
        <f t="shared" ref="C7:Q7" si="0">C5-C6</f>
        <v>43818</v>
      </c>
      <c r="D7" s="17">
        <f t="shared" si="0"/>
        <v>68662</v>
      </c>
      <c r="E7" s="17">
        <f t="shared" si="0"/>
        <v>64304</v>
      </c>
      <c r="F7" s="17">
        <f t="shared" si="0"/>
        <v>70537</v>
      </c>
      <c r="G7" s="17">
        <f t="shared" si="0"/>
        <v>93626</v>
      </c>
      <c r="H7" s="17">
        <f t="shared" si="0"/>
        <v>84263</v>
      </c>
      <c r="I7" s="17">
        <f t="shared" si="0"/>
        <v>88186</v>
      </c>
      <c r="J7" s="17">
        <f t="shared" si="0"/>
        <v>101839</v>
      </c>
      <c r="K7" s="17">
        <f t="shared" si="0"/>
        <v>98392</v>
      </c>
      <c r="L7" s="17">
        <f t="shared" si="0"/>
        <v>104956</v>
      </c>
      <c r="M7" s="17">
        <f t="shared" si="0"/>
        <v>152836</v>
      </c>
      <c r="N7" s="17">
        <f t="shared" si="0"/>
        <v>170782</v>
      </c>
      <c r="O7" s="17">
        <f t="shared" si="0"/>
        <v>169148</v>
      </c>
      <c r="P7" s="17">
        <f t="shared" si="0"/>
        <v>180683</v>
      </c>
      <c r="Q7" s="17">
        <f t="shared" si="0"/>
        <v>195201</v>
      </c>
    </row>
    <row r="8" spans="1:17">
      <c r="L8" s="19"/>
    </row>
    <row r="9" spans="1:17">
      <c r="A9" t="s">
        <v>5</v>
      </c>
      <c r="B9" s="8">
        <v>1782</v>
      </c>
      <c r="C9" s="8">
        <v>2429</v>
      </c>
      <c r="D9" s="8">
        <v>3381</v>
      </c>
      <c r="E9" s="8">
        <v>4475</v>
      </c>
      <c r="F9" s="8">
        <v>6041</v>
      </c>
      <c r="G9" s="8">
        <v>8067</v>
      </c>
      <c r="H9" s="8">
        <v>10045</v>
      </c>
      <c r="I9" s="8">
        <v>11581</v>
      </c>
      <c r="J9" s="8">
        <v>14236</v>
      </c>
      <c r="K9" s="8">
        <v>16217</v>
      </c>
      <c r="L9" s="8">
        <v>18752</v>
      </c>
      <c r="M9" s="8">
        <v>21914</v>
      </c>
      <c r="N9" s="8">
        <v>26251</v>
      </c>
      <c r="O9" s="8">
        <v>29915</v>
      </c>
      <c r="P9" s="8">
        <v>31370</v>
      </c>
      <c r="Q9" s="8">
        <v>34550</v>
      </c>
    </row>
    <row r="10" spans="1:17">
      <c r="A10" t="s">
        <v>6</v>
      </c>
      <c r="B10" s="8">
        <v>5517</v>
      </c>
      <c r="C10" s="8">
        <v>7599</v>
      </c>
      <c r="D10" s="8">
        <v>10040</v>
      </c>
      <c r="E10" s="8">
        <v>10830</v>
      </c>
      <c r="F10" s="8">
        <v>11993</v>
      </c>
      <c r="G10" s="8">
        <v>14329</v>
      </c>
      <c r="H10" s="8">
        <v>14194</v>
      </c>
      <c r="I10" s="8">
        <v>15261</v>
      </c>
      <c r="J10" s="8">
        <v>16705</v>
      </c>
      <c r="K10" s="8">
        <v>18245</v>
      </c>
      <c r="L10" s="8">
        <v>19916</v>
      </c>
      <c r="M10" s="8">
        <v>21973</v>
      </c>
      <c r="N10" s="8">
        <v>25094</v>
      </c>
      <c r="O10" s="8">
        <v>24932</v>
      </c>
      <c r="P10" s="8">
        <v>26097</v>
      </c>
      <c r="Q10" s="8">
        <v>27601</v>
      </c>
    </row>
    <row r="11" spans="1:17">
      <c r="A11" s="16" t="s">
        <v>7</v>
      </c>
      <c r="B11" s="17">
        <f t="shared" ref="B11:Q11" si="1">B9+B10</f>
        <v>7299</v>
      </c>
      <c r="C11" s="17">
        <f t="shared" si="1"/>
        <v>10028</v>
      </c>
      <c r="D11" s="17">
        <f t="shared" si="1"/>
        <v>13421</v>
      </c>
      <c r="E11" s="17">
        <f t="shared" si="1"/>
        <v>15305</v>
      </c>
      <c r="F11" s="17">
        <f t="shared" si="1"/>
        <v>18034</v>
      </c>
      <c r="G11" s="17">
        <f t="shared" si="1"/>
        <v>22396</v>
      </c>
      <c r="H11" s="17">
        <f t="shared" si="1"/>
        <v>24239</v>
      </c>
      <c r="I11" s="17">
        <f t="shared" si="1"/>
        <v>26842</v>
      </c>
      <c r="J11" s="17">
        <f t="shared" si="1"/>
        <v>30941</v>
      </c>
      <c r="K11" s="17">
        <f t="shared" si="1"/>
        <v>34462</v>
      </c>
      <c r="L11" s="17">
        <f t="shared" si="1"/>
        <v>38668</v>
      </c>
      <c r="M11" s="17">
        <f t="shared" si="1"/>
        <v>43887</v>
      </c>
      <c r="N11" s="17">
        <f t="shared" si="1"/>
        <v>51345</v>
      </c>
      <c r="O11" s="17">
        <f t="shared" si="1"/>
        <v>54847</v>
      </c>
      <c r="P11" s="17">
        <f t="shared" si="1"/>
        <v>57467</v>
      </c>
      <c r="Q11" s="17">
        <f t="shared" si="1"/>
        <v>62151</v>
      </c>
    </row>
    <row r="12" spans="1:17">
      <c r="A12" s="16" t="s">
        <v>8</v>
      </c>
      <c r="B12" s="17">
        <f t="shared" ref="B12:Q12" si="2">B7-B11</f>
        <v>18385</v>
      </c>
      <c r="C12" s="17">
        <f t="shared" si="2"/>
        <v>33790</v>
      </c>
      <c r="D12" s="17">
        <f t="shared" si="2"/>
        <v>55241</v>
      </c>
      <c r="E12" s="17">
        <f t="shared" si="2"/>
        <v>48999</v>
      </c>
      <c r="F12" s="18">
        <f t="shared" si="2"/>
        <v>52503</v>
      </c>
      <c r="G12" s="18">
        <f t="shared" si="2"/>
        <v>71230</v>
      </c>
      <c r="H12" s="18">
        <f t="shared" si="2"/>
        <v>60024</v>
      </c>
      <c r="I12" s="18">
        <f t="shared" si="2"/>
        <v>61344</v>
      </c>
      <c r="J12" s="18">
        <f t="shared" si="2"/>
        <v>70898</v>
      </c>
      <c r="K12" s="18">
        <f t="shared" si="2"/>
        <v>63930</v>
      </c>
      <c r="L12" s="18">
        <f t="shared" si="2"/>
        <v>66288</v>
      </c>
      <c r="M12" s="18">
        <f t="shared" si="2"/>
        <v>108949</v>
      </c>
      <c r="N12" s="18">
        <f t="shared" si="2"/>
        <v>119437</v>
      </c>
      <c r="O12" s="18">
        <f t="shared" si="2"/>
        <v>114301</v>
      </c>
      <c r="P12" s="18">
        <f t="shared" si="2"/>
        <v>123216</v>
      </c>
      <c r="Q12" s="18">
        <f t="shared" si="2"/>
        <v>133050</v>
      </c>
    </row>
    <row r="13" spans="1:17">
      <c r="A13" s="9" t="s">
        <v>9</v>
      </c>
      <c r="B13" s="10" t="str">
        <f>IFERROR(B12/#REF!-1,"")</f>
        <v/>
      </c>
      <c r="C13" s="10">
        <f t="shared" ref="C13:Q13" si="3">IFERROR(C12/B12-1,"")</f>
        <v>0.83791134076692964</v>
      </c>
      <c r="D13" s="10">
        <f t="shared" si="3"/>
        <v>0.63483279076649901</v>
      </c>
      <c r="E13" s="10">
        <f t="shared" si="3"/>
        <v>-0.11299578211835415</v>
      </c>
      <c r="F13" s="10">
        <f t="shared" si="3"/>
        <v>7.151166350333682E-2</v>
      </c>
      <c r="G13" s="10">
        <f t="shared" si="3"/>
        <v>0.35668437994019397</v>
      </c>
      <c r="H13" s="10">
        <f t="shared" si="3"/>
        <v>-0.15732135336234732</v>
      </c>
      <c r="I13" s="10">
        <f t="shared" si="3"/>
        <v>2.1991203518592517E-2</v>
      </c>
      <c r="J13" s="10">
        <f t="shared" si="3"/>
        <v>0.15574465310380803</v>
      </c>
      <c r="K13" s="10">
        <f t="shared" si="3"/>
        <v>-9.8282038985584963E-2</v>
      </c>
      <c r="L13" s="10">
        <f t="shared" si="3"/>
        <v>3.6884091975598388E-2</v>
      </c>
      <c r="M13" s="10">
        <f t="shared" si="3"/>
        <v>0.64357048032826447</v>
      </c>
      <c r="N13" s="10">
        <f t="shared" si="3"/>
        <v>9.6265225013538513E-2</v>
      </c>
      <c r="O13" s="10">
        <f t="shared" si="3"/>
        <v>-4.3001749876503959E-2</v>
      </c>
      <c r="P13" s="10">
        <f t="shared" si="3"/>
        <v>7.7995818059334532E-2</v>
      </c>
      <c r="Q13" s="10">
        <f t="shared" si="3"/>
        <v>7.9811063498246959E-2</v>
      </c>
    </row>
    <row r="15" spans="1:17">
      <c r="A15" t="s">
        <v>10</v>
      </c>
      <c r="B15" s="7">
        <v>155</v>
      </c>
      <c r="C15" s="7">
        <v>415</v>
      </c>
      <c r="D15" s="7">
        <v>522</v>
      </c>
      <c r="E15" s="7">
        <v>1156</v>
      </c>
      <c r="F15" s="7">
        <v>980</v>
      </c>
      <c r="G15" s="7">
        <v>1285</v>
      </c>
      <c r="H15" s="7">
        <v>1348</v>
      </c>
      <c r="I15" s="7">
        <v>2745</v>
      </c>
      <c r="J15" s="7">
        <v>2005</v>
      </c>
      <c r="K15" s="7">
        <v>1807</v>
      </c>
      <c r="L15" s="7">
        <v>803</v>
      </c>
      <c r="M15" s="20">
        <v>258</v>
      </c>
      <c r="N15" s="20">
        <v>-334</v>
      </c>
      <c r="O15" s="20">
        <v>-565</v>
      </c>
      <c r="P15" s="20">
        <v>269</v>
      </c>
      <c r="Q15" s="20">
        <v>-321</v>
      </c>
    </row>
    <row r="16" spans="1:17">
      <c r="A16" s="24" t="s">
        <v>11</v>
      </c>
      <c r="B16" s="25">
        <f>B15</f>
        <v>155</v>
      </c>
      <c r="C16" s="25">
        <f t="shared" ref="C16:Q16" si="4">C15</f>
        <v>415</v>
      </c>
      <c r="D16" s="25">
        <f t="shared" si="4"/>
        <v>522</v>
      </c>
      <c r="E16" s="25">
        <f t="shared" si="4"/>
        <v>1156</v>
      </c>
      <c r="F16" s="25">
        <f t="shared" si="4"/>
        <v>980</v>
      </c>
      <c r="G16" s="25">
        <f t="shared" si="4"/>
        <v>1285</v>
      </c>
      <c r="H16" s="25">
        <f t="shared" si="4"/>
        <v>1348</v>
      </c>
      <c r="I16" s="25">
        <f t="shared" si="4"/>
        <v>2745</v>
      </c>
      <c r="J16" s="25">
        <f t="shared" si="4"/>
        <v>2005</v>
      </c>
      <c r="K16" s="25">
        <f t="shared" si="4"/>
        <v>1807</v>
      </c>
      <c r="L16" s="25">
        <f t="shared" si="4"/>
        <v>803</v>
      </c>
      <c r="M16" s="25">
        <f t="shared" si="4"/>
        <v>258</v>
      </c>
      <c r="N16" s="25">
        <f t="shared" si="4"/>
        <v>-334</v>
      </c>
      <c r="O16" s="25">
        <f t="shared" si="4"/>
        <v>-565</v>
      </c>
      <c r="P16" s="25">
        <f t="shared" si="4"/>
        <v>269</v>
      </c>
      <c r="Q16" s="25">
        <f t="shared" si="4"/>
        <v>-321</v>
      </c>
    </row>
    <row r="17" spans="1:17">
      <c r="A17" s="22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</row>
    <row r="18" spans="1:17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</row>
    <row r="19" spans="1:17">
      <c r="A19" t="s">
        <v>12</v>
      </c>
      <c r="B19" s="7">
        <f t="shared" ref="B19:Q19" si="5">B12+B16</f>
        <v>18540</v>
      </c>
      <c r="C19" s="7">
        <f t="shared" si="5"/>
        <v>34205</v>
      </c>
      <c r="D19" s="7">
        <f t="shared" si="5"/>
        <v>55763</v>
      </c>
      <c r="E19" s="7">
        <f t="shared" si="5"/>
        <v>50155</v>
      </c>
      <c r="F19" s="7">
        <f t="shared" si="5"/>
        <v>53483</v>
      </c>
      <c r="G19" s="7">
        <f t="shared" si="5"/>
        <v>72515</v>
      </c>
      <c r="H19" s="7">
        <f t="shared" si="5"/>
        <v>61372</v>
      </c>
      <c r="I19" s="7">
        <f t="shared" si="5"/>
        <v>64089</v>
      </c>
      <c r="J19" s="7">
        <f t="shared" si="5"/>
        <v>72903</v>
      </c>
      <c r="K19" s="7">
        <f t="shared" si="5"/>
        <v>65737</v>
      </c>
      <c r="L19" s="7">
        <f t="shared" si="5"/>
        <v>67091</v>
      </c>
      <c r="M19" s="7">
        <f t="shared" si="5"/>
        <v>109207</v>
      </c>
      <c r="N19" s="7">
        <f t="shared" si="5"/>
        <v>119103</v>
      </c>
      <c r="O19" s="7">
        <f t="shared" si="5"/>
        <v>113736</v>
      </c>
      <c r="P19" s="7">
        <f t="shared" si="5"/>
        <v>123485</v>
      </c>
      <c r="Q19" s="7">
        <f t="shared" si="5"/>
        <v>132729</v>
      </c>
    </row>
    <row r="20" spans="1:17">
      <c r="A20" t="s">
        <v>13</v>
      </c>
      <c r="B20" s="7">
        <v>4527</v>
      </c>
      <c r="C20" s="7">
        <v>8283</v>
      </c>
      <c r="D20" s="7">
        <v>14030</v>
      </c>
      <c r="E20" s="7">
        <v>13118</v>
      </c>
      <c r="F20" s="7">
        <v>13973</v>
      </c>
      <c r="G20" s="7">
        <v>19121</v>
      </c>
      <c r="H20" s="7">
        <v>15685</v>
      </c>
      <c r="I20" s="7">
        <v>15738</v>
      </c>
      <c r="J20" s="7">
        <v>13372</v>
      </c>
      <c r="K20" s="7">
        <v>10481</v>
      </c>
      <c r="L20" s="7">
        <v>9680</v>
      </c>
      <c r="M20" s="7">
        <v>14527</v>
      </c>
      <c r="N20" s="7">
        <v>19300</v>
      </c>
      <c r="O20" s="7">
        <v>16741</v>
      </c>
      <c r="P20" s="7">
        <v>29749</v>
      </c>
      <c r="Q20" s="7">
        <v>20719</v>
      </c>
    </row>
    <row r="21" spans="1:17">
      <c r="A21" s="24" t="s">
        <v>14</v>
      </c>
      <c r="B21" s="17">
        <f t="shared" ref="B21:Q21" si="6">B19-B20</f>
        <v>14013</v>
      </c>
      <c r="C21" s="17">
        <f t="shared" si="6"/>
        <v>25922</v>
      </c>
      <c r="D21" s="17">
        <f t="shared" si="6"/>
        <v>41733</v>
      </c>
      <c r="E21" s="17">
        <f t="shared" si="6"/>
        <v>37037</v>
      </c>
      <c r="F21" s="17">
        <f t="shared" si="6"/>
        <v>39510</v>
      </c>
      <c r="G21" s="17">
        <f t="shared" si="6"/>
        <v>53394</v>
      </c>
      <c r="H21" s="17">
        <f t="shared" si="6"/>
        <v>45687</v>
      </c>
      <c r="I21" s="17">
        <f t="shared" si="6"/>
        <v>48351</v>
      </c>
      <c r="J21" s="17">
        <f t="shared" si="6"/>
        <v>59531</v>
      </c>
      <c r="K21" s="17">
        <f t="shared" si="6"/>
        <v>55256</v>
      </c>
      <c r="L21" s="17">
        <f t="shared" si="6"/>
        <v>57411</v>
      </c>
      <c r="M21" s="17">
        <f t="shared" si="6"/>
        <v>94680</v>
      </c>
      <c r="N21" s="17">
        <f t="shared" si="6"/>
        <v>99803</v>
      </c>
      <c r="O21" s="17">
        <f t="shared" si="6"/>
        <v>96995</v>
      </c>
      <c r="P21" s="17">
        <f t="shared" si="6"/>
        <v>93736</v>
      </c>
      <c r="Q21" s="17">
        <f t="shared" si="6"/>
        <v>112010</v>
      </c>
    </row>
    <row r="22" spans="1:17">
      <c r="B22" s="26"/>
      <c r="C22" s="26"/>
      <c r="D22" s="26"/>
      <c r="E22" s="26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</row>
    <row r="23" spans="1:17">
      <c r="A23" s="4"/>
      <c r="B23" s="7"/>
      <c r="C23" s="7"/>
      <c r="D23" s="7"/>
      <c r="E23" s="7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</row>
    <row r="24" spans="1:17">
      <c r="A24" s="28" t="s">
        <v>15</v>
      </c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</row>
    <row r="25" spans="1:17">
      <c r="A25" s="4" t="s">
        <v>16</v>
      </c>
      <c r="B25" s="7">
        <v>11261</v>
      </c>
      <c r="C25" s="7">
        <v>9815</v>
      </c>
      <c r="D25" s="7">
        <v>10746</v>
      </c>
      <c r="E25" s="7">
        <v>14259</v>
      </c>
      <c r="F25" s="8">
        <v>13844</v>
      </c>
      <c r="G25" s="8">
        <v>21120</v>
      </c>
      <c r="H25" s="8">
        <v>20484</v>
      </c>
      <c r="I25" s="8">
        <v>20289</v>
      </c>
      <c r="J25" s="8">
        <v>25913</v>
      </c>
      <c r="K25" s="8">
        <v>48844</v>
      </c>
      <c r="L25" s="8">
        <v>38016</v>
      </c>
      <c r="M25" s="8">
        <v>34940</v>
      </c>
      <c r="N25" s="8">
        <v>23646</v>
      </c>
      <c r="O25" s="8">
        <v>29965</v>
      </c>
      <c r="P25" s="8">
        <v>29943</v>
      </c>
      <c r="Q25" s="8">
        <v>35934</v>
      </c>
    </row>
    <row r="26" spans="1:17">
      <c r="A26" s="4" t="s">
        <v>17</v>
      </c>
      <c r="B26" s="7">
        <v>14359</v>
      </c>
      <c r="C26" s="7">
        <v>16137</v>
      </c>
      <c r="D26" s="7">
        <v>18383</v>
      </c>
      <c r="E26" s="7">
        <v>26287</v>
      </c>
      <c r="F26" s="7">
        <v>11233</v>
      </c>
      <c r="G26" s="7">
        <v>20481</v>
      </c>
      <c r="H26" s="7">
        <v>46671</v>
      </c>
      <c r="I26" s="7">
        <v>53892</v>
      </c>
      <c r="J26" s="8">
        <v>40388</v>
      </c>
      <c r="K26" s="8">
        <v>51713</v>
      </c>
      <c r="L26" s="8">
        <v>52927</v>
      </c>
      <c r="M26" s="8">
        <v>27699</v>
      </c>
      <c r="N26" s="8">
        <v>24658</v>
      </c>
      <c r="O26" s="8">
        <v>31590</v>
      </c>
      <c r="P26" s="8">
        <v>35228</v>
      </c>
      <c r="Q26" s="8">
        <v>18763</v>
      </c>
    </row>
    <row r="27" spans="1:17">
      <c r="A27" s="4" t="s">
        <v>18</v>
      </c>
      <c r="B27" s="7">
        <v>5510</v>
      </c>
      <c r="C27" s="7">
        <v>5369</v>
      </c>
      <c r="D27" s="7">
        <v>10930</v>
      </c>
      <c r="E27" s="7">
        <v>13102</v>
      </c>
      <c r="F27" s="7">
        <v>17460</v>
      </c>
      <c r="G27" s="7">
        <v>16849</v>
      </c>
      <c r="H27" s="7">
        <v>15754</v>
      </c>
      <c r="I27" s="7">
        <v>17874</v>
      </c>
      <c r="J27" s="8">
        <v>23186</v>
      </c>
      <c r="K27" s="8">
        <v>22926</v>
      </c>
      <c r="L27" s="8">
        <v>16120</v>
      </c>
      <c r="M27" s="8">
        <v>26278</v>
      </c>
      <c r="N27" s="8">
        <v>28184</v>
      </c>
      <c r="O27" s="8">
        <v>29508</v>
      </c>
      <c r="P27" s="8">
        <v>33410</v>
      </c>
      <c r="Q27" s="8">
        <v>39777</v>
      </c>
    </row>
    <row r="28" spans="1:17">
      <c r="A28" s="4" t="s">
        <v>19</v>
      </c>
      <c r="B28" s="7">
        <v>1051</v>
      </c>
      <c r="C28" s="7">
        <v>776</v>
      </c>
      <c r="D28" s="7">
        <v>791</v>
      </c>
      <c r="E28" s="7">
        <v>1764</v>
      </c>
      <c r="F28" s="8">
        <v>2111</v>
      </c>
      <c r="G28" s="8">
        <v>2349</v>
      </c>
      <c r="H28" s="8">
        <v>2132</v>
      </c>
      <c r="I28" s="8">
        <v>4855</v>
      </c>
      <c r="J28" s="8">
        <v>3956</v>
      </c>
      <c r="K28" s="8">
        <v>4106</v>
      </c>
      <c r="L28" s="8">
        <v>4061</v>
      </c>
      <c r="M28" s="8">
        <v>6580</v>
      </c>
      <c r="N28" s="8">
        <v>4946</v>
      </c>
      <c r="O28" s="8">
        <v>6331</v>
      </c>
      <c r="P28" s="8">
        <v>7286</v>
      </c>
      <c r="Q28" s="8">
        <v>5718</v>
      </c>
    </row>
    <row r="29" spans="1:17">
      <c r="A29" s="4" t="s">
        <v>20</v>
      </c>
      <c r="B29" s="7">
        <v>1636</v>
      </c>
      <c r="C29" s="7">
        <v>2014</v>
      </c>
      <c r="D29" s="7">
        <v>2583</v>
      </c>
      <c r="E29" s="7">
        <v>3453</v>
      </c>
      <c r="F29" s="8">
        <v>4318</v>
      </c>
      <c r="G29" s="8">
        <v>5546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</row>
    <row r="30" spans="1:17">
      <c r="A30" s="4" t="s">
        <v>21</v>
      </c>
      <c r="B30" s="7">
        <v>4414</v>
      </c>
      <c r="C30" s="7">
        <v>6348</v>
      </c>
      <c r="D30" s="7">
        <v>7762</v>
      </c>
      <c r="E30" s="7">
        <v>7539</v>
      </c>
      <c r="F30" s="8">
        <v>9759</v>
      </c>
      <c r="G30" s="8">
        <v>13494</v>
      </c>
      <c r="H30" s="8">
        <v>13545</v>
      </c>
      <c r="I30" s="8">
        <v>17799</v>
      </c>
      <c r="J30" s="8">
        <v>25809</v>
      </c>
      <c r="K30" s="8">
        <v>22878</v>
      </c>
      <c r="L30" s="8">
        <v>21325</v>
      </c>
      <c r="M30" s="8">
        <v>25228</v>
      </c>
      <c r="N30" s="8">
        <v>32748</v>
      </c>
      <c r="O30" s="8">
        <v>31477</v>
      </c>
      <c r="P30" s="8">
        <v>32833</v>
      </c>
      <c r="Q30" s="8">
        <v>33180</v>
      </c>
    </row>
    <row r="31" spans="1:17">
      <c r="A31" s="4" t="s">
        <v>22</v>
      </c>
      <c r="B31" s="7">
        <v>3447</v>
      </c>
      <c r="C31" s="7">
        <v>4529</v>
      </c>
      <c r="D31" s="7">
        <v>6458</v>
      </c>
      <c r="E31" s="7">
        <v>6882</v>
      </c>
      <c r="F31" s="8">
        <v>9806</v>
      </c>
      <c r="G31" s="8">
        <v>9539</v>
      </c>
      <c r="H31" s="8">
        <v>8283</v>
      </c>
      <c r="I31" s="8">
        <v>13936</v>
      </c>
      <c r="J31" s="8">
        <v>12087</v>
      </c>
      <c r="K31" s="8">
        <v>12352</v>
      </c>
      <c r="L31" s="8">
        <v>11264</v>
      </c>
      <c r="M31" s="8">
        <v>14111</v>
      </c>
      <c r="N31" s="8">
        <v>21223</v>
      </c>
      <c r="O31" s="8">
        <v>14695</v>
      </c>
      <c r="P31" s="8">
        <v>14287</v>
      </c>
      <c r="Q31" s="8">
        <v>14585</v>
      </c>
    </row>
    <row r="32" spans="1:17">
      <c r="A32" s="16" t="s">
        <v>23</v>
      </c>
      <c r="B32" s="17">
        <f>B25+B26+B27+B28+B29+B30+B31</f>
        <v>41678</v>
      </c>
      <c r="C32" s="17">
        <f t="shared" ref="C32:Q32" si="7">C25+C26+C27+C28+C29+C30+C31</f>
        <v>44988</v>
      </c>
      <c r="D32" s="17">
        <f t="shared" si="7"/>
        <v>57653</v>
      </c>
      <c r="E32" s="17">
        <f t="shared" si="7"/>
        <v>73286</v>
      </c>
      <c r="F32" s="17">
        <f t="shared" si="7"/>
        <v>68531</v>
      </c>
      <c r="G32" s="17">
        <f t="shared" si="7"/>
        <v>89378</v>
      </c>
      <c r="H32" s="17">
        <f t="shared" si="7"/>
        <v>106869</v>
      </c>
      <c r="I32" s="17">
        <f t="shared" si="7"/>
        <v>128645</v>
      </c>
      <c r="J32" s="17">
        <f t="shared" si="7"/>
        <v>131339</v>
      </c>
      <c r="K32" s="17">
        <f t="shared" si="7"/>
        <v>162819</v>
      </c>
      <c r="L32" s="17">
        <f t="shared" si="7"/>
        <v>143713</v>
      </c>
      <c r="M32" s="17">
        <f t="shared" si="7"/>
        <v>134836</v>
      </c>
      <c r="N32" s="17">
        <f t="shared" si="7"/>
        <v>135405</v>
      </c>
      <c r="O32" s="17">
        <f t="shared" si="7"/>
        <v>143566</v>
      </c>
      <c r="P32" s="17">
        <f t="shared" si="7"/>
        <v>152987</v>
      </c>
      <c r="Q32" s="17">
        <f t="shared" si="7"/>
        <v>147957</v>
      </c>
    </row>
    <row r="33" spans="1:17">
      <c r="A33" s="30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</row>
    <row r="34" spans="1:17">
      <c r="A34" s="30" t="s">
        <v>24</v>
      </c>
      <c r="B34" s="7">
        <v>4768</v>
      </c>
      <c r="C34" s="7">
        <v>7777</v>
      </c>
      <c r="D34" s="7">
        <v>15452</v>
      </c>
      <c r="E34" s="7">
        <v>16597</v>
      </c>
      <c r="F34" s="7">
        <v>20624</v>
      </c>
      <c r="G34" s="7">
        <v>22471</v>
      </c>
      <c r="H34" s="7">
        <v>27010</v>
      </c>
      <c r="I34" s="7">
        <v>33783</v>
      </c>
      <c r="J34" s="7">
        <v>41304</v>
      </c>
      <c r="K34" s="7">
        <v>37378</v>
      </c>
      <c r="L34" s="7">
        <v>36766</v>
      </c>
      <c r="M34" s="7">
        <v>39440</v>
      </c>
      <c r="N34" s="7">
        <v>42117</v>
      </c>
      <c r="O34" s="7">
        <v>43715</v>
      </c>
      <c r="P34" s="7">
        <v>45680</v>
      </c>
      <c r="Q34" s="7">
        <v>49834</v>
      </c>
    </row>
    <row r="35" spans="1:17">
      <c r="A35" s="4" t="s">
        <v>25</v>
      </c>
      <c r="B35" s="7">
        <v>25391</v>
      </c>
      <c r="C35" s="7">
        <v>55618</v>
      </c>
      <c r="D35" s="7">
        <v>92122</v>
      </c>
      <c r="E35" s="7">
        <v>106215</v>
      </c>
      <c r="F35" s="8">
        <v>130162</v>
      </c>
      <c r="G35" s="8">
        <v>164065</v>
      </c>
      <c r="H35" s="8">
        <v>170430</v>
      </c>
      <c r="I35" s="8">
        <v>194714</v>
      </c>
      <c r="J35" s="8">
        <v>170799</v>
      </c>
      <c r="K35" s="8">
        <v>105341</v>
      </c>
      <c r="L35" s="8">
        <v>100887</v>
      </c>
      <c r="M35" s="8">
        <v>127877</v>
      </c>
      <c r="N35" s="8">
        <v>120805</v>
      </c>
      <c r="O35" s="8">
        <v>100544</v>
      </c>
      <c r="P35" s="8">
        <v>91479</v>
      </c>
      <c r="Q35" s="8">
        <v>77723</v>
      </c>
    </row>
    <row r="36" spans="1:17">
      <c r="A36" s="4" t="s">
        <v>26</v>
      </c>
      <c r="B36" s="7">
        <v>741</v>
      </c>
      <c r="C36" s="7">
        <v>896</v>
      </c>
      <c r="D36" s="7">
        <v>1135</v>
      </c>
      <c r="E36" s="7">
        <v>1577</v>
      </c>
      <c r="F36" s="8">
        <v>4616</v>
      </c>
      <c r="G36" s="8">
        <v>5116</v>
      </c>
      <c r="H36" s="8">
        <v>5414</v>
      </c>
      <c r="I36" s="8">
        <v>5717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</row>
    <row r="37" spans="1:17">
      <c r="A37" s="4" t="s">
        <v>27</v>
      </c>
      <c r="B37" s="7">
        <v>342</v>
      </c>
      <c r="C37" s="7">
        <v>3536</v>
      </c>
      <c r="D37" s="7">
        <v>4224</v>
      </c>
      <c r="E37" s="7">
        <v>4179</v>
      </c>
      <c r="F37" s="8">
        <v>4142</v>
      </c>
      <c r="G37" s="8">
        <v>3893</v>
      </c>
      <c r="H37" s="8">
        <v>3206</v>
      </c>
      <c r="I37" s="8">
        <v>2298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</row>
    <row r="38" spans="1:17">
      <c r="A38" s="4" t="s">
        <v>28</v>
      </c>
      <c r="B38" s="7">
        <v>2263</v>
      </c>
      <c r="C38" s="7">
        <v>3556</v>
      </c>
      <c r="D38" s="7">
        <v>5478</v>
      </c>
      <c r="E38" s="7">
        <v>5146</v>
      </c>
      <c r="F38" s="8">
        <v>3764</v>
      </c>
      <c r="G38" s="8">
        <v>5556</v>
      </c>
      <c r="H38" s="8">
        <v>8757</v>
      </c>
      <c r="I38" s="8">
        <v>10162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</row>
    <row r="39" spans="1:17">
      <c r="A39" s="4" t="s">
        <v>29</v>
      </c>
      <c r="B39" s="7">
        <v>0</v>
      </c>
      <c r="C39" s="7">
        <v>0</v>
      </c>
      <c r="D39" s="7">
        <v>0</v>
      </c>
      <c r="E39" s="7">
        <v>0</v>
      </c>
      <c r="F39" s="8">
        <v>0</v>
      </c>
      <c r="G39" s="8">
        <v>0</v>
      </c>
      <c r="H39" s="8">
        <v>0</v>
      </c>
      <c r="I39" s="8">
        <v>0</v>
      </c>
      <c r="J39" s="8">
        <v>22283</v>
      </c>
      <c r="K39" s="8">
        <v>32978</v>
      </c>
      <c r="L39" s="8">
        <v>42522</v>
      </c>
      <c r="M39" s="8">
        <v>48849</v>
      </c>
      <c r="N39" s="8">
        <v>54428</v>
      </c>
      <c r="O39" s="8">
        <v>64758</v>
      </c>
      <c r="P39" s="8">
        <v>74834</v>
      </c>
      <c r="Q39" s="8">
        <v>83727</v>
      </c>
    </row>
    <row r="40" spans="1:17">
      <c r="A40" s="16" t="s">
        <v>30</v>
      </c>
      <c r="B40" s="17">
        <f>B34+B35+B36+B37+B38+B39</f>
        <v>33505</v>
      </c>
      <c r="C40" s="17">
        <f t="shared" ref="C40:Q40" si="8">C34+C35+C36+C37+C38+C39</f>
        <v>71383</v>
      </c>
      <c r="D40" s="17">
        <f t="shared" si="8"/>
        <v>118411</v>
      </c>
      <c r="E40" s="17">
        <f t="shared" si="8"/>
        <v>133714</v>
      </c>
      <c r="F40" s="17">
        <f t="shared" si="8"/>
        <v>163308</v>
      </c>
      <c r="G40" s="17">
        <f t="shared" si="8"/>
        <v>201101</v>
      </c>
      <c r="H40" s="17">
        <f t="shared" si="8"/>
        <v>214817</v>
      </c>
      <c r="I40" s="17">
        <f t="shared" si="8"/>
        <v>246674</v>
      </c>
      <c r="J40" s="17">
        <f t="shared" si="8"/>
        <v>234386</v>
      </c>
      <c r="K40" s="17">
        <f t="shared" si="8"/>
        <v>175697</v>
      </c>
      <c r="L40" s="17">
        <f t="shared" si="8"/>
        <v>180175</v>
      </c>
      <c r="M40" s="17">
        <f t="shared" si="8"/>
        <v>216166</v>
      </c>
      <c r="N40" s="17">
        <f t="shared" si="8"/>
        <v>217350</v>
      </c>
      <c r="O40" s="17">
        <f t="shared" si="8"/>
        <v>209017</v>
      </c>
      <c r="P40" s="17">
        <f t="shared" si="8"/>
        <v>211993</v>
      </c>
      <c r="Q40" s="17">
        <f t="shared" si="8"/>
        <v>211284</v>
      </c>
    </row>
    <row r="41" spans="1:17">
      <c r="A41" s="16" t="s">
        <v>31</v>
      </c>
      <c r="B41" s="17">
        <f t="shared" ref="B41:Q41" si="9">B32+B40</f>
        <v>75183</v>
      </c>
      <c r="C41" s="17">
        <f t="shared" si="9"/>
        <v>116371</v>
      </c>
      <c r="D41" s="17">
        <f t="shared" si="9"/>
        <v>176064</v>
      </c>
      <c r="E41" s="17">
        <f t="shared" si="9"/>
        <v>207000</v>
      </c>
      <c r="F41" s="18">
        <f t="shared" si="9"/>
        <v>231839</v>
      </c>
      <c r="G41" s="18">
        <f t="shared" si="9"/>
        <v>290479</v>
      </c>
      <c r="H41" s="18">
        <f t="shared" si="9"/>
        <v>321686</v>
      </c>
      <c r="I41" s="18">
        <f t="shared" si="9"/>
        <v>375319</v>
      </c>
      <c r="J41" s="18">
        <f t="shared" si="9"/>
        <v>365725</v>
      </c>
      <c r="K41" s="18">
        <f t="shared" si="9"/>
        <v>338516</v>
      </c>
      <c r="L41" s="18">
        <f t="shared" si="9"/>
        <v>323888</v>
      </c>
      <c r="M41" s="18">
        <f t="shared" si="9"/>
        <v>351002</v>
      </c>
      <c r="N41" s="18">
        <f t="shared" si="9"/>
        <v>352755</v>
      </c>
      <c r="O41" s="18">
        <f t="shared" si="9"/>
        <v>352583</v>
      </c>
      <c r="P41" s="18">
        <f t="shared" si="9"/>
        <v>364980</v>
      </c>
      <c r="Q41" s="18">
        <f t="shared" si="9"/>
        <v>359241</v>
      </c>
    </row>
    <row r="42" spans="1:17">
      <c r="A42" s="30"/>
      <c r="B42" s="21"/>
      <c r="C42" s="21"/>
      <c r="D42" s="21"/>
      <c r="E42" s="2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</row>
    <row r="43" spans="1:17">
      <c r="A43" s="4" t="s">
        <v>32</v>
      </c>
      <c r="B43" s="7">
        <v>0</v>
      </c>
      <c r="C43" s="7">
        <v>0</v>
      </c>
      <c r="D43" s="7">
        <v>0</v>
      </c>
      <c r="E43" s="7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</row>
    <row r="44" spans="1:17">
      <c r="A44" s="4" t="s">
        <v>33</v>
      </c>
      <c r="B44" s="7">
        <v>12015</v>
      </c>
      <c r="C44" s="7">
        <v>14632</v>
      </c>
      <c r="D44" s="7">
        <v>21175</v>
      </c>
      <c r="E44" s="7">
        <v>22367</v>
      </c>
      <c r="F44" s="7">
        <v>30196</v>
      </c>
      <c r="G44" s="7">
        <v>35490</v>
      </c>
      <c r="H44" s="7">
        <v>37294</v>
      </c>
      <c r="I44" s="7">
        <v>49049</v>
      </c>
      <c r="J44" s="7">
        <v>55888</v>
      </c>
      <c r="K44" s="7">
        <v>46236</v>
      </c>
      <c r="L44" s="7">
        <v>42296</v>
      </c>
      <c r="M44" s="7">
        <v>54763</v>
      </c>
      <c r="N44" s="7">
        <v>64115</v>
      </c>
      <c r="O44" s="7">
        <v>62611</v>
      </c>
      <c r="P44" s="8">
        <v>68960</v>
      </c>
      <c r="Q44" s="8">
        <v>69860</v>
      </c>
    </row>
    <row r="45" spans="1:17">
      <c r="A45" s="4" t="s">
        <v>34</v>
      </c>
      <c r="B45" s="7">
        <v>5723</v>
      </c>
      <c r="C45" s="7">
        <v>9247</v>
      </c>
      <c r="D45" s="7">
        <v>11414</v>
      </c>
      <c r="E45" s="7">
        <v>13856</v>
      </c>
      <c r="F45" s="8">
        <v>18453</v>
      </c>
      <c r="G45" s="8">
        <v>25181</v>
      </c>
      <c r="H45" s="8">
        <v>22027</v>
      </c>
      <c r="I45" s="8">
        <v>25744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</row>
    <row r="46" spans="1:17">
      <c r="A46" s="4" t="s">
        <v>35</v>
      </c>
      <c r="B46" s="7">
        <v>2984</v>
      </c>
      <c r="C46" s="7">
        <v>4091</v>
      </c>
      <c r="D46" s="7">
        <v>5953</v>
      </c>
      <c r="E46" s="7">
        <v>7435</v>
      </c>
      <c r="F46" s="7">
        <v>8491</v>
      </c>
      <c r="G46" s="7">
        <v>8940</v>
      </c>
      <c r="H46" s="7">
        <v>8080</v>
      </c>
      <c r="I46" s="7">
        <v>7548</v>
      </c>
      <c r="J46" s="7">
        <v>7543</v>
      </c>
      <c r="K46" s="7">
        <v>5522</v>
      </c>
      <c r="L46" s="7">
        <v>6643</v>
      </c>
      <c r="M46" s="7">
        <v>7612</v>
      </c>
      <c r="N46" s="8">
        <v>7912</v>
      </c>
      <c r="O46" s="8">
        <v>8061</v>
      </c>
      <c r="P46" s="8">
        <v>8249</v>
      </c>
      <c r="Q46" s="8">
        <v>9055</v>
      </c>
    </row>
    <row r="47" spans="1:17">
      <c r="A47" s="4" t="s">
        <v>36</v>
      </c>
      <c r="B47" s="7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32687</v>
      </c>
      <c r="K47" s="7">
        <v>37720</v>
      </c>
      <c r="L47" s="7">
        <v>42684</v>
      </c>
      <c r="M47" s="7">
        <v>47493</v>
      </c>
      <c r="N47" s="8">
        <v>60845</v>
      </c>
      <c r="O47" s="8">
        <v>58829</v>
      </c>
      <c r="P47" s="8">
        <v>78304</v>
      </c>
      <c r="Q47" s="8">
        <v>66387</v>
      </c>
    </row>
    <row r="48" spans="1:17">
      <c r="A48" s="4" t="s">
        <v>37</v>
      </c>
      <c r="B48" s="7">
        <v>0</v>
      </c>
      <c r="C48" s="7">
        <v>0</v>
      </c>
      <c r="D48" s="7">
        <v>0</v>
      </c>
      <c r="E48" s="7">
        <v>0</v>
      </c>
      <c r="F48" s="8">
        <v>6308</v>
      </c>
      <c r="G48" s="8">
        <v>8499</v>
      </c>
      <c r="H48" s="8">
        <v>8105</v>
      </c>
      <c r="I48" s="8">
        <v>11977</v>
      </c>
      <c r="J48" s="8">
        <v>11964</v>
      </c>
      <c r="K48" s="8">
        <v>5980</v>
      </c>
      <c r="L48" s="8">
        <v>4996</v>
      </c>
      <c r="M48" s="8">
        <v>6000</v>
      </c>
      <c r="N48" s="8">
        <v>9982</v>
      </c>
      <c r="O48" s="8">
        <v>5985</v>
      </c>
      <c r="P48" s="8">
        <v>9967</v>
      </c>
      <c r="Q48" s="8">
        <v>7979</v>
      </c>
    </row>
    <row r="49" spans="1:17">
      <c r="A49" s="4" t="s">
        <v>38</v>
      </c>
      <c r="B49" s="7">
        <v>0</v>
      </c>
      <c r="C49" s="7">
        <v>0</v>
      </c>
      <c r="D49" s="7">
        <v>0</v>
      </c>
      <c r="E49" s="7">
        <v>0</v>
      </c>
      <c r="F49" s="8">
        <v>0</v>
      </c>
      <c r="G49" s="8">
        <v>2500</v>
      </c>
      <c r="H49" s="8">
        <v>3500</v>
      </c>
      <c r="I49" s="8">
        <v>6496</v>
      </c>
      <c r="J49" s="8">
        <v>8784</v>
      </c>
      <c r="K49" s="8">
        <v>10260</v>
      </c>
      <c r="L49" s="8">
        <v>8773</v>
      </c>
      <c r="M49" s="8">
        <v>9613</v>
      </c>
      <c r="N49" s="8">
        <v>11128</v>
      </c>
      <c r="O49" s="8">
        <v>9822</v>
      </c>
      <c r="P49" s="8">
        <v>10912</v>
      </c>
      <c r="Q49" s="8">
        <v>12350</v>
      </c>
    </row>
    <row r="50" spans="1:17">
      <c r="A50" s="16" t="s">
        <v>39</v>
      </c>
      <c r="B50" s="17">
        <f t="shared" ref="B50:Q50" si="10">SUM(B43:B49)</f>
        <v>20722</v>
      </c>
      <c r="C50" s="17">
        <f t="shared" si="10"/>
        <v>27970</v>
      </c>
      <c r="D50" s="17">
        <f t="shared" si="10"/>
        <v>38542</v>
      </c>
      <c r="E50" s="17">
        <f t="shared" si="10"/>
        <v>43658</v>
      </c>
      <c r="F50" s="18">
        <f t="shared" si="10"/>
        <v>63448</v>
      </c>
      <c r="G50" s="18">
        <f t="shared" si="10"/>
        <v>80610</v>
      </c>
      <c r="H50" s="18">
        <f t="shared" si="10"/>
        <v>79006</v>
      </c>
      <c r="I50" s="18">
        <f t="shared" si="10"/>
        <v>100814</v>
      </c>
      <c r="J50" s="18">
        <f t="shared" si="10"/>
        <v>116866</v>
      </c>
      <c r="K50" s="18">
        <f t="shared" si="10"/>
        <v>105718</v>
      </c>
      <c r="L50" s="18">
        <f t="shared" si="10"/>
        <v>105392</v>
      </c>
      <c r="M50" s="18">
        <f t="shared" si="10"/>
        <v>125481</v>
      </c>
      <c r="N50" s="18">
        <f t="shared" si="10"/>
        <v>153982</v>
      </c>
      <c r="O50" s="18">
        <f t="shared" si="10"/>
        <v>145308</v>
      </c>
      <c r="P50" s="18">
        <f t="shared" si="10"/>
        <v>176392</v>
      </c>
      <c r="Q50" s="18">
        <f t="shared" si="10"/>
        <v>165631</v>
      </c>
    </row>
    <row r="51" spans="1:17">
      <c r="A51" s="30"/>
      <c r="B51" s="21"/>
      <c r="C51" s="21"/>
      <c r="D51" s="21"/>
      <c r="E51" s="2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</row>
    <row r="52" spans="1:17">
      <c r="A52" s="4" t="s">
        <v>40</v>
      </c>
      <c r="B52" s="7">
        <v>0</v>
      </c>
      <c r="C52" s="7">
        <v>0</v>
      </c>
      <c r="D52" s="7">
        <v>0</v>
      </c>
      <c r="E52" s="7">
        <v>16960</v>
      </c>
      <c r="F52" s="8">
        <v>28987</v>
      </c>
      <c r="G52" s="8">
        <v>53463</v>
      </c>
      <c r="H52" s="8">
        <v>75427</v>
      </c>
      <c r="I52" s="8">
        <v>97207</v>
      </c>
      <c r="J52" s="8">
        <v>93735</v>
      </c>
      <c r="K52" s="8">
        <v>91807</v>
      </c>
      <c r="L52" s="8">
        <v>98667</v>
      </c>
      <c r="M52" s="8">
        <v>109106</v>
      </c>
      <c r="N52" s="8">
        <v>98959</v>
      </c>
      <c r="O52" s="8">
        <v>95281</v>
      </c>
      <c r="P52" s="8">
        <v>85750</v>
      </c>
      <c r="Q52" s="8">
        <v>78328</v>
      </c>
    </row>
    <row r="53" spans="1:17">
      <c r="A53" s="4" t="s">
        <v>41</v>
      </c>
      <c r="B53" s="7">
        <v>1139</v>
      </c>
      <c r="C53" s="7">
        <v>1686</v>
      </c>
      <c r="D53" s="7">
        <v>2648</v>
      </c>
      <c r="E53" s="7">
        <v>2625</v>
      </c>
      <c r="F53" s="7">
        <v>3031</v>
      </c>
      <c r="G53" s="7">
        <v>3624</v>
      </c>
      <c r="H53" s="7">
        <v>2930</v>
      </c>
      <c r="I53" s="7">
        <v>2836</v>
      </c>
      <c r="J53" s="7">
        <v>2797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</row>
    <row r="54" spans="1:17">
      <c r="A54" s="4" t="s">
        <v>42</v>
      </c>
      <c r="B54" s="7">
        <v>5531</v>
      </c>
      <c r="C54" s="7">
        <v>10100</v>
      </c>
      <c r="D54" s="7">
        <v>16664</v>
      </c>
      <c r="E54" s="7">
        <v>20208</v>
      </c>
      <c r="F54" s="7">
        <v>24826</v>
      </c>
      <c r="G54" s="7">
        <v>33427</v>
      </c>
      <c r="H54" s="7">
        <v>36074</v>
      </c>
      <c r="I54" s="7">
        <v>40415</v>
      </c>
      <c r="J54" s="7">
        <v>45180</v>
      </c>
      <c r="K54" s="7">
        <v>50503</v>
      </c>
      <c r="L54" s="7">
        <v>54490</v>
      </c>
      <c r="M54" s="7">
        <v>53325</v>
      </c>
      <c r="N54" s="7">
        <v>49142</v>
      </c>
      <c r="O54" s="7">
        <v>49848</v>
      </c>
      <c r="P54" s="7">
        <v>45888</v>
      </c>
      <c r="Q54" s="7">
        <v>41549</v>
      </c>
    </row>
    <row r="55" spans="1:17">
      <c r="A55" s="16" t="s">
        <v>43</v>
      </c>
      <c r="B55" s="32">
        <f t="shared" ref="B55:Q55" si="11">SUM(B52:B54)</f>
        <v>6670</v>
      </c>
      <c r="C55" s="32">
        <f t="shared" si="11"/>
        <v>11786</v>
      </c>
      <c r="D55" s="32">
        <f t="shared" si="11"/>
        <v>19312</v>
      </c>
      <c r="E55" s="32">
        <f t="shared" si="11"/>
        <v>39793</v>
      </c>
      <c r="F55" s="33">
        <f t="shared" si="11"/>
        <v>56844</v>
      </c>
      <c r="G55" s="33">
        <f t="shared" si="11"/>
        <v>90514</v>
      </c>
      <c r="H55" s="33">
        <f t="shared" si="11"/>
        <v>114431</v>
      </c>
      <c r="I55" s="33">
        <f t="shared" si="11"/>
        <v>140458</v>
      </c>
      <c r="J55" s="33">
        <f t="shared" si="11"/>
        <v>141712</v>
      </c>
      <c r="K55" s="33">
        <f t="shared" si="11"/>
        <v>142310</v>
      </c>
      <c r="L55" s="33">
        <f t="shared" si="11"/>
        <v>153157</v>
      </c>
      <c r="M55" s="33">
        <f t="shared" si="11"/>
        <v>162431</v>
      </c>
      <c r="N55" s="33">
        <f t="shared" si="11"/>
        <v>148101</v>
      </c>
      <c r="O55" s="33">
        <f t="shared" si="11"/>
        <v>145129</v>
      </c>
      <c r="P55" s="33">
        <f t="shared" si="11"/>
        <v>131638</v>
      </c>
      <c r="Q55" s="33">
        <f t="shared" si="11"/>
        <v>119877</v>
      </c>
    </row>
    <row r="56" spans="1:17">
      <c r="A56" s="16" t="s">
        <v>44</v>
      </c>
      <c r="B56" s="15">
        <f t="shared" ref="B56:Q56" si="12">B50+B55</f>
        <v>27392</v>
      </c>
      <c r="C56" s="15">
        <f t="shared" si="12"/>
        <v>39756</v>
      </c>
      <c r="D56" s="15">
        <f t="shared" si="12"/>
        <v>57854</v>
      </c>
      <c r="E56" s="15">
        <f t="shared" si="12"/>
        <v>83451</v>
      </c>
      <c r="F56" s="15">
        <f t="shared" si="12"/>
        <v>120292</v>
      </c>
      <c r="G56" s="15">
        <f t="shared" si="12"/>
        <v>171124</v>
      </c>
      <c r="H56" s="15">
        <f t="shared" si="12"/>
        <v>193437</v>
      </c>
      <c r="I56" s="15">
        <f t="shared" si="12"/>
        <v>241272</v>
      </c>
      <c r="J56" s="15">
        <f t="shared" si="12"/>
        <v>258578</v>
      </c>
      <c r="K56" s="15">
        <f t="shared" si="12"/>
        <v>248028</v>
      </c>
      <c r="L56" s="15">
        <f t="shared" si="12"/>
        <v>258549</v>
      </c>
      <c r="M56" s="15">
        <f t="shared" si="12"/>
        <v>287912</v>
      </c>
      <c r="N56" s="15">
        <f t="shared" si="12"/>
        <v>302083</v>
      </c>
      <c r="O56" s="15">
        <f t="shared" si="12"/>
        <v>290437</v>
      </c>
      <c r="P56" s="15">
        <f t="shared" si="12"/>
        <v>308030</v>
      </c>
      <c r="Q56" s="15">
        <f t="shared" si="12"/>
        <v>285508</v>
      </c>
    </row>
    <row r="57" spans="1:17">
      <c r="A57" s="4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</row>
    <row r="58" spans="1:17">
      <c r="A58" s="4" t="s">
        <v>45</v>
      </c>
      <c r="B58" s="8">
        <v>10668</v>
      </c>
      <c r="C58" s="8">
        <v>13331</v>
      </c>
      <c r="D58" s="8">
        <v>16422</v>
      </c>
      <c r="E58" s="8">
        <v>19764</v>
      </c>
      <c r="F58" s="8">
        <v>23313</v>
      </c>
      <c r="G58" s="8">
        <v>27416</v>
      </c>
      <c r="H58" s="8">
        <v>31251</v>
      </c>
      <c r="I58" s="8">
        <v>35867</v>
      </c>
      <c r="J58" s="8">
        <v>40201</v>
      </c>
      <c r="K58" s="8">
        <v>45174</v>
      </c>
      <c r="L58" s="8">
        <v>50779</v>
      </c>
      <c r="M58" s="8">
        <v>57365</v>
      </c>
      <c r="N58" s="8">
        <v>64849</v>
      </c>
      <c r="O58" s="8">
        <v>73812</v>
      </c>
      <c r="P58" s="8">
        <v>83276</v>
      </c>
      <c r="Q58" s="8">
        <v>93568</v>
      </c>
    </row>
    <row r="59" spans="1:17">
      <c r="A59" s="4" t="s">
        <v>46</v>
      </c>
      <c r="B59" s="8">
        <v>37169</v>
      </c>
      <c r="C59" s="8">
        <v>62841</v>
      </c>
      <c r="D59" s="8">
        <v>101289</v>
      </c>
      <c r="E59" s="8">
        <v>104256</v>
      </c>
      <c r="F59" s="8">
        <v>87152</v>
      </c>
      <c r="G59" s="8">
        <v>92284</v>
      </c>
      <c r="H59" s="8">
        <v>96364</v>
      </c>
      <c r="I59" s="8">
        <v>98330</v>
      </c>
      <c r="J59" s="8">
        <v>70400</v>
      </c>
      <c r="K59" s="8">
        <v>45898</v>
      </c>
      <c r="L59" s="8">
        <v>14966</v>
      </c>
      <c r="M59" s="8">
        <v>5562</v>
      </c>
      <c r="N59" s="8">
        <v>0</v>
      </c>
      <c r="O59" s="8">
        <v>0</v>
      </c>
      <c r="P59" s="8">
        <v>0</v>
      </c>
      <c r="Q59" s="8">
        <v>0</v>
      </c>
    </row>
    <row r="60" spans="1:17">
      <c r="A60" s="4" t="s">
        <v>47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34">
        <v>-3068</v>
      </c>
      <c r="O60" s="34">
        <v>-214</v>
      </c>
      <c r="P60" s="34">
        <v>-19154</v>
      </c>
      <c r="Q60" s="34">
        <v>-14264</v>
      </c>
    </row>
    <row r="61" spans="1:17">
      <c r="A61" s="4" t="s">
        <v>48</v>
      </c>
      <c r="B61" s="34">
        <v>-46</v>
      </c>
      <c r="C61" s="8">
        <v>443</v>
      </c>
      <c r="D61" s="8">
        <v>499</v>
      </c>
      <c r="E61" s="34">
        <v>-471</v>
      </c>
      <c r="F61" s="8">
        <v>1082</v>
      </c>
      <c r="G61" s="34">
        <v>-345</v>
      </c>
      <c r="H61" s="8">
        <v>634</v>
      </c>
      <c r="I61" s="34">
        <v>-150</v>
      </c>
      <c r="J61" s="34">
        <v>-3454</v>
      </c>
      <c r="K61" s="34">
        <v>-584</v>
      </c>
      <c r="L61" s="34">
        <v>-406</v>
      </c>
      <c r="M61" s="8">
        <v>163</v>
      </c>
      <c r="N61" s="34">
        <v>-11109</v>
      </c>
      <c r="O61" s="34">
        <v>-11452</v>
      </c>
      <c r="P61" s="34">
        <v>-7172</v>
      </c>
      <c r="Q61" s="34">
        <v>-5571</v>
      </c>
    </row>
    <row r="62" spans="1:17">
      <c r="A62" s="16" t="s">
        <v>49</v>
      </c>
      <c r="B62" s="35">
        <f t="shared" ref="B62:Q62" si="13">SUM(B58:B61)</f>
        <v>47791</v>
      </c>
      <c r="C62" s="35">
        <f t="shared" si="13"/>
        <v>76615</v>
      </c>
      <c r="D62" s="35">
        <f t="shared" si="13"/>
        <v>118210</v>
      </c>
      <c r="E62" s="35">
        <f t="shared" si="13"/>
        <v>123549</v>
      </c>
      <c r="F62" s="35">
        <f t="shared" si="13"/>
        <v>111547</v>
      </c>
      <c r="G62" s="35">
        <f t="shared" si="13"/>
        <v>119355</v>
      </c>
      <c r="H62" s="35">
        <f t="shared" si="13"/>
        <v>128249</v>
      </c>
      <c r="I62" s="35">
        <f t="shared" si="13"/>
        <v>134047</v>
      </c>
      <c r="J62" s="35">
        <f t="shared" si="13"/>
        <v>107147</v>
      </c>
      <c r="K62" s="35">
        <f t="shared" si="13"/>
        <v>90488</v>
      </c>
      <c r="L62" s="35">
        <f t="shared" si="13"/>
        <v>65339</v>
      </c>
      <c r="M62" s="35">
        <f t="shared" si="13"/>
        <v>63090</v>
      </c>
      <c r="N62" s="35">
        <f t="shared" si="13"/>
        <v>50672</v>
      </c>
      <c r="O62" s="35">
        <f t="shared" si="13"/>
        <v>62146</v>
      </c>
      <c r="P62" s="35">
        <f t="shared" si="13"/>
        <v>56950</v>
      </c>
      <c r="Q62" s="35">
        <f t="shared" si="13"/>
        <v>73733</v>
      </c>
    </row>
    <row r="63" spans="1:17">
      <c r="A63" s="16" t="s">
        <v>50</v>
      </c>
      <c r="B63" s="36">
        <f t="shared" ref="B63:Q63" si="14">B56+B62</f>
        <v>75183</v>
      </c>
      <c r="C63" s="36">
        <f t="shared" si="14"/>
        <v>116371</v>
      </c>
      <c r="D63" s="36">
        <f t="shared" si="14"/>
        <v>176064</v>
      </c>
      <c r="E63" s="36">
        <f t="shared" si="14"/>
        <v>207000</v>
      </c>
      <c r="F63" s="36">
        <f t="shared" si="14"/>
        <v>231839</v>
      </c>
      <c r="G63" s="36">
        <f t="shared" si="14"/>
        <v>290479</v>
      </c>
      <c r="H63" s="36">
        <f t="shared" si="14"/>
        <v>321686</v>
      </c>
      <c r="I63" s="36">
        <f t="shared" si="14"/>
        <v>375319</v>
      </c>
      <c r="J63" s="36">
        <f t="shared" si="14"/>
        <v>365725</v>
      </c>
      <c r="K63" s="36">
        <f t="shared" si="14"/>
        <v>338516</v>
      </c>
      <c r="L63" s="36">
        <f t="shared" si="14"/>
        <v>323888</v>
      </c>
      <c r="M63" s="36">
        <f t="shared" si="14"/>
        <v>351002</v>
      </c>
      <c r="N63" s="36">
        <f t="shared" si="14"/>
        <v>352755</v>
      </c>
      <c r="O63" s="36">
        <f t="shared" si="14"/>
        <v>352583</v>
      </c>
      <c r="P63" s="36">
        <f t="shared" si="14"/>
        <v>364980</v>
      </c>
      <c r="Q63" s="36">
        <f t="shared" si="14"/>
        <v>359241</v>
      </c>
    </row>
    <row r="67" spans="1:17" ht="19.95" customHeight="1">
      <c r="A67" s="39" t="s">
        <v>56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</row>
    <row r="68" spans="1:17">
      <c r="A68" t="s">
        <v>52</v>
      </c>
    </row>
    <row r="70" spans="1:17">
      <c r="A70" s="40" t="s">
        <v>53</v>
      </c>
      <c r="B70" s="40">
        <v>2010</v>
      </c>
      <c r="C70" s="40">
        <v>2011</v>
      </c>
      <c r="D70" s="40">
        <v>2012</v>
      </c>
      <c r="E70" s="40">
        <v>2013</v>
      </c>
      <c r="F70" s="40">
        <v>2014</v>
      </c>
      <c r="G70" s="40">
        <v>2015</v>
      </c>
      <c r="H70" s="40">
        <v>2016</v>
      </c>
      <c r="I70" s="40">
        <v>2017</v>
      </c>
      <c r="J70" s="40">
        <v>2018</v>
      </c>
      <c r="K70" s="40">
        <v>2019</v>
      </c>
      <c r="L70" s="40">
        <v>2020</v>
      </c>
      <c r="M70" s="40">
        <v>2021</v>
      </c>
      <c r="N70" s="40">
        <v>2022</v>
      </c>
      <c r="O70" s="40">
        <v>2023</v>
      </c>
      <c r="P70" s="40">
        <v>2024</v>
      </c>
      <c r="Q70" s="40">
        <v>2025</v>
      </c>
    </row>
    <row r="71" spans="1:17">
      <c r="A71" s="39" t="s">
        <v>1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</row>
    <row r="72" spans="1:17">
      <c r="A72" s="43" t="s">
        <v>2</v>
      </c>
      <c r="B72" s="44" t="str">
        <f>""</f>
        <v/>
      </c>
      <c r="C72" s="44">
        <f t="shared" ref="C72:Q72" si="15">IFERROR(IF(B5=0,"",(C5-B5)/ABS(B5)),"")</f>
        <v>0.65962437715599842</v>
      </c>
      <c r="D72" s="44">
        <f t="shared" si="15"/>
        <v>0.44581474193756987</v>
      </c>
      <c r="E72" s="44">
        <f t="shared" si="15"/>
        <v>9.202085516395328E-2</v>
      </c>
      <c r="F72" s="44">
        <f t="shared" si="15"/>
        <v>6.9539523725937621E-2</v>
      </c>
      <c r="G72" s="44">
        <f t="shared" si="15"/>
        <v>0.2785634180365984</v>
      </c>
      <c r="H72" s="44">
        <f t="shared" si="15"/>
        <v>-7.734206191301371E-2</v>
      </c>
      <c r="I72" s="44">
        <f t="shared" si="15"/>
        <v>6.3045181993980681E-2</v>
      </c>
      <c r="J72" s="44">
        <f t="shared" si="15"/>
        <v>0.15861957650261305</v>
      </c>
      <c r="K72" s="44">
        <f t="shared" si="15"/>
        <v>-2.0410775805267418E-2</v>
      </c>
      <c r="L72" s="44">
        <f t="shared" si="15"/>
        <v>5.5120803769784836E-2</v>
      </c>
      <c r="M72" s="44">
        <f t="shared" si="15"/>
        <v>0.33259384733074693</v>
      </c>
      <c r="N72" s="44">
        <f t="shared" si="15"/>
        <v>7.7937876041846058E-2</v>
      </c>
      <c r="O72" s="44">
        <f t="shared" si="15"/>
        <v>-2.8004605303199367E-2</v>
      </c>
      <c r="P72" s="44">
        <f t="shared" si="15"/>
        <v>2.0219940775141214E-2</v>
      </c>
      <c r="Q72" s="44">
        <f t="shared" si="15"/>
        <v>6.4255117828327393E-2</v>
      </c>
    </row>
    <row r="73" spans="1:17">
      <c r="A73" t="s">
        <v>3</v>
      </c>
      <c r="B73" s="41" t="str">
        <f>""</f>
        <v/>
      </c>
      <c r="C73" s="41">
        <f t="shared" ref="C73:Q73" si="16">IFERROR(IF(B6=0,"",(C6-B6)/ABS(B6)),"")</f>
        <v>0.62947320502769277</v>
      </c>
      <c r="D73" s="41">
        <f t="shared" si="16"/>
        <v>0.36341202216324442</v>
      </c>
      <c r="E73" s="41">
        <f t="shared" si="16"/>
        <v>0.21355554037747876</v>
      </c>
      <c r="F73" s="41">
        <f t="shared" si="16"/>
        <v>5.3017653790593401E-2</v>
      </c>
      <c r="G73" s="41">
        <f t="shared" si="16"/>
        <v>0.24791997006894831</v>
      </c>
      <c r="H73" s="41">
        <f t="shared" si="16"/>
        <v>-6.2196175288566552E-2</v>
      </c>
      <c r="I73" s="41">
        <f t="shared" si="16"/>
        <v>7.3620752648885637E-2</v>
      </c>
      <c r="J73" s="41">
        <f t="shared" si="16"/>
        <v>0.16099483863649255</v>
      </c>
      <c r="K73" s="41">
        <f t="shared" si="16"/>
        <v>-1.2054520139720071E-2</v>
      </c>
      <c r="L73" s="41">
        <f t="shared" si="16"/>
        <v>4.8070860787973943E-2</v>
      </c>
      <c r="M73" s="41">
        <f t="shared" si="16"/>
        <v>0.25608785142634716</v>
      </c>
      <c r="N73" s="41">
        <f t="shared" si="16"/>
        <v>4.9605363858747961E-2</v>
      </c>
      <c r="O73" s="41">
        <f t="shared" si="16"/>
        <v>-4.2089771232766408E-2</v>
      </c>
      <c r="P73" s="41">
        <f t="shared" si="16"/>
        <v>-1.7675600199872046E-2</v>
      </c>
      <c r="Q73" s="41">
        <f t="shared" si="16"/>
        <v>5.0429755837833726E-2</v>
      </c>
    </row>
    <row r="74" spans="1:17">
      <c r="A74" s="43" t="s">
        <v>4</v>
      </c>
      <c r="B74" s="44" t="str">
        <f>""</f>
        <v/>
      </c>
      <c r="C74" s="44">
        <f t="shared" ref="C74:Q74" si="17">IFERROR(IF(B7=0,"",(C7-B7)/ABS(B7)),"")</f>
        <v>0.70604267248092201</v>
      </c>
      <c r="D74" s="44">
        <f t="shared" si="17"/>
        <v>0.56698160573280387</v>
      </c>
      <c r="E74" s="44">
        <f t="shared" si="17"/>
        <v>-6.3470332935248022E-2</v>
      </c>
      <c r="F74" s="44">
        <f t="shared" si="17"/>
        <v>9.6930206519034584E-2</v>
      </c>
      <c r="G74" s="44">
        <f t="shared" si="17"/>
        <v>0.32733175496547912</v>
      </c>
      <c r="H74" s="44">
        <f t="shared" si="17"/>
        <v>-0.10000427231751864</v>
      </c>
      <c r="I74" s="44">
        <f t="shared" si="17"/>
        <v>4.6556614409645987E-2</v>
      </c>
      <c r="J74" s="44">
        <f t="shared" si="17"/>
        <v>0.15482049304878326</v>
      </c>
      <c r="K74" s="44">
        <f t="shared" si="17"/>
        <v>-3.3847543671874231E-2</v>
      </c>
      <c r="L74" s="44">
        <f t="shared" si="17"/>
        <v>6.6712740873241722E-2</v>
      </c>
      <c r="M74" s="44">
        <f t="shared" si="17"/>
        <v>0.45619116582186819</v>
      </c>
      <c r="N74" s="44">
        <f t="shared" si="17"/>
        <v>0.11741997958596143</v>
      </c>
      <c r="O74" s="44">
        <f t="shared" si="17"/>
        <v>-9.5677530418896602E-3</v>
      </c>
      <c r="P74" s="44">
        <f t="shared" si="17"/>
        <v>6.8194717052522058E-2</v>
      </c>
      <c r="Q74" s="44">
        <f t="shared" si="17"/>
        <v>8.0350669404426533E-2</v>
      </c>
    </row>
    <row r="75" spans="1:17"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</row>
    <row r="76" spans="1:17">
      <c r="A76" t="s">
        <v>5</v>
      </c>
      <c r="B76" s="41" t="str">
        <f>""</f>
        <v/>
      </c>
      <c r="C76" s="41">
        <f t="shared" ref="C76:Q76" si="18">IFERROR(IF(B9=0,"",(C9-B9)/ABS(B9)),"")</f>
        <v>0.36307519640852975</v>
      </c>
      <c r="D76" s="41">
        <f t="shared" si="18"/>
        <v>0.39193083573487031</v>
      </c>
      <c r="E76" s="41">
        <f t="shared" si="18"/>
        <v>0.3235729074238391</v>
      </c>
      <c r="F76" s="41">
        <f t="shared" si="18"/>
        <v>0.34994413407821229</v>
      </c>
      <c r="G76" s="41">
        <f t="shared" si="18"/>
        <v>0.33537493792418471</v>
      </c>
      <c r="H76" s="41">
        <f t="shared" si="18"/>
        <v>0.24519647948431883</v>
      </c>
      <c r="I76" s="41">
        <f t="shared" si="18"/>
        <v>0.15291189646590345</v>
      </c>
      <c r="J76" s="41">
        <f t="shared" si="18"/>
        <v>0.22925481391935065</v>
      </c>
      <c r="K76" s="41">
        <f t="shared" si="18"/>
        <v>0.13915425681371171</v>
      </c>
      <c r="L76" s="41">
        <f t="shared" si="18"/>
        <v>0.15631744465684158</v>
      </c>
      <c r="M76" s="41">
        <f t="shared" si="18"/>
        <v>0.16862201365187712</v>
      </c>
      <c r="N76" s="41">
        <f t="shared" si="18"/>
        <v>0.19791001186456147</v>
      </c>
      <c r="O76" s="41">
        <f t="shared" si="18"/>
        <v>0.13957563521389663</v>
      </c>
      <c r="P76" s="41">
        <f t="shared" si="18"/>
        <v>4.8637807120173827E-2</v>
      </c>
      <c r="Q76" s="41">
        <f t="shared" si="18"/>
        <v>0.10137073637233025</v>
      </c>
    </row>
    <row r="77" spans="1:17">
      <c r="A77" t="s">
        <v>6</v>
      </c>
      <c r="B77" s="41" t="str">
        <f>""</f>
        <v/>
      </c>
      <c r="C77" s="41">
        <f t="shared" ref="C77:Q77" si="19">IFERROR(IF(B10=0,"",(C10-B10)/ABS(B10)),"")</f>
        <v>0.37737901033170201</v>
      </c>
      <c r="D77" s="41">
        <f t="shared" si="19"/>
        <v>0.32122647716804842</v>
      </c>
      <c r="E77" s="41">
        <f t="shared" si="19"/>
        <v>7.8685258964143426E-2</v>
      </c>
      <c r="F77" s="41">
        <f t="shared" si="19"/>
        <v>0.10738688827331487</v>
      </c>
      <c r="G77" s="41">
        <f t="shared" si="19"/>
        <v>0.19478028850162596</v>
      </c>
      <c r="H77" s="41">
        <f t="shared" si="19"/>
        <v>-9.421452997417824E-3</v>
      </c>
      <c r="I77" s="41">
        <f t="shared" si="19"/>
        <v>7.5172608144286321E-2</v>
      </c>
      <c r="J77" s="41">
        <f t="shared" si="19"/>
        <v>9.4620273900792876E-2</v>
      </c>
      <c r="K77" s="41">
        <f t="shared" si="19"/>
        <v>9.2187967674349003E-2</v>
      </c>
      <c r="L77" s="41">
        <f t="shared" si="19"/>
        <v>9.1586736092080026E-2</v>
      </c>
      <c r="M77" s="41">
        <f t="shared" si="19"/>
        <v>0.10328379192608958</v>
      </c>
      <c r="N77" s="41">
        <f t="shared" si="19"/>
        <v>0.14203795567287125</v>
      </c>
      <c r="O77" s="41">
        <f t="shared" si="19"/>
        <v>-6.4557264684785209E-3</v>
      </c>
      <c r="P77" s="41">
        <f t="shared" si="19"/>
        <v>4.6727097705759668E-2</v>
      </c>
      <c r="Q77" s="41">
        <f t="shared" si="19"/>
        <v>5.7631145342376518E-2</v>
      </c>
    </row>
    <row r="78" spans="1:17">
      <c r="A78" s="43" t="s">
        <v>7</v>
      </c>
      <c r="B78" s="44" t="str">
        <f>""</f>
        <v/>
      </c>
      <c r="C78" s="44">
        <f t="shared" ref="C78:Q78" si="20">IFERROR(IF(B11=0,"",(C11-B11)/ABS(B11)),"")</f>
        <v>0.37388683381285109</v>
      </c>
      <c r="D78" s="44">
        <f t="shared" si="20"/>
        <v>0.33835261268448347</v>
      </c>
      <c r="E78" s="44">
        <f t="shared" si="20"/>
        <v>0.14037702108635719</v>
      </c>
      <c r="F78" s="44">
        <f t="shared" si="20"/>
        <v>0.17830774256778831</v>
      </c>
      <c r="G78" s="44">
        <f t="shared" si="20"/>
        <v>0.24187645558389709</v>
      </c>
      <c r="H78" s="44">
        <f t="shared" si="20"/>
        <v>8.2291480621539556E-2</v>
      </c>
      <c r="I78" s="44">
        <f t="shared" si="20"/>
        <v>0.10738891868476422</v>
      </c>
      <c r="J78" s="44">
        <f t="shared" si="20"/>
        <v>0.15270844199389016</v>
      </c>
      <c r="K78" s="44">
        <f t="shared" si="20"/>
        <v>0.11379722698038201</v>
      </c>
      <c r="L78" s="44">
        <f t="shared" si="20"/>
        <v>0.12204747257849226</v>
      </c>
      <c r="M78" s="44">
        <f t="shared" si="20"/>
        <v>0.13496948381090307</v>
      </c>
      <c r="N78" s="44">
        <f t="shared" si="20"/>
        <v>0.16993642764372138</v>
      </c>
      <c r="O78" s="44">
        <f t="shared" si="20"/>
        <v>6.8205278021228943E-2</v>
      </c>
      <c r="P78" s="44">
        <f t="shared" si="20"/>
        <v>4.7769249001768557E-2</v>
      </c>
      <c r="Q78" s="44">
        <f t="shared" si="20"/>
        <v>8.1507647867471764E-2</v>
      </c>
    </row>
    <row r="79" spans="1:17">
      <c r="A79" s="43" t="s">
        <v>8</v>
      </c>
      <c r="B79" s="44" t="str">
        <f>""</f>
        <v/>
      </c>
      <c r="C79" s="44">
        <f t="shared" ref="C79:Q79" si="21">IFERROR(IF(B12=0,"",(C12-B12)/ABS(B12)),"")</f>
        <v>0.83791134076692952</v>
      </c>
      <c r="D79" s="44">
        <f t="shared" si="21"/>
        <v>0.63483279076649901</v>
      </c>
      <c r="E79" s="44">
        <f t="shared" si="21"/>
        <v>-0.11299578211835412</v>
      </c>
      <c r="F79" s="44">
        <f t="shared" si="21"/>
        <v>7.1511663503336806E-2</v>
      </c>
      <c r="G79" s="44">
        <f t="shared" si="21"/>
        <v>0.35668437994019392</v>
      </c>
      <c r="H79" s="44">
        <f t="shared" si="21"/>
        <v>-0.15732135336234732</v>
      </c>
      <c r="I79" s="44">
        <f t="shared" si="21"/>
        <v>2.1991203518592562E-2</v>
      </c>
      <c r="J79" s="44">
        <f t="shared" si="21"/>
        <v>0.15574465310380803</v>
      </c>
      <c r="K79" s="44">
        <f t="shared" si="21"/>
        <v>-9.8282038985584921E-2</v>
      </c>
      <c r="L79" s="44">
        <f t="shared" si="21"/>
        <v>3.6884091975598311E-2</v>
      </c>
      <c r="M79" s="44">
        <f t="shared" si="21"/>
        <v>0.64357048032826458</v>
      </c>
      <c r="N79" s="44">
        <f t="shared" si="21"/>
        <v>9.6265225013538444E-2</v>
      </c>
      <c r="O79" s="44">
        <f t="shared" si="21"/>
        <v>-4.3001749876503931E-2</v>
      </c>
      <c r="P79" s="44">
        <f t="shared" si="21"/>
        <v>7.799581805933456E-2</v>
      </c>
      <c r="Q79" s="44">
        <f t="shared" si="21"/>
        <v>7.9811063498246987E-2</v>
      </c>
    </row>
    <row r="80" spans="1:17"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</row>
    <row r="81" spans="1:17"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</row>
    <row r="82" spans="1:17">
      <c r="A82" t="s">
        <v>10</v>
      </c>
      <c r="B82" s="41" t="str">
        <f>""</f>
        <v/>
      </c>
      <c r="C82" s="41">
        <f t="shared" ref="C82:Q82" si="22">IFERROR(IF(B15=0,"",(C15-B15)/ABS(B15)),"")</f>
        <v>1.6774193548387097</v>
      </c>
      <c r="D82" s="41">
        <f t="shared" si="22"/>
        <v>0.25783132530120484</v>
      </c>
      <c r="E82" s="41">
        <f t="shared" si="22"/>
        <v>1.2145593869731801</v>
      </c>
      <c r="F82" s="41">
        <f t="shared" si="22"/>
        <v>-0.15224913494809689</v>
      </c>
      <c r="G82" s="41">
        <f t="shared" si="22"/>
        <v>0.31122448979591838</v>
      </c>
      <c r="H82" s="41">
        <f t="shared" si="22"/>
        <v>4.9027237354085602E-2</v>
      </c>
      <c r="I82" s="41">
        <f t="shared" si="22"/>
        <v>1.0363501483679525</v>
      </c>
      <c r="J82" s="41">
        <f t="shared" si="22"/>
        <v>-0.26958105646630237</v>
      </c>
      <c r="K82" s="41">
        <f t="shared" si="22"/>
        <v>-9.8753117206982544E-2</v>
      </c>
      <c r="L82" s="41">
        <f t="shared" si="22"/>
        <v>-0.55561704482567786</v>
      </c>
      <c r="M82" s="41">
        <f t="shared" si="22"/>
        <v>-0.67870485678704862</v>
      </c>
      <c r="N82" s="41">
        <f t="shared" si="22"/>
        <v>-2.2945736434108528</v>
      </c>
      <c r="O82" s="41">
        <f t="shared" si="22"/>
        <v>-0.69161676646706582</v>
      </c>
      <c r="P82" s="41">
        <f t="shared" si="22"/>
        <v>1.4761061946902654</v>
      </c>
      <c r="Q82" s="41">
        <f t="shared" si="22"/>
        <v>-2.1933085501858738</v>
      </c>
    </row>
    <row r="83" spans="1:17">
      <c r="A83" t="s">
        <v>11</v>
      </c>
      <c r="B83" s="41" t="str">
        <f>""</f>
        <v/>
      </c>
      <c r="C83" s="41">
        <f t="shared" ref="C83:Q83" si="23">IFERROR(IF(B16=0,"",(C16-B16)/ABS(B16)),"")</f>
        <v>1.6774193548387097</v>
      </c>
      <c r="D83" s="41">
        <f t="shared" si="23"/>
        <v>0.25783132530120484</v>
      </c>
      <c r="E83" s="41">
        <f t="shared" si="23"/>
        <v>1.2145593869731801</v>
      </c>
      <c r="F83" s="41">
        <f t="shared" si="23"/>
        <v>-0.15224913494809689</v>
      </c>
      <c r="G83" s="41">
        <f t="shared" si="23"/>
        <v>0.31122448979591838</v>
      </c>
      <c r="H83" s="41">
        <f t="shared" si="23"/>
        <v>4.9027237354085602E-2</v>
      </c>
      <c r="I83" s="41">
        <f t="shared" si="23"/>
        <v>1.0363501483679525</v>
      </c>
      <c r="J83" s="41">
        <f t="shared" si="23"/>
        <v>-0.26958105646630237</v>
      </c>
      <c r="K83" s="41">
        <f t="shared" si="23"/>
        <v>-9.8753117206982544E-2</v>
      </c>
      <c r="L83" s="41">
        <f t="shared" si="23"/>
        <v>-0.55561704482567786</v>
      </c>
      <c r="M83" s="41">
        <f t="shared" si="23"/>
        <v>-0.67870485678704862</v>
      </c>
      <c r="N83" s="41">
        <f t="shared" si="23"/>
        <v>-2.2945736434108528</v>
      </c>
      <c r="O83" s="41">
        <f t="shared" si="23"/>
        <v>-0.69161676646706582</v>
      </c>
      <c r="P83" s="41">
        <f t="shared" si="23"/>
        <v>1.4761061946902654</v>
      </c>
      <c r="Q83" s="41">
        <f t="shared" si="23"/>
        <v>-2.1933085501858738</v>
      </c>
    </row>
    <row r="84" spans="1:17"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</row>
    <row r="85" spans="1:17"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</row>
    <row r="86" spans="1:17">
      <c r="A86" s="43" t="s">
        <v>12</v>
      </c>
      <c r="B86" s="44" t="str">
        <f>""</f>
        <v/>
      </c>
      <c r="C86" s="44">
        <f t="shared" ref="C86:Q86" si="24">IFERROR(IF(B19=0,"",(C19-B19)/ABS(B19)),"")</f>
        <v>0.84492988133764835</v>
      </c>
      <c r="D86" s="44">
        <f t="shared" si="24"/>
        <v>0.63025873410320132</v>
      </c>
      <c r="E86" s="44">
        <f t="shared" si="24"/>
        <v>-0.10056847730574037</v>
      </c>
      <c r="F86" s="44">
        <f t="shared" si="24"/>
        <v>6.6354301664838994E-2</v>
      </c>
      <c r="G86" s="44">
        <f t="shared" si="24"/>
        <v>0.35585139203111271</v>
      </c>
      <c r="H86" s="44">
        <f t="shared" si="24"/>
        <v>-0.15366475901537613</v>
      </c>
      <c r="I86" s="44">
        <f t="shared" si="24"/>
        <v>4.4271003063286192E-2</v>
      </c>
      <c r="J86" s="44">
        <f t="shared" si="24"/>
        <v>0.13752750081917334</v>
      </c>
      <c r="K86" s="44">
        <f t="shared" si="24"/>
        <v>-9.8294994719010195E-2</v>
      </c>
      <c r="L86" s="44">
        <f t="shared" si="24"/>
        <v>2.0597228349331427E-2</v>
      </c>
      <c r="M86" s="44">
        <f t="shared" si="24"/>
        <v>0.62774440685039723</v>
      </c>
      <c r="N86" s="44">
        <f t="shared" si="24"/>
        <v>9.0616901846951203E-2</v>
      </c>
      <c r="O86" s="44">
        <f t="shared" si="24"/>
        <v>-4.5061837233319059E-2</v>
      </c>
      <c r="P86" s="44">
        <f t="shared" si="24"/>
        <v>8.5716044172469585E-2</v>
      </c>
      <c r="Q86" s="44">
        <f t="shared" si="24"/>
        <v>7.4859294651172206E-2</v>
      </c>
    </row>
    <row r="87" spans="1:17">
      <c r="A87" t="s">
        <v>13</v>
      </c>
      <c r="B87" s="41" t="str">
        <f>""</f>
        <v/>
      </c>
      <c r="C87" s="41">
        <f t="shared" ref="C87:Q87" si="25">IFERROR(IF(B20=0,"",(C20-B20)/ABS(B20)),"")</f>
        <v>0.82968853545394305</v>
      </c>
      <c r="D87" s="41">
        <f t="shared" si="25"/>
        <v>0.6938307376554389</v>
      </c>
      <c r="E87" s="41">
        <f t="shared" si="25"/>
        <v>-6.5003563791874552E-2</v>
      </c>
      <c r="F87" s="41">
        <f t="shared" si="25"/>
        <v>6.5177618539411494E-2</v>
      </c>
      <c r="G87" s="41">
        <f t="shared" si="25"/>
        <v>0.36842481929435339</v>
      </c>
      <c r="H87" s="41">
        <f t="shared" si="25"/>
        <v>-0.17969771455467809</v>
      </c>
      <c r="I87" s="41">
        <f t="shared" si="25"/>
        <v>3.3790245457443416E-3</v>
      </c>
      <c r="J87" s="41">
        <f t="shared" si="25"/>
        <v>-0.15033676451899861</v>
      </c>
      <c r="K87" s="41">
        <f t="shared" si="25"/>
        <v>-0.21619802572539634</v>
      </c>
      <c r="L87" s="41">
        <f t="shared" si="25"/>
        <v>-7.6424005343001616E-2</v>
      </c>
      <c r="M87" s="41">
        <f t="shared" si="25"/>
        <v>0.50072314049586775</v>
      </c>
      <c r="N87" s="41">
        <f t="shared" si="25"/>
        <v>0.32856061127555586</v>
      </c>
      <c r="O87" s="41">
        <f t="shared" si="25"/>
        <v>-0.13259067357512955</v>
      </c>
      <c r="P87" s="41">
        <f t="shared" si="25"/>
        <v>0.77701451526193177</v>
      </c>
      <c r="Q87" s="41">
        <f t="shared" si="25"/>
        <v>-0.30353961477696728</v>
      </c>
    </row>
    <row r="88" spans="1:17">
      <c r="A88" s="43" t="s">
        <v>14</v>
      </c>
      <c r="B88" s="44" t="str">
        <f>""</f>
        <v/>
      </c>
      <c r="C88" s="44">
        <f t="shared" ref="C88:Q88" si="26">IFERROR(IF(B21=0,"",(C21-B21)/ABS(B21)),"")</f>
        <v>0.84985370727181897</v>
      </c>
      <c r="D88" s="44">
        <f t="shared" si="26"/>
        <v>0.60994522027621323</v>
      </c>
      <c r="E88" s="44">
        <f t="shared" si="26"/>
        <v>-0.11252486042220784</v>
      </c>
      <c r="F88" s="44">
        <f t="shared" si="26"/>
        <v>6.677106677106677E-2</v>
      </c>
      <c r="G88" s="44">
        <f t="shared" si="26"/>
        <v>0.35140470766894455</v>
      </c>
      <c r="H88" s="44">
        <f t="shared" si="26"/>
        <v>-0.14434206090571974</v>
      </c>
      <c r="I88" s="44">
        <f t="shared" si="26"/>
        <v>5.8309803664061986E-2</v>
      </c>
      <c r="J88" s="44">
        <f t="shared" si="26"/>
        <v>0.23122582780087278</v>
      </c>
      <c r="K88" s="44">
        <f t="shared" si="26"/>
        <v>-7.1811325191916811E-2</v>
      </c>
      <c r="L88" s="44">
        <f t="shared" si="26"/>
        <v>3.9000289561314606E-2</v>
      </c>
      <c r="M88" s="44">
        <f t="shared" si="26"/>
        <v>0.64916131055024295</v>
      </c>
      <c r="N88" s="44">
        <f t="shared" si="26"/>
        <v>5.4108576256865229E-2</v>
      </c>
      <c r="O88" s="44">
        <f t="shared" si="26"/>
        <v>-2.8135426790777834E-2</v>
      </c>
      <c r="P88" s="44">
        <f t="shared" si="26"/>
        <v>-3.3599670086086914E-2</v>
      </c>
      <c r="Q88" s="44">
        <f t="shared" si="26"/>
        <v>0.19495177946573355</v>
      </c>
    </row>
    <row r="89" spans="1:17"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</row>
    <row r="90" spans="1:17"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</row>
    <row r="91" spans="1:17">
      <c r="A91" s="39" t="s">
        <v>15</v>
      </c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</row>
    <row r="92" spans="1:17">
      <c r="A92" t="s">
        <v>16</v>
      </c>
      <c r="B92" s="41" t="str">
        <f>""</f>
        <v/>
      </c>
      <c r="C92" s="41">
        <f t="shared" ref="C92:Q92" si="27">IFERROR(IF(B25=0,"",(C25-B25)/ABS(B25)),"")</f>
        <v>-0.12840777906047421</v>
      </c>
      <c r="D92" s="41">
        <f t="shared" si="27"/>
        <v>9.4854814060112078E-2</v>
      </c>
      <c r="E92" s="41">
        <f t="shared" si="27"/>
        <v>0.32691233947515352</v>
      </c>
      <c r="F92" s="41">
        <f t="shared" si="27"/>
        <v>-2.9104425275264745E-2</v>
      </c>
      <c r="G92" s="41">
        <f t="shared" si="27"/>
        <v>0.52557064432245015</v>
      </c>
      <c r="H92" s="41">
        <f t="shared" si="27"/>
        <v>-3.0113636363636363E-2</v>
      </c>
      <c r="I92" s="41">
        <f t="shared" si="27"/>
        <v>-9.5196250732278859E-3</v>
      </c>
      <c r="J92" s="41">
        <f t="shared" si="27"/>
        <v>0.27719453891271134</v>
      </c>
      <c r="K92" s="41">
        <f t="shared" si="27"/>
        <v>0.88492262570910352</v>
      </c>
      <c r="L92" s="41">
        <f t="shared" si="27"/>
        <v>-0.22168536565391861</v>
      </c>
      <c r="M92" s="41">
        <f t="shared" si="27"/>
        <v>-8.0913299663299659E-2</v>
      </c>
      <c r="N92" s="41">
        <f t="shared" si="27"/>
        <v>-0.32323983972524328</v>
      </c>
      <c r="O92" s="41">
        <f t="shared" si="27"/>
        <v>0.26723335870760384</v>
      </c>
      <c r="P92" s="41">
        <f t="shared" si="27"/>
        <v>-7.3418988820290337E-4</v>
      </c>
      <c r="Q92" s="41">
        <f t="shared" si="27"/>
        <v>0.20008015228934978</v>
      </c>
    </row>
    <row r="93" spans="1:17">
      <c r="A93" t="s">
        <v>17</v>
      </c>
      <c r="B93" s="41" t="str">
        <f>""</f>
        <v/>
      </c>
      <c r="C93" s="41">
        <f t="shared" ref="C93:Q93" si="28">IFERROR(IF(B26=0,"",(C26-B26)/ABS(B26)),"")</f>
        <v>0.12382477888432342</v>
      </c>
      <c r="D93" s="41">
        <f t="shared" si="28"/>
        <v>0.13918324347772201</v>
      </c>
      <c r="E93" s="41">
        <f t="shared" si="28"/>
        <v>0.42996246532122068</v>
      </c>
      <c r="F93" s="41">
        <f t="shared" si="28"/>
        <v>-0.57267851029025751</v>
      </c>
      <c r="G93" s="41">
        <f t="shared" si="28"/>
        <v>0.82328852488204396</v>
      </c>
      <c r="H93" s="41">
        <f t="shared" si="28"/>
        <v>1.2787461549729018</v>
      </c>
      <c r="I93" s="41">
        <f t="shared" si="28"/>
        <v>0.15472134730346468</v>
      </c>
      <c r="J93" s="41">
        <f t="shared" si="28"/>
        <v>-0.25057522452312031</v>
      </c>
      <c r="K93" s="41">
        <f t="shared" si="28"/>
        <v>0.28040507081311283</v>
      </c>
      <c r="L93" s="41">
        <f t="shared" si="28"/>
        <v>2.3475721772088256E-2</v>
      </c>
      <c r="M93" s="41">
        <f t="shared" si="28"/>
        <v>-0.47665652691442933</v>
      </c>
      <c r="N93" s="41">
        <f t="shared" si="28"/>
        <v>-0.10978735694429402</v>
      </c>
      <c r="O93" s="41">
        <f t="shared" si="28"/>
        <v>0.28112580095709305</v>
      </c>
      <c r="P93" s="41">
        <f t="shared" si="28"/>
        <v>0.11516302627413738</v>
      </c>
      <c r="Q93" s="41">
        <f t="shared" si="28"/>
        <v>-0.46738389917111389</v>
      </c>
    </row>
    <row r="94" spans="1:17">
      <c r="A94" t="s">
        <v>18</v>
      </c>
      <c r="B94" s="41" t="str">
        <f>""</f>
        <v/>
      </c>
      <c r="C94" s="41">
        <f t="shared" ref="C94:Q94" si="29">IFERROR(IF(B27=0,"",(C27-B27)/ABS(B27)),"")</f>
        <v>-2.5589836660617059E-2</v>
      </c>
      <c r="D94" s="41">
        <f t="shared" si="29"/>
        <v>1.0357608493201713</v>
      </c>
      <c r="E94" s="41">
        <f t="shared" si="29"/>
        <v>0.19871912168344008</v>
      </c>
      <c r="F94" s="41">
        <f t="shared" si="29"/>
        <v>0.33262097389711492</v>
      </c>
      <c r="G94" s="41">
        <f t="shared" si="29"/>
        <v>-3.4994272623138603E-2</v>
      </c>
      <c r="H94" s="41">
        <f t="shared" si="29"/>
        <v>-6.4989020119888427E-2</v>
      </c>
      <c r="I94" s="41">
        <f t="shared" si="29"/>
        <v>0.13456899834962549</v>
      </c>
      <c r="J94" s="41">
        <f t="shared" si="29"/>
        <v>0.29719145127000113</v>
      </c>
      <c r="K94" s="41">
        <f t="shared" si="29"/>
        <v>-1.1213663417579574E-2</v>
      </c>
      <c r="L94" s="41">
        <f t="shared" si="29"/>
        <v>-0.29686818459391084</v>
      </c>
      <c r="M94" s="41">
        <f t="shared" si="29"/>
        <v>0.63014888337468977</v>
      </c>
      <c r="N94" s="41">
        <f t="shared" si="29"/>
        <v>7.2532156176269125E-2</v>
      </c>
      <c r="O94" s="41">
        <f t="shared" si="29"/>
        <v>4.6977008231620779E-2</v>
      </c>
      <c r="P94" s="41">
        <f t="shared" si="29"/>
        <v>0.13223532601328453</v>
      </c>
      <c r="Q94" s="41">
        <f t="shared" si="29"/>
        <v>0.1905716851242143</v>
      </c>
    </row>
    <row r="95" spans="1:17">
      <c r="A95" t="s">
        <v>19</v>
      </c>
      <c r="B95" s="41" t="str">
        <f>""</f>
        <v/>
      </c>
      <c r="C95" s="41">
        <f t="shared" ref="C95:Q95" si="30">IFERROR(IF(B28=0,"",(C28-B28)/ABS(B28)),"")</f>
        <v>-0.26165556612749763</v>
      </c>
      <c r="D95" s="41">
        <f t="shared" si="30"/>
        <v>1.9329896907216496E-2</v>
      </c>
      <c r="E95" s="41">
        <f t="shared" si="30"/>
        <v>1.2300884955752212</v>
      </c>
      <c r="F95" s="41">
        <f t="shared" si="30"/>
        <v>0.19671201814058956</v>
      </c>
      <c r="G95" s="41">
        <f t="shared" si="30"/>
        <v>0.11274277593557555</v>
      </c>
      <c r="H95" s="41">
        <f t="shared" si="30"/>
        <v>-9.2379736057896983E-2</v>
      </c>
      <c r="I95" s="41">
        <f t="shared" si="30"/>
        <v>1.2772045028142589</v>
      </c>
      <c r="J95" s="41">
        <f t="shared" si="30"/>
        <v>-0.18516992790937178</v>
      </c>
      <c r="K95" s="41">
        <f t="shared" si="30"/>
        <v>3.7917087967644085E-2</v>
      </c>
      <c r="L95" s="41">
        <f t="shared" si="30"/>
        <v>-1.0959571358986848E-2</v>
      </c>
      <c r="M95" s="41">
        <f t="shared" si="30"/>
        <v>0.62029056882541245</v>
      </c>
      <c r="N95" s="41">
        <f t="shared" si="30"/>
        <v>-0.24832826747720366</v>
      </c>
      <c r="O95" s="41">
        <f t="shared" si="30"/>
        <v>0.28002426202992314</v>
      </c>
      <c r="P95" s="41">
        <f t="shared" si="30"/>
        <v>0.15084504817564365</v>
      </c>
      <c r="Q95" s="41">
        <f t="shared" si="30"/>
        <v>-0.21520724677463629</v>
      </c>
    </row>
    <row r="96" spans="1:17">
      <c r="A96" t="s">
        <v>20</v>
      </c>
      <c r="B96" s="41" t="str">
        <f>""</f>
        <v/>
      </c>
      <c r="C96" s="41">
        <f t="shared" ref="C96:Q96" si="31">IFERROR(IF(B29=0,"",(C29-B29)/ABS(B29)),"")</f>
        <v>0.23105134474327629</v>
      </c>
      <c r="D96" s="41">
        <f t="shared" si="31"/>
        <v>0.28252234359483613</v>
      </c>
      <c r="E96" s="41">
        <f t="shared" si="31"/>
        <v>0.33681765389082463</v>
      </c>
      <c r="F96" s="41">
        <f t="shared" si="31"/>
        <v>0.25050680567622358</v>
      </c>
      <c r="G96" s="41">
        <f t="shared" si="31"/>
        <v>0.28439092172301994</v>
      </c>
      <c r="H96" s="41">
        <f t="shared" si="31"/>
        <v>-1</v>
      </c>
      <c r="I96" s="41" t="str">
        <f t="shared" si="31"/>
        <v/>
      </c>
      <c r="J96" s="41" t="str">
        <f t="shared" si="31"/>
        <v/>
      </c>
      <c r="K96" s="41" t="str">
        <f t="shared" si="31"/>
        <v/>
      </c>
      <c r="L96" s="41" t="str">
        <f t="shared" si="31"/>
        <v/>
      </c>
      <c r="M96" s="41" t="str">
        <f t="shared" si="31"/>
        <v/>
      </c>
      <c r="N96" s="41" t="str">
        <f t="shared" si="31"/>
        <v/>
      </c>
      <c r="O96" s="41" t="str">
        <f t="shared" si="31"/>
        <v/>
      </c>
      <c r="P96" s="41" t="str">
        <f t="shared" si="31"/>
        <v/>
      </c>
      <c r="Q96" s="41" t="str">
        <f t="shared" si="31"/>
        <v/>
      </c>
    </row>
    <row r="97" spans="1:17">
      <c r="A97" t="s">
        <v>21</v>
      </c>
      <c r="B97" s="41" t="str">
        <f>""</f>
        <v/>
      </c>
      <c r="C97" s="41">
        <f t="shared" ref="C97:Q97" si="32">IFERROR(IF(B30=0,"",(C30-B30)/ABS(B30)),"")</f>
        <v>0.43815133665609424</v>
      </c>
      <c r="D97" s="41">
        <f t="shared" si="32"/>
        <v>0.22274732199117833</v>
      </c>
      <c r="E97" s="41">
        <f t="shared" si="32"/>
        <v>-2.8729708837928369E-2</v>
      </c>
      <c r="F97" s="41">
        <f t="shared" si="32"/>
        <v>0.29446876243533626</v>
      </c>
      <c r="G97" s="41">
        <f t="shared" si="32"/>
        <v>0.38272363971718415</v>
      </c>
      <c r="H97" s="41">
        <f t="shared" si="32"/>
        <v>3.7794575366829702E-3</v>
      </c>
      <c r="I97" s="41">
        <f t="shared" si="32"/>
        <v>0.31406423034330011</v>
      </c>
      <c r="J97" s="41">
        <f t="shared" si="32"/>
        <v>0.45002528231923139</v>
      </c>
      <c r="K97" s="41">
        <f t="shared" si="32"/>
        <v>-0.11356503545274904</v>
      </c>
      <c r="L97" s="41">
        <f t="shared" si="32"/>
        <v>-6.7881807850336567E-2</v>
      </c>
      <c r="M97" s="41">
        <f t="shared" si="32"/>
        <v>0.18302461899179367</v>
      </c>
      <c r="N97" s="41">
        <f t="shared" si="32"/>
        <v>0.29808149674964324</v>
      </c>
      <c r="O97" s="41">
        <f t="shared" si="32"/>
        <v>-3.8811530475143519E-2</v>
      </c>
      <c r="P97" s="41">
        <f t="shared" si="32"/>
        <v>4.3079073609302028E-2</v>
      </c>
      <c r="Q97" s="41">
        <f t="shared" si="32"/>
        <v>1.0568635214570707E-2</v>
      </c>
    </row>
    <row r="98" spans="1:17">
      <c r="A98" t="s">
        <v>22</v>
      </c>
      <c r="B98" s="41" t="str">
        <f>""</f>
        <v/>
      </c>
      <c r="C98" s="41">
        <f t="shared" ref="C98:Q98" si="33">IFERROR(IF(B31=0,"",(C31-B31)/ABS(B31)),"")</f>
        <v>0.31389614157238177</v>
      </c>
      <c r="D98" s="41">
        <f t="shared" si="33"/>
        <v>0.42592183705012143</v>
      </c>
      <c r="E98" s="41">
        <f t="shared" si="33"/>
        <v>6.5655001548467012E-2</v>
      </c>
      <c r="F98" s="41">
        <f t="shared" si="33"/>
        <v>0.42487648939261841</v>
      </c>
      <c r="G98" s="41">
        <f t="shared" si="33"/>
        <v>-2.7228227615745462E-2</v>
      </c>
      <c r="H98" s="41">
        <f t="shared" si="33"/>
        <v>-0.13166998637173707</v>
      </c>
      <c r="I98" s="41">
        <f t="shared" si="33"/>
        <v>0.68248219244235175</v>
      </c>
      <c r="J98" s="41">
        <f t="shared" si="33"/>
        <v>-0.13267795637198623</v>
      </c>
      <c r="K98" s="41">
        <f t="shared" si="33"/>
        <v>2.1924381566972781E-2</v>
      </c>
      <c r="L98" s="41">
        <f t="shared" si="33"/>
        <v>-8.8082901554404139E-2</v>
      </c>
      <c r="M98" s="41">
        <f t="shared" si="33"/>
        <v>0.25275213068181818</v>
      </c>
      <c r="N98" s="41">
        <f t="shared" si="33"/>
        <v>0.50400396853518536</v>
      </c>
      <c r="O98" s="41">
        <f t="shared" si="33"/>
        <v>-0.30759082127880127</v>
      </c>
      <c r="P98" s="41">
        <f t="shared" si="33"/>
        <v>-2.7764545763865261E-2</v>
      </c>
      <c r="Q98" s="41">
        <f t="shared" si="33"/>
        <v>2.0858122768950795E-2</v>
      </c>
    </row>
    <row r="99" spans="1:17">
      <c r="A99" s="43" t="s">
        <v>23</v>
      </c>
      <c r="B99" s="44" t="str">
        <f>""</f>
        <v/>
      </c>
      <c r="C99" s="44">
        <f t="shared" ref="C99:Q99" si="34">IFERROR(IF(B32=0,"",(C32-B32)/ABS(B32)),"")</f>
        <v>7.941839819569077E-2</v>
      </c>
      <c r="D99" s="44">
        <f t="shared" si="34"/>
        <v>0.2815195163154619</v>
      </c>
      <c r="E99" s="44">
        <f t="shared" si="34"/>
        <v>0.27115674813105994</v>
      </c>
      <c r="F99" s="44">
        <f t="shared" si="34"/>
        <v>-6.4882787981333401E-2</v>
      </c>
      <c r="G99" s="44">
        <f t="shared" si="34"/>
        <v>0.30419810012986825</v>
      </c>
      <c r="H99" s="44">
        <f t="shared" si="34"/>
        <v>0.1956969276555752</v>
      </c>
      <c r="I99" s="44">
        <f t="shared" si="34"/>
        <v>0.20376348613723344</v>
      </c>
      <c r="J99" s="44">
        <f t="shared" si="34"/>
        <v>2.0941350227369895E-2</v>
      </c>
      <c r="K99" s="44">
        <f t="shared" si="34"/>
        <v>0.23968508972963096</v>
      </c>
      <c r="L99" s="44">
        <f t="shared" si="34"/>
        <v>-0.11734502730025366</v>
      </c>
      <c r="M99" s="44">
        <f t="shared" si="34"/>
        <v>-6.176894226687913E-2</v>
      </c>
      <c r="N99" s="44">
        <f t="shared" si="34"/>
        <v>4.2199412619775131E-3</v>
      </c>
      <c r="O99" s="44">
        <f t="shared" si="34"/>
        <v>6.0271038735644919E-2</v>
      </c>
      <c r="P99" s="44">
        <f t="shared" si="34"/>
        <v>6.562138667929733E-2</v>
      </c>
      <c r="Q99" s="44">
        <f t="shared" si="34"/>
        <v>-3.2878610600900728E-2</v>
      </c>
    </row>
    <row r="100" spans="1:17"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</row>
    <row r="101" spans="1:17">
      <c r="A101" t="s">
        <v>24</v>
      </c>
      <c r="B101" s="41" t="str">
        <f>""</f>
        <v/>
      </c>
      <c r="C101" s="41">
        <f t="shared" ref="C101:Q101" si="35">IFERROR(IF(B34=0,"",(C34-B34)/ABS(B34)),"")</f>
        <v>0.63108221476510062</v>
      </c>
      <c r="D101" s="41">
        <f t="shared" si="35"/>
        <v>0.98688440272598688</v>
      </c>
      <c r="E101" s="41">
        <f t="shared" si="35"/>
        <v>7.4100440072482524E-2</v>
      </c>
      <c r="F101" s="41">
        <f t="shared" si="35"/>
        <v>0.24263421100198831</v>
      </c>
      <c r="G101" s="41">
        <f t="shared" si="35"/>
        <v>8.9555857253685034E-2</v>
      </c>
      <c r="H101" s="41">
        <f t="shared" si="35"/>
        <v>0.20199368074407015</v>
      </c>
      <c r="I101" s="41">
        <f t="shared" si="35"/>
        <v>0.25075897815623843</v>
      </c>
      <c r="J101" s="41">
        <f t="shared" si="35"/>
        <v>0.22262676494094663</v>
      </c>
      <c r="K101" s="41">
        <f t="shared" si="35"/>
        <v>-9.5051326748014725E-2</v>
      </c>
      <c r="L101" s="41">
        <f t="shared" si="35"/>
        <v>-1.6373267697576115E-2</v>
      </c>
      <c r="M101" s="41">
        <f t="shared" si="35"/>
        <v>7.2730239895555673E-2</v>
      </c>
      <c r="N101" s="41">
        <f t="shared" si="35"/>
        <v>6.7875253549695744E-2</v>
      </c>
      <c r="O101" s="41">
        <f t="shared" si="35"/>
        <v>3.7941923688771757E-2</v>
      </c>
      <c r="P101" s="41">
        <f t="shared" si="35"/>
        <v>4.4950245911014527E-2</v>
      </c>
      <c r="Q101" s="41">
        <f t="shared" si="35"/>
        <v>9.0936952714535904E-2</v>
      </c>
    </row>
    <row r="102" spans="1:17">
      <c r="A102" t="s">
        <v>25</v>
      </c>
      <c r="B102" s="41" t="str">
        <f>""</f>
        <v/>
      </c>
      <c r="C102" s="41">
        <f t="shared" ref="C102:Q102" si="36">IFERROR(IF(B35=0,"",(C35-B35)/ABS(B35)),"")</f>
        <v>1.1904611870347761</v>
      </c>
      <c r="D102" s="41">
        <f t="shared" si="36"/>
        <v>0.65633428026897767</v>
      </c>
      <c r="E102" s="41">
        <f t="shared" si="36"/>
        <v>0.15298191528625085</v>
      </c>
      <c r="F102" s="41">
        <f t="shared" si="36"/>
        <v>0.22545779786282541</v>
      </c>
      <c r="G102" s="41">
        <f t="shared" si="36"/>
        <v>0.26046772483520536</v>
      </c>
      <c r="H102" s="41">
        <f t="shared" si="36"/>
        <v>3.8795599305153444E-2</v>
      </c>
      <c r="I102" s="41">
        <f t="shared" si="36"/>
        <v>0.14248665141113653</v>
      </c>
      <c r="J102" s="41">
        <f t="shared" si="36"/>
        <v>-0.12282116334726829</v>
      </c>
      <c r="K102" s="41">
        <f t="shared" si="36"/>
        <v>-0.38324580354685917</v>
      </c>
      <c r="L102" s="41">
        <f t="shared" si="36"/>
        <v>-4.228173265869889E-2</v>
      </c>
      <c r="M102" s="41">
        <f t="shared" si="36"/>
        <v>0.26752703519779553</v>
      </c>
      <c r="N102" s="41">
        <f t="shared" si="36"/>
        <v>-5.5303142863845724E-2</v>
      </c>
      <c r="O102" s="41">
        <f t="shared" si="36"/>
        <v>-0.16771656802284673</v>
      </c>
      <c r="P102" s="41">
        <f t="shared" si="36"/>
        <v>-9.0159532145130492E-2</v>
      </c>
      <c r="Q102" s="41">
        <f t="shared" si="36"/>
        <v>-0.15037330972135682</v>
      </c>
    </row>
    <row r="103" spans="1:17">
      <c r="A103" t="s">
        <v>26</v>
      </c>
      <c r="B103" s="41" t="str">
        <f>""</f>
        <v/>
      </c>
      <c r="C103" s="41">
        <f t="shared" ref="C103:Q103" si="37">IFERROR(IF(B36=0,"",(C36-B36)/ABS(B36)),"")</f>
        <v>0.20917678812415655</v>
      </c>
      <c r="D103" s="41">
        <f t="shared" si="37"/>
        <v>0.26674107142857145</v>
      </c>
      <c r="E103" s="41">
        <f t="shared" si="37"/>
        <v>0.38942731277533038</v>
      </c>
      <c r="F103" s="41">
        <f t="shared" si="37"/>
        <v>1.9270767279644896</v>
      </c>
      <c r="G103" s="41">
        <f t="shared" si="37"/>
        <v>0.10831889081455806</v>
      </c>
      <c r="H103" s="41">
        <f t="shared" si="37"/>
        <v>5.8248631743549648E-2</v>
      </c>
      <c r="I103" s="41">
        <f t="shared" si="37"/>
        <v>5.596601403768009E-2</v>
      </c>
      <c r="J103" s="41">
        <f t="shared" si="37"/>
        <v>-1</v>
      </c>
      <c r="K103" s="41" t="str">
        <f t="shared" si="37"/>
        <v/>
      </c>
      <c r="L103" s="41" t="str">
        <f t="shared" si="37"/>
        <v/>
      </c>
      <c r="M103" s="41" t="str">
        <f t="shared" si="37"/>
        <v/>
      </c>
      <c r="N103" s="41" t="str">
        <f t="shared" si="37"/>
        <v/>
      </c>
      <c r="O103" s="41" t="str">
        <f t="shared" si="37"/>
        <v/>
      </c>
      <c r="P103" s="41" t="str">
        <f t="shared" si="37"/>
        <v/>
      </c>
      <c r="Q103" s="41" t="str">
        <f t="shared" si="37"/>
        <v/>
      </c>
    </row>
    <row r="104" spans="1:17">
      <c r="A104" t="s">
        <v>27</v>
      </c>
      <c r="B104" s="41" t="str">
        <f>""</f>
        <v/>
      </c>
      <c r="C104" s="41">
        <f t="shared" ref="C104:Q104" si="38">IFERROR(IF(B37=0,"",(C37-B37)/ABS(B37)),"")</f>
        <v>9.3391812865497084</v>
      </c>
      <c r="D104" s="41">
        <f t="shared" si="38"/>
        <v>0.19457013574660634</v>
      </c>
      <c r="E104" s="41">
        <f t="shared" si="38"/>
        <v>-1.065340909090909E-2</v>
      </c>
      <c r="F104" s="41">
        <f t="shared" si="38"/>
        <v>-8.8537927733907638E-3</v>
      </c>
      <c r="G104" s="41">
        <f t="shared" si="38"/>
        <v>-6.01158860453887E-2</v>
      </c>
      <c r="H104" s="41">
        <f t="shared" si="38"/>
        <v>-0.17647058823529413</v>
      </c>
      <c r="I104" s="41">
        <f t="shared" si="38"/>
        <v>-0.28321896444167188</v>
      </c>
      <c r="J104" s="41">
        <f t="shared" si="38"/>
        <v>-1</v>
      </c>
      <c r="K104" s="41" t="str">
        <f t="shared" si="38"/>
        <v/>
      </c>
      <c r="L104" s="41" t="str">
        <f t="shared" si="38"/>
        <v/>
      </c>
      <c r="M104" s="41" t="str">
        <f t="shared" si="38"/>
        <v/>
      </c>
      <c r="N104" s="41" t="str">
        <f t="shared" si="38"/>
        <v/>
      </c>
      <c r="O104" s="41" t="str">
        <f t="shared" si="38"/>
        <v/>
      </c>
      <c r="P104" s="41" t="str">
        <f t="shared" si="38"/>
        <v/>
      </c>
      <c r="Q104" s="41" t="str">
        <f t="shared" si="38"/>
        <v/>
      </c>
    </row>
    <row r="105" spans="1:17">
      <c r="A105" t="s">
        <v>28</v>
      </c>
      <c r="B105" s="41" t="str">
        <f>""</f>
        <v/>
      </c>
      <c r="C105" s="41">
        <f t="shared" ref="C105:Q105" si="39">IFERROR(IF(B38=0,"",(C38-B38)/ABS(B38)),"")</f>
        <v>0.57136544410075119</v>
      </c>
      <c r="D105" s="41">
        <f t="shared" si="39"/>
        <v>0.54049493813273342</v>
      </c>
      <c r="E105" s="41">
        <f t="shared" si="39"/>
        <v>-6.0606060606060608E-2</v>
      </c>
      <c r="F105" s="41">
        <f t="shared" si="39"/>
        <v>-0.26855810338126701</v>
      </c>
      <c r="G105" s="41">
        <f t="shared" si="39"/>
        <v>0.47608926673751328</v>
      </c>
      <c r="H105" s="41">
        <f t="shared" si="39"/>
        <v>0.57613390928725705</v>
      </c>
      <c r="I105" s="41">
        <f t="shared" si="39"/>
        <v>0.16044307411213887</v>
      </c>
      <c r="J105" s="41">
        <f t="shared" si="39"/>
        <v>-1</v>
      </c>
      <c r="K105" s="41" t="str">
        <f t="shared" si="39"/>
        <v/>
      </c>
      <c r="L105" s="41" t="str">
        <f t="shared" si="39"/>
        <v/>
      </c>
      <c r="M105" s="41" t="str">
        <f t="shared" si="39"/>
        <v/>
      </c>
      <c r="N105" s="41" t="str">
        <f t="shared" si="39"/>
        <v/>
      </c>
      <c r="O105" s="41" t="str">
        <f t="shared" si="39"/>
        <v/>
      </c>
      <c r="P105" s="41" t="str">
        <f t="shared" si="39"/>
        <v/>
      </c>
      <c r="Q105" s="41" t="str">
        <f t="shared" si="39"/>
        <v/>
      </c>
    </row>
    <row r="106" spans="1:17">
      <c r="A106" t="s">
        <v>29</v>
      </c>
      <c r="B106" s="41" t="str">
        <f>""</f>
        <v/>
      </c>
      <c r="C106" s="41" t="str">
        <f t="shared" ref="C106:Q106" si="40">IFERROR(IF(B39=0,"",(C39-B39)/ABS(B39)),"")</f>
        <v/>
      </c>
      <c r="D106" s="41" t="str">
        <f t="shared" si="40"/>
        <v/>
      </c>
      <c r="E106" s="41" t="str">
        <f t="shared" si="40"/>
        <v/>
      </c>
      <c r="F106" s="41" t="str">
        <f t="shared" si="40"/>
        <v/>
      </c>
      <c r="G106" s="41" t="str">
        <f t="shared" si="40"/>
        <v/>
      </c>
      <c r="H106" s="41" t="str">
        <f t="shared" si="40"/>
        <v/>
      </c>
      <c r="I106" s="41" t="str">
        <f t="shared" si="40"/>
        <v/>
      </c>
      <c r="J106" s="41" t="str">
        <f t="shared" si="40"/>
        <v/>
      </c>
      <c r="K106" s="41">
        <f t="shared" si="40"/>
        <v>0.47996230310101873</v>
      </c>
      <c r="L106" s="41">
        <f t="shared" si="40"/>
        <v>0.28940505791739946</v>
      </c>
      <c r="M106" s="41">
        <f t="shared" si="40"/>
        <v>0.1487935656836461</v>
      </c>
      <c r="N106" s="41">
        <f t="shared" si="40"/>
        <v>0.11420909332842023</v>
      </c>
      <c r="O106" s="41">
        <f t="shared" si="40"/>
        <v>0.1897920188138458</v>
      </c>
      <c r="P106" s="41">
        <f t="shared" si="40"/>
        <v>0.15559467556132062</v>
      </c>
      <c r="Q106" s="41">
        <f t="shared" si="40"/>
        <v>0.11883635780527568</v>
      </c>
    </row>
    <row r="107" spans="1:17">
      <c r="A107" s="43" t="s">
        <v>30</v>
      </c>
      <c r="B107" s="44" t="str">
        <f>""</f>
        <v/>
      </c>
      <c r="C107" s="44">
        <f t="shared" ref="C107:Q107" si="41">IFERROR(IF(B40=0,"",(C40-B40)/ABS(B40)),"")</f>
        <v>1.13051783315923</v>
      </c>
      <c r="D107" s="44">
        <f t="shared" si="41"/>
        <v>0.65881232226160291</v>
      </c>
      <c r="E107" s="44">
        <f t="shared" si="41"/>
        <v>0.12923630405958905</v>
      </c>
      <c r="F107" s="44">
        <f t="shared" si="41"/>
        <v>0.22132312248530445</v>
      </c>
      <c r="G107" s="44">
        <f t="shared" si="41"/>
        <v>0.23142160824944277</v>
      </c>
      <c r="H107" s="44">
        <f t="shared" si="41"/>
        <v>6.8204534040109205E-2</v>
      </c>
      <c r="I107" s="44">
        <f t="shared" si="41"/>
        <v>0.14829831903434085</v>
      </c>
      <c r="J107" s="44">
        <f t="shared" si="41"/>
        <v>-4.9814735237601042E-2</v>
      </c>
      <c r="K107" s="44">
        <f t="shared" si="41"/>
        <v>-0.25039464814451373</v>
      </c>
      <c r="L107" s="44">
        <f t="shared" si="41"/>
        <v>2.548706010916521E-2</v>
      </c>
      <c r="M107" s="44">
        <f t="shared" si="41"/>
        <v>0.19975579297904814</v>
      </c>
      <c r="N107" s="44">
        <f t="shared" si="41"/>
        <v>5.4772720964443994E-3</v>
      </c>
      <c r="O107" s="44">
        <f t="shared" si="41"/>
        <v>-3.8339084426040948E-2</v>
      </c>
      <c r="P107" s="44">
        <f t="shared" si="41"/>
        <v>1.4238076328719674E-2</v>
      </c>
      <c r="Q107" s="44">
        <f t="shared" si="41"/>
        <v>-3.3444500525960765E-3</v>
      </c>
    </row>
    <row r="108" spans="1:17">
      <c r="A108" s="43" t="s">
        <v>31</v>
      </c>
      <c r="B108" s="44" t="str">
        <f>""</f>
        <v/>
      </c>
      <c r="C108" s="44">
        <f t="shared" ref="C108:Q108" si="42">IFERROR(IF(B41=0,"",(C41-B41)/ABS(B41)),"")</f>
        <v>0.54783661200005318</v>
      </c>
      <c r="D108" s="44">
        <f t="shared" si="42"/>
        <v>0.51295425836333797</v>
      </c>
      <c r="E108" s="44">
        <f t="shared" si="42"/>
        <v>0.17570883315158126</v>
      </c>
      <c r="F108" s="44">
        <f t="shared" si="42"/>
        <v>0.11999516908212561</v>
      </c>
      <c r="G108" s="44">
        <f t="shared" si="42"/>
        <v>0.25293414826668509</v>
      </c>
      <c r="H108" s="44">
        <f t="shared" si="42"/>
        <v>0.10743289532117641</v>
      </c>
      <c r="I108" s="44">
        <f t="shared" si="42"/>
        <v>0.16672469426708031</v>
      </c>
      <c r="J108" s="44">
        <f t="shared" si="42"/>
        <v>-2.5562255041711186E-2</v>
      </c>
      <c r="K108" s="44">
        <f t="shared" si="42"/>
        <v>-7.4397429762799921E-2</v>
      </c>
      <c r="L108" s="44">
        <f t="shared" si="42"/>
        <v>-4.3212137683300053E-2</v>
      </c>
      <c r="M108" s="44">
        <f t="shared" si="42"/>
        <v>8.3714123400681711E-2</v>
      </c>
      <c r="N108" s="44">
        <f t="shared" si="42"/>
        <v>4.9942735369029236E-3</v>
      </c>
      <c r="O108" s="44">
        <f t="shared" si="42"/>
        <v>-4.8759053734178114E-4</v>
      </c>
      <c r="P108" s="44">
        <f t="shared" si="42"/>
        <v>3.5160515396374756E-2</v>
      </c>
      <c r="Q108" s="44">
        <f t="shared" si="42"/>
        <v>-1.5724149268453065E-2</v>
      </c>
    </row>
    <row r="109" spans="1:17"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</row>
    <row r="110" spans="1:17">
      <c r="A110" t="s">
        <v>32</v>
      </c>
      <c r="B110" s="41" t="str">
        <f>""</f>
        <v/>
      </c>
      <c r="C110" s="41" t="str">
        <f t="shared" ref="C110:Q110" si="43">IFERROR(IF(B43=0,"",(C43-B43)/ABS(B43)),"")</f>
        <v/>
      </c>
      <c r="D110" s="41" t="str">
        <f t="shared" si="43"/>
        <v/>
      </c>
      <c r="E110" s="41" t="str">
        <f t="shared" si="43"/>
        <v/>
      </c>
      <c r="F110" s="41" t="str">
        <f t="shared" si="43"/>
        <v/>
      </c>
      <c r="G110" s="41" t="str">
        <f t="shared" si="43"/>
        <v/>
      </c>
      <c r="H110" s="41" t="str">
        <f t="shared" si="43"/>
        <v/>
      </c>
      <c r="I110" s="41" t="str">
        <f t="shared" si="43"/>
        <v/>
      </c>
      <c r="J110" s="41" t="str">
        <f t="shared" si="43"/>
        <v/>
      </c>
      <c r="K110" s="41" t="str">
        <f t="shared" si="43"/>
        <v/>
      </c>
      <c r="L110" s="41" t="str">
        <f t="shared" si="43"/>
        <v/>
      </c>
      <c r="M110" s="41" t="str">
        <f t="shared" si="43"/>
        <v/>
      </c>
      <c r="N110" s="41" t="str">
        <f t="shared" si="43"/>
        <v/>
      </c>
      <c r="O110" s="41" t="str">
        <f t="shared" si="43"/>
        <v/>
      </c>
      <c r="P110" s="41" t="str">
        <f t="shared" si="43"/>
        <v/>
      </c>
      <c r="Q110" s="41" t="str">
        <f t="shared" si="43"/>
        <v/>
      </c>
    </row>
    <row r="111" spans="1:17">
      <c r="A111" t="s">
        <v>33</v>
      </c>
      <c r="B111" s="41" t="str">
        <f>""</f>
        <v/>
      </c>
      <c r="C111" s="41">
        <f t="shared" ref="C111:Q111" si="44">IFERROR(IF(B44=0,"",(C44-B44)/ABS(B44)),"")</f>
        <v>0.21781106949646276</v>
      </c>
      <c r="D111" s="41">
        <f t="shared" si="44"/>
        <v>0.44717058501913615</v>
      </c>
      <c r="E111" s="41">
        <f t="shared" si="44"/>
        <v>5.6292798110979932E-2</v>
      </c>
      <c r="F111" s="41">
        <f t="shared" si="44"/>
        <v>0.35002458979746948</v>
      </c>
      <c r="G111" s="41">
        <f t="shared" si="44"/>
        <v>0.17532123460060936</v>
      </c>
      <c r="H111" s="41">
        <f t="shared" si="44"/>
        <v>5.0831220061989292E-2</v>
      </c>
      <c r="I111" s="41">
        <f t="shared" si="44"/>
        <v>0.31519815519922778</v>
      </c>
      <c r="J111" s="41">
        <f t="shared" si="44"/>
        <v>0.13943199657485372</v>
      </c>
      <c r="K111" s="41">
        <f t="shared" si="44"/>
        <v>-0.17270254795304896</v>
      </c>
      <c r="L111" s="41">
        <f t="shared" si="44"/>
        <v>-8.5214983995155286E-2</v>
      </c>
      <c r="M111" s="41">
        <f t="shared" si="44"/>
        <v>0.29475600529600909</v>
      </c>
      <c r="N111" s="41">
        <f t="shared" si="44"/>
        <v>0.17077223672917846</v>
      </c>
      <c r="O111" s="41">
        <f t="shared" si="44"/>
        <v>-2.3457849177259613E-2</v>
      </c>
      <c r="P111" s="41">
        <f t="shared" si="44"/>
        <v>0.1014039066617687</v>
      </c>
      <c r="Q111" s="41">
        <f t="shared" si="44"/>
        <v>1.3051044083526682E-2</v>
      </c>
    </row>
    <row r="112" spans="1:17">
      <c r="A112" t="s">
        <v>34</v>
      </c>
      <c r="B112" s="41" t="str">
        <f>""</f>
        <v/>
      </c>
      <c r="C112" s="41">
        <f t="shared" ref="C112:Q112" si="45">IFERROR(IF(B45=0,"",(C45-B45)/ABS(B45)),"")</f>
        <v>0.61576096452909312</v>
      </c>
      <c r="D112" s="41">
        <f t="shared" si="45"/>
        <v>0.23434627446739484</v>
      </c>
      <c r="E112" s="41">
        <f t="shared" si="45"/>
        <v>0.21394778342386542</v>
      </c>
      <c r="F112" s="41">
        <f t="shared" si="45"/>
        <v>0.33176963048498848</v>
      </c>
      <c r="G112" s="41">
        <f t="shared" si="45"/>
        <v>0.36460196174063836</v>
      </c>
      <c r="H112" s="41">
        <f t="shared" si="45"/>
        <v>-0.12525316707041023</v>
      </c>
      <c r="I112" s="41">
        <f t="shared" si="45"/>
        <v>0.16874744631588506</v>
      </c>
      <c r="J112" s="41">
        <f t="shared" si="45"/>
        <v>-1</v>
      </c>
      <c r="K112" s="41" t="str">
        <f t="shared" si="45"/>
        <v/>
      </c>
      <c r="L112" s="41" t="str">
        <f t="shared" si="45"/>
        <v/>
      </c>
      <c r="M112" s="41" t="str">
        <f t="shared" si="45"/>
        <v/>
      </c>
      <c r="N112" s="41" t="str">
        <f t="shared" si="45"/>
        <v/>
      </c>
      <c r="O112" s="41" t="str">
        <f t="shared" si="45"/>
        <v/>
      </c>
      <c r="P112" s="41" t="str">
        <f t="shared" si="45"/>
        <v/>
      </c>
      <c r="Q112" s="41" t="str">
        <f t="shared" si="45"/>
        <v/>
      </c>
    </row>
    <row r="113" spans="1:17">
      <c r="A113" t="s">
        <v>35</v>
      </c>
      <c r="B113" s="41" t="str">
        <f>""</f>
        <v/>
      </c>
      <c r="C113" s="41">
        <f t="shared" ref="C113:Q113" si="46">IFERROR(IF(B46=0,"",(C46-B46)/ABS(B46)),"")</f>
        <v>0.37097855227882037</v>
      </c>
      <c r="D113" s="41">
        <f t="shared" si="46"/>
        <v>0.45514544121241751</v>
      </c>
      <c r="E113" s="41">
        <f t="shared" si="46"/>
        <v>0.24895010918864438</v>
      </c>
      <c r="F113" s="41">
        <f t="shared" si="46"/>
        <v>0.14203093476798925</v>
      </c>
      <c r="G113" s="41">
        <f t="shared" si="46"/>
        <v>5.2879519491226004E-2</v>
      </c>
      <c r="H113" s="41">
        <f t="shared" si="46"/>
        <v>-9.6196868008948541E-2</v>
      </c>
      <c r="I113" s="41">
        <f t="shared" si="46"/>
        <v>-6.5841584158415845E-2</v>
      </c>
      <c r="J113" s="41">
        <f t="shared" si="46"/>
        <v>-6.624271330153683E-4</v>
      </c>
      <c r="K113" s="41">
        <f t="shared" si="46"/>
        <v>-0.26793053161871933</v>
      </c>
      <c r="L113" s="41">
        <f t="shared" si="46"/>
        <v>0.20300615718942411</v>
      </c>
      <c r="M113" s="41">
        <f t="shared" si="46"/>
        <v>0.14586783079933766</v>
      </c>
      <c r="N113" s="41">
        <f t="shared" si="46"/>
        <v>3.9411455596426698E-2</v>
      </c>
      <c r="O113" s="41">
        <f t="shared" si="46"/>
        <v>1.8832153690596563E-2</v>
      </c>
      <c r="P113" s="41">
        <f t="shared" si="46"/>
        <v>2.3322168465450935E-2</v>
      </c>
      <c r="Q113" s="41">
        <f t="shared" si="46"/>
        <v>9.7708813189477509E-2</v>
      </c>
    </row>
    <row r="114" spans="1:17">
      <c r="A114" t="s">
        <v>36</v>
      </c>
      <c r="B114" s="41" t="str">
        <f>""</f>
        <v/>
      </c>
      <c r="C114" s="41" t="str">
        <f t="shared" ref="C114:Q114" si="47">IFERROR(IF(B47=0,"",(C47-B47)/ABS(B47)),"")</f>
        <v/>
      </c>
      <c r="D114" s="41" t="str">
        <f t="shared" si="47"/>
        <v/>
      </c>
      <c r="E114" s="41" t="str">
        <f t="shared" si="47"/>
        <v/>
      </c>
      <c r="F114" s="41" t="str">
        <f t="shared" si="47"/>
        <v/>
      </c>
      <c r="G114" s="41" t="str">
        <f t="shared" si="47"/>
        <v/>
      </c>
      <c r="H114" s="41" t="str">
        <f t="shared" si="47"/>
        <v/>
      </c>
      <c r="I114" s="41" t="str">
        <f t="shared" si="47"/>
        <v/>
      </c>
      <c r="J114" s="41" t="str">
        <f t="shared" si="47"/>
        <v/>
      </c>
      <c r="K114" s="41">
        <f t="shared" si="47"/>
        <v>0.15397558662465199</v>
      </c>
      <c r="L114" s="41">
        <f t="shared" si="47"/>
        <v>0.13160127253446446</v>
      </c>
      <c r="M114" s="41">
        <f t="shared" si="47"/>
        <v>0.1126651672757942</v>
      </c>
      <c r="N114" s="41">
        <f t="shared" si="47"/>
        <v>0.28113616743520098</v>
      </c>
      <c r="O114" s="41">
        <f t="shared" si="47"/>
        <v>-3.3133371682143149E-2</v>
      </c>
      <c r="P114" s="41">
        <f t="shared" si="47"/>
        <v>0.33104421288820141</v>
      </c>
      <c r="Q114" s="41">
        <f t="shared" si="47"/>
        <v>-0.15218890478136493</v>
      </c>
    </row>
    <row r="115" spans="1:17">
      <c r="A115" t="s">
        <v>37</v>
      </c>
      <c r="B115" s="41" t="str">
        <f>""</f>
        <v/>
      </c>
      <c r="C115" s="41" t="str">
        <f t="shared" ref="C115:Q115" si="48">IFERROR(IF(B48=0,"",(C48-B48)/ABS(B48)),"")</f>
        <v/>
      </c>
      <c r="D115" s="41" t="str">
        <f t="shared" si="48"/>
        <v/>
      </c>
      <c r="E115" s="41" t="str">
        <f t="shared" si="48"/>
        <v/>
      </c>
      <c r="F115" s="41" t="str">
        <f t="shared" si="48"/>
        <v/>
      </c>
      <c r="G115" s="41">
        <f t="shared" si="48"/>
        <v>0.34733671528218135</v>
      </c>
      <c r="H115" s="41">
        <f t="shared" si="48"/>
        <v>-4.6358395105306503E-2</v>
      </c>
      <c r="I115" s="41">
        <f t="shared" si="48"/>
        <v>0.47772979642196173</v>
      </c>
      <c r="J115" s="41">
        <f t="shared" si="48"/>
        <v>-1.0854137096100861E-3</v>
      </c>
      <c r="K115" s="41">
        <f t="shared" si="48"/>
        <v>-0.50016716817118023</v>
      </c>
      <c r="L115" s="41">
        <f t="shared" si="48"/>
        <v>-0.16454849498327759</v>
      </c>
      <c r="M115" s="41">
        <f t="shared" si="48"/>
        <v>0.20096076861489193</v>
      </c>
      <c r="N115" s="41">
        <f t="shared" si="48"/>
        <v>0.66366666666666663</v>
      </c>
      <c r="O115" s="41">
        <f t="shared" si="48"/>
        <v>-0.40042075736325383</v>
      </c>
      <c r="P115" s="41">
        <f t="shared" si="48"/>
        <v>0.6653299916457811</v>
      </c>
      <c r="Q115" s="41">
        <f t="shared" si="48"/>
        <v>-0.19945821209992975</v>
      </c>
    </row>
    <row r="116" spans="1:17">
      <c r="A116" t="s">
        <v>38</v>
      </c>
      <c r="B116" s="41" t="str">
        <f>""</f>
        <v/>
      </c>
      <c r="C116" s="41" t="str">
        <f t="shared" ref="C116:Q116" si="49">IFERROR(IF(B49=0,"",(C49-B49)/ABS(B49)),"")</f>
        <v/>
      </c>
      <c r="D116" s="41" t="str">
        <f t="shared" si="49"/>
        <v/>
      </c>
      <c r="E116" s="41" t="str">
        <f t="shared" si="49"/>
        <v/>
      </c>
      <c r="F116" s="41" t="str">
        <f t="shared" si="49"/>
        <v/>
      </c>
      <c r="G116" s="41" t="str">
        <f t="shared" si="49"/>
        <v/>
      </c>
      <c r="H116" s="41">
        <f t="shared" si="49"/>
        <v>0.4</v>
      </c>
      <c r="I116" s="41">
        <f t="shared" si="49"/>
        <v>0.85599999999999998</v>
      </c>
      <c r="J116" s="41">
        <f t="shared" si="49"/>
        <v>0.35221674876847292</v>
      </c>
      <c r="K116" s="41">
        <f t="shared" si="49"/>
        <v>0.16803278688524589</v>
      </c>
      <c r="L116" s="41">
        <f t="shared" si="49"/>
        <v>-0.1449317738791423</v>
      </c>
      <c r="M116" s="41">
        <f t="shared" si="49"/>
        <v>9.5748318705117977E-2</v>
      </c>
      <c r="N116" s="41">
        <f t="shared" si="49"/>
        <v>0.15759908457297409</v>
      </c>
      <c r="O116" s="41">
        <f t="shared" si="49"/>
        <v>-0.11736161035226456</v>
      </c>
      <c r="P116" s="41">
        <f t="shared" si="49"/>
        <v>0.11097536143351659</v>
      </c>
      <c r="Q116" s="41">
        <f t="shared" si="49"/>
        <v>0.13178152492668621</v>
      </c>
    </row>
    <row r="117" spans="1:17">
      <c r="A117" s="43" t="s">
        <v>39</v>
      </c>
      <c r="B117" s="44" t="str">
        <f>""</f>
        <v/>
      </c>
      <c r="C117" s="44">
        <f t="shared" ref="C117:Q117" si="50">IFERROR(IF(B50=0,"",(C50-B50)/ABS(B50)),"")</f>
        <v>0.3497731879162243</v>
      </c>
      <c r="D117" s="44">
        <f t="shared" si="50"/>
        <v>0.37797640328923848</v>
      </c>
      <c r="E117" s="44">
        <f t="shared" si="50"/>
        <v>0.1327383114524415</v>
      </c>
      <c r="F117" s="44">
        <f t="shared" si="50"/>
        <v>0.45329607402996014</v>
      </c>
      <c r="G117" s="44">
        <f t="shared" si="50"/>
        <v>0.27048921951834576</v>
      </c>
      <c r="H117" s="44">
        <f t="shared" si="50"/>
        <v>-1.9898275648182608E-2</v>
      </c>
      <c r="I117" s="44">
        <f t="shared" si="50"/>
        <v>0.27602966863276207</v>
      </c>
      <c r="J117" s="44">
        <f t="shared" si="50"/>
        <v>0.15922391731307159</v>
      </c>
      <c r="K117" s="44">
        <f t="shared" si="50"/>
        <v>-9.5391302859685445E-2</v>
      </c>
      <c r="L117" s="44">
        <f t="shared" si="50"/>
        <v>-3.0836754384305416E-3</v>
      </c>
      <c r="M117" s="44">
        <f t="shared" si="50"/>
        <v>0.19061219067860938</v>
      </c>
      <c r="N117" s="44">
        <f t="shared" si="50"/>
        <v>0.22713398841258836</v>
      </c>
      <c r="O117" s="44">
        <f t="shared" si="50"/>
        <v>-5.6331259497863384E-2</v>
      </c>
      <c r="P117" s="44">
        <f t="shared" si="50"/>
        <v>0.21391802240757563</v>
      </c>
      <c r="Q117" s="44">
        <f t="shared" si="50"/>
        <v>-6.1006168080185046E-2</v>
      </c>
    </row>
    <row r="118" spans="1:17"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</row>
    <row r="119" spans="1:17">
      <c r="A119" t="s">
        <v>40</v>
      </c>
      <c r="B119" s="41" t="str">
        <f>""</f>
        <v/>
      </c>
      <c r="C119" s="41" t="str">
        <f t="shared" ref="C119:Q119" si="51">IFERROR(IF(B52=0,"",(C52-B52)/ABS(B52)),"")</f>
        <v/>
      </c>
      <c r="D119" s="41" t="str">
        <f t="shared" si="51"/>
        <v/>
      </c>
      <c r="E119" s="41" t="str">
        <f t="shared" si="51"/>
        <v/>
      </c>
      <c r="F119" s="41">
        <f t="shared" si="51"/>
        <v>0.70913915094339619</v>
      </c>
      <c r="G119" s="41">
        <f t="shared" si="51"/>
        <v>0.84437851450650292</v>
      </c>
      <c r="H119" s="41">
        <f t="shared" si="51"/>
        <v>0.41082617885266448</v>
      </c>
      <c r="I119" s="41">
        <f t="shared" si="51"/>
        <v>0.28875601575032811</v>
      </c>
      <c r="J119" s="41">
        <f t="shared" si="51"/>
        <v>-3.5717592354460072E-2</v>
      </c>
      <c r="K119" s="41">
        <f t="shared" si="51"/>
        <v>-2.0568624313223448E-2</v>
      </c>
      <c r="L119" s="41">
        <f t="shared" si="51"/>
        <v>7.4721971091528963E-2</v>
      </c>
      <c r="M119" s="41">
        <f t="shared" si="51"/>
        <v>0.1058003182421681</v>
      </c>
      <c r="N119" s="41">
        <f t="shared" si="51"/>
        <v>-9.3001301486627677E-2</v>
      </c>
      <c r="O119" s="41">
        <f t="shared" si="51"/>
        <v>-3.7166907507149426E-2</v>
      </c>
      <c r="P119" s="41">
        <f t="shared" si="51"/>
        <v>-0.10003043628845205</v>
      </c>
      <c r="Q119" s="41">
        <f t="shared" si="51"/>
        <v>-8.6553935860058315E-2</v>
      </c>
    </row>
    <row r="120" spans="1:17">
      <c r="A120" t="s">
        <v>41</v>
      </c>
      <c r="B120" s="41" t="str">
        <f>""</f>
        <v/>
      </c>
      <c r="C120" s="41">
        <f t="shared" ref="C120:Q120" si="52">IFERROR(IF(B53=0,"",(C53-B53)/ABS(B53)),"")</f>
        <v>0.48024582967515367</v>
      </c>
      <c r="D120" s="41">
        <f t="shared" si="52"/>
        <v>0.57058125741399768</v>
      </c>
      <c r="E120" s="41">
        <f t="shared" si="52"/>
        <v>-8.6858006042296078E-3</v>
      </c>
      <c r="F120" s="41">
        <f t="shared" si="52"/>
        <v>0.15466666666666667</v>
      </c>
      <c r="G120" s="41">
        <f t="shared" si="52"/>
        <v>0.19564500164962059</v>
      </c>
      <c r="H120" s="41">
        <f t="shared" si="52"/>
        <v>-0.19150110375275939</v>
      </c>
      <c r="I120" s="41">
        <f t="shared" si="52"/>
        <v>-3.2081911262798635E-2</v>
      </c>
      <c r="J120" s="41">
        <f t="shared" si="52"/>
        <v>-1.3751763046544428E-2</v>
      </c>
      <c r="K120" s="41">
        <f t="shared" si="52"/>
        <v>-1</v>
      </c>
      <c r="L120" s="41" t="str">
        <f t="shared" si="52"/>
        <v/>
      </c>
      <c r="M120" s="41" t="str">
        <f t="shared" si="52"/>
        <v/>
      </c>
      <c r="N120" s="41" t="str">
        <f t="shared" si="52"/>
        <v/>
      </c>
      <c r="O120" s="41" t="str">
        <f t="shared" si="52"/>
        <v/>
      </c>
      <c r="P120" s="41" t="str">
        <f t="shared" si="52"/>
        <v/>
      </c>
      <c r="Q120" s="41" t="str">
        <f t="shared" si="52"/>
        <v/>
      </c>
    </row>
    <row r="121" spans="1:17">
      <c r="A121" t="s">
        <v>42</v>
      </c>
      <c r="B121" s="41" t="str">
        <f>""</f>
        <v/>
      </c>
      <c r="C121" s="41">
        <f t="shared" ref="C121:Q121" si="53">IFERROR(IF(B54=0,"",(C54-B54)/ABS(B54)),"")</f>
        <v>0.82607123485807266</v>
      </c>
      <c r="D121" s="41">
        <f t="shared" si="53"/>
        <v>0.64990099009900992</v>
      </c>
      <c r="E121" s="41">
        <f t="shared" si="53"/>
        <v>0.2126740278444551</v>
      </c>
      <c r="F121" s="41">
        <f t="shared" si="53"/>
        <v>0.22852335708630245</v>
      </c>
      <c r="G121" s="41">
        <f t="shared" si="53"/>
        <v>0.34645130105534522</v>
      </c>
      <c r="H121" s="41">
        <f t="shared" si="53"/>
        <v>7.9187483172285883E-2</v>
      </c>
      <c r="I121" s="41">
        <f t="shared" si="53"/>
        <v>0.12033597604923213</v>
      </c>
      <c r="J121" s="41">
        <f t="shared" si="53"/>
        <v>0.11790176914511939</v>
      </c>
      <c r="K121" s="41">
        <f t="shared" si="53"/>
        <v>0.11781761841522798</v>
      </c>
      <c r="L121" s="41">
        <f t="shared" si="53"/>
        <v>7.8945805199691105E-2</v>
      </c>
      <c r="M121" s="41">
        <f t="shared" si="53"/>
        <v>-2.1380069737566527E-2</v>
      </c>
      <c r="N121" s="41">
        <f t="shared" si="53"/>
        <v>-7.8443506797937171E-2</v>
      </c>
      <c r="O121" s="41">
        <f t="shared" si="53"/>
        <v>1.4366529648772944E-2</v>
      </c>
      <c r="P121" s="41">
        <f t="shared" si="53"/>
        <v>-7.9441502166586422E-2</v>
      </c>
      <c r="Q121" s="41">
        <f t="shared" si="53"/>
        <v>-9.4556311018131098E-2</v>
      </c>
    </row>
    <row r="122" spans="1:17">
      <c r="A122" s="43" t="s">
        <v>43</v>
      </c>
      <c r="B122" s="44" t="str">
        <f>""</f>
        <v/>
      </c>
      <c r="C122" s="44">
        <f t="shared" ref="C122:Q122" si="54">IFERROR(IF(B55=0,"",(C55-B55)/ABS(B55)),"")</f>
        <v>0.7670164917541229</v>
      </c>
      <c r="D122" s="44">
        <f t="shared" si="54"/>
        <v>0.63855421686746983</v>
      </c>
      <c r="E122" s="44">
        <f t="shared" si="54"/>
        <v>1.0605323115161558</v>
      </c>
      <c r="F122" s="44">
        <f t="shared" si="54"/>
        <v>0.42849244842057649</v>
      </c>
      <c r="G122" s="44">
        <f t="shared" si="54"/>
        <v>0.59232284849764272</v>
      </c>
      <c r="H122" s="44">
        <f t="shared" si="54"/>
        <v>0.26423536690456723</v>
      </c>
      <c r="I122" s="44">
        <f t="shared" si="54"/>
        <v>0.22744710786412772</v>
      </c>
      <c r="J122" s="44">
        <f t="shared" si="54"/>
        <v>8.9279357530364957E-3</v>
      </c>
      <c r="K122" s="44">
        <f t="shared" si="54"/>
        <v>4.2198261262278427E-3</v>
      </c>
      <c r="L122" s="44">
        <f t="shared" si="54"/>
        <v>7.6220926147143556E-2</v>
      </c>
      <c r="M122" s="44">
        <f t="shared" si="54"/>
        <v>6.0552243775994566E-2</v>
      </c>
      <c r="N122" s="44">
        <f t="shared" si="54"/>
        <v>-8.8222075835277747E-2</v>
      </c>
      <c r="O122" s="44">
        <f t="shared" si="54"/>
        <v>-2.0067386445736357E-2</v>
      </c>
      <c r="P122" s="44">
        <f t="shared" si="54"/>
        <v>-9.2958678141515483E-2</v>
      </c>
      <c r="Q122" s="44">
        <f t="shared" si="54"/>
        <v>-8.9343502636016953E-2</v>
      </c>
    </row>
    <row r="123" spans="1:17">
      <c r="A123" s="43" t="s">
        <v>44</v>
      </c>
      <c r="B123" s="44" t="str">
        <f>""</f>
        <v/>
      </c>
      <c r="C123" s="44">
        <f t="shared" ref="C123:Q123" si="55">IFERROR(IF(B56=0,"",(C56-B56)/ABS(B56)),"")</f>
        <v>0.45137266355140188</v>
      </c>
      <c r="D123" s="44">
        <f t="shared" si="55"/>
        <v>0.45522688399235334</v>
      </c>
      <c r="E123" s="44">
        <f t="shared" si="55"/>
        <v>0.44244131779997925</v>
      </c>
      <c r="F123" s="44">
        <f t="shared" si="55"/>
        <v>0.4414686462714647</v>
      </c>
      <c r="G123" s="44">
        <f t="shared" si="55"/>
        <v>0.42257174209423737</v>
      </c>
      <c r="H123" s="44">
        <f t="shared" si="55"/>
        <v>0.13039082770388724</v>
      </c>
      <c r="I123" s="44">
        <f t="shared" si="55"/>
        <v>0.24728981528869864</v>
      </c>
      <c r="J123" s="44">
        <f t="shared" si="55"/>
        <v>7.1728174011074633E-2</v>
      </c>
      <c r="K123" s="44">
        <f t="shared" si="55"/>
        <v>-4.0800068064568526E-2</v>
      </c>
      <c r="L123" s="44">
        <f t="shared" si="55"/>
        <v>4.2418597900237068E-2</v>
      </c>
      <c r="M123" s="44">
        <f t="shared" si="55"/>
        <v>0.11356841449783213</v>
      </c>
      <c r="N123" s="44">
        <f t="shared" si="55"/>
        <v>4.9219900525160468E-2</v>
      </c>
      <c r="O123" s="44">
        <f t="shared" si="55"/>
        <v>-3.8552318402558239E-2</v>
      </c>
      <c r="P123" s="44">
        <f t="shared" si="55"/>
        <v>6.0574238130816666E-2</v>
      </c>
      <c r="Q123" s="44">
        <f t="shared" si="55"/>
        <v>-7.3116254910236017E-2</v>
      </c>
    </row>
    <row r="124" spans="1:17"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</row>
    <row r="125" spans="1:17">
      <c r="A125" t="s">
        <v>45</v>
      </c>
      <c r="B125" s="41" t="str">
        <f>""</f>
        <v/>
      </c>
      <c r="C125" s="41">
        <f t="shared" ref="C125:Q125" si="56">IFERROR(IF(B58=0,"",(C58-B58)/ABS(B58)),"")</f>
        <v>0.24962504686914136</v>
      </c>
      <c r="D125" s="41">
        <f t="shared" si="56"/>
        <v>0.23186557647588327</v>
      </c>
      <c r="E125" s="41">
        <f t="shared" si="56"/>
        <v>0.20350748995250273</v>
      </c>
      <c r="F125" s="41">
        <f t="shared" si="56"/>
        <v>0.17956891317547055</v>
      </c>
      <c r="G125" s="41">
        <f t="shared" si="56"/>
        <v>0.17599622528203149</v>
      </c>
      <c r="H125" s="41">
        <f t="shared" si="56"/>
        <v>0.13988182083454917</v>
      </c>
      <c r="I125" s="41">
        <f t="shared" si="56"/>
        <v>0.14770727336725226</v>
      </c>
      <c r="J125" s="41">
        <f t="shared" si="56"/>
        <v>0.12083530822204254</v>
      </c>
      <c r="K125" s="41">
        <f t="shared" si="56"/>
        <v>0.12370339046292381</v>
      </c>
      <c r="L125" s="41">
        <f t="shared" si="56"/>
        <v>0.12407579581175013</v>
      </c>
      <c r="M125" s="41">
        <f t="shared" si="56"/>
        <v>0.12969928513755685</v>
      </c>
      <c r="N125" s="41">
        <f t="shared" si="56"/>
        <v>0.1304628257648392</v>
      </c>
      <c r="O125" s="41">
        <f t="shared" si="56"/>
        <v>0.13821338802448765</v>
      </c>
      <c r="P125" s="41">
        <f t="shared" si="56"/>
        <v>0.12821763398905328</v>
      </c>
      <c r="Q125" s="41">
        <f t="shared" si="56"/>
        <v>0.12358902925212546</v>
      </c>
    </row>
    <row r="126" spans="1:17">
      <c r="A126" t="s">
        <v>46</v>
      </c>
      <c r="B126" s="41" t="str">
        <f>""</f>
        <v/>
      </c>
      <c r="C126" s="41">
        <f t="shared" ref="C126:Q126" si="57">IFERROR(IF(B59=0,"",(C59-B59)/ABS(B59)),"")</f>
        <v>0.69068309612849421</v>
      </c>
      <c r="D126" s="41">
        <f t="shared" si="57"/>
        <v>0.61182985630400533</v>
      </c>
      <c r="E126" s="41">
        <f t="shared" si="57"/>
        <v>2.9292420697212926E-2</v>
      </c>
      <c r="F126" s="41">
        <f t="shared" si="57"/>
        <v>-0.16405770411295273</v>
      </c>
      <c r="G126" s="41">
        <f t="shared" si="57"/>
        <v>5.888562511474206E-2</v>
      </c>
      <c r="H126" s="41">
        <f t="shared" si="57"/>
        <v>4.4211347579211996E-2</v>
      </c>
      <c r="I126" s="41">
        <f t="shared" si="57"/>
        <v>2.0401809804491303E-2</v>
      </c>
      <c r="J126" s="41">
        <f t="shared" si="57"/>
        <v>-0.28404352689921691</v>
      </c>
      <c r="K126" s="41">
        <f t="shared" si="57"/>
        <v>-0.34803977272727271</v>
      </c>
      <c r="L126" s="41">
        <f t="shared" si="57"/>
        <v>-0.67392914723953112</v>
      </c>
      <c r="M126" s="41">
        <f t="shared" si="57"/>
        <v>-0.62835761058399042</v>
      </c>
      <c r="N126" s="41">
        <f t="shared" si="57"/>
        <v>-1</v>
      </c>
      <c r="O126" s="41" t="str">
        <f t="shared" si="57"/>
        <v/>
      </c>
      <c r="P126" s="41" t="str">
        <f t="shared" si="57"/>
        <v/>
      </c>
      <c r="Q126" s="41" t="str">
        <f t="shared" si="57"/>
        <v/>
      </c>
    </row>
    <row r="127" spans="1:17">
      <c r="A127" t="s">
        <v>47</v>
      </c>
      <c r="B127" s="41" t="str">
        <f>""</f>
        <v/>
      </c>
      <c r="C127" s="41" t="str">
        <f t="shared" ref="C127:Q127" si="58">IFERROR(IF(B60=0,"",(C60-B60)/ABS(B60)),"")</f>
        <v/>
      </c>
      <c r="D127" s="41" t="str">
        <f t="shared" si="58"/>
        <v/>
      </c>
      <c r="E127" s="41" t="str">
        <f t="shared" si="58"/>
        <v/>
      </c>
      <c r="F127" s="41" t="str">
        <f t="shared" si="58"/>
        <v/>
      </c>
      <c r="G127" s="41" t="str">
        <f t="shared" si="58"/>
        <v/>
      </c>
      <c r="H127" s="41" t="str">
        <f t="shared" si="58"/>
        <v/>
      </c>
      <c r="I127" s="41" t="str">
        <f t="shared" si="58"/>
        <v/>
      </c>
      <c r="J127" s="41" t="str">
        <f t="shared" si="58"/>
        <v/>
      </c>
      <c r="K127" s="41" t="str">
        <f t="shared" si="58"/>
        <v/>
      </c>
      <c r="L127" s="41" t="str">
        <f t="shared" si="58"/>
        <v/>
      </c>
      <c r="M127" s="41" t="str">
        <f t="shared" si="58"/>
        <v/>
      </c>
      <c r="N127" s="41" t="str">
        <f t="shared" si="58"/>
        <v/>
      </c>
      <c r="O127" s="41">
        <f t="shared" si="58"/>
        <v>0.93024771838331155</v>
      </c>
      <c r="P127" s="41">
        <f t="shared" si="58"/>
        <v>-88.504672897196258</v>
      </c>
      <c r="Q127" s="41">
        <f t="shared" si="58"/>
        <v>0.25529915422366084</v>
      </c>
    </row>
    <row r="128" spans="1:17">
      <c r="A128" t="s">
        <v>48</v>
      </c>
      <c r="B128" s="41" t="str">
        <f>""</f>
        <v/>
      </c>
      <c r="C128" s="41">
        <f t="shared" ref="C128:Q128" si="59">IFERROR(IF(B61=0,"",(C61-B61)/ABS(B61)),"")</f>
        <v>10.630434782608695</v>
      </c>
      <c r="D128" s="41">
        <f t="shared" si="59"/>
        <v>0.12641083521444696</v>
      </c>
      <c r="E128" s="41">
        <f t="shared" si="59"/>
        <v>-1.9438877755511021</v>
      </c>
      <c r="F128" s="41">
        <f t="shared" si="59"/>
        <v>3.2972399150743099</v>
      </c>
      <c r="G128" s="41">
        <f t="shared" si="59"/>
        <v>-1.3188539741219962</v>
      </c>
      <c r="H128" s="41">
        <f t="shared" si="59"/>
        <v>2.8376811594202898</v>
      </c>
      <c r="I128" s="41">
        <f t="shared" si="59"/>
        <v>-1.2365930599369086</v>
      </c>
      <c r="J128" s="41">
        <f t="shared" si="59"/>
        <v>-22.026666666666667</v>
      </c>
      <c r="K128" s="41">
        <f t="shared" si="59"/>
        <v>0.83092067168500294</v>
      </c>
      <c r="L128" s="41">
        <f t="shared" si="59"/>
        <v>0.3047945205479452</v>
      </c>
      <c r="M128" s="41">
        <f t="shared" si="59"/>
        <v>1.4014778325123152</v>
      </c>
      <c r="N128" s="41">
        <f t="shared" si="59"/>
        <v>-69.153374233128829</v>
      </c>
      <c r="O128" s="41">
        <f t="shared" si="59"/>
        <v>-3.0875866414618779E-2</v>
      </c>
      <c r="P128" s="41">
        <f t="shared" si="59"/>
        <v>0.3737338456164862</v>
      </c>
      <c r="Q128" s="41">
        <f t="shared" si="59"/>
        <v>0.22322922476296708</v>
      </c>
    </row>
    <row r="129" spans="1:17">
      <c r="A129" s="43" t="s">
        <v>49</v>
      </c>
      <c r="B129" s="44" t="str">
        <f>""</f>
        <v/>
      </c>
      <c r="C129" s="44">
        <f t="shared" ref="C129:Q129" si="60">IFERROR(IF(B62=0,"",(C62-B62)/ABS(B62)),"")</f>
        <v>0.60312611161097274</v>
      </c>
      <c r="D129" s="44">
        <f t="shared" si="60"/>
        <v>0.54290935195457812</v>
      </c>
      <c r="E129" s="44">
        <f t="shared" si="60"/>
        <v>4.5165383639286016E-2</v>
      </c>
      <c r="F129" s="44">
        <f t="shared" si="60"/>
        <v>-9.7143643412735028E-2</v>
      </c>
      <c r="G129" s="44">
        <f t="shared" si="60"/>
        <v>6.9997400199019247E-2</v>
      </c>
      <c r="H129" s="44">
        <f t="shared" si="60"/>
        <v>7.4517196598382976E-2</v>
      </c>
      <c r="I129" s="44">
        <f t="shared" si="60"/>
        <v>4.5208929504323619E-2</v>
      </c>
      <c r="J129" s="44">
        <f t="shared" si="60"/>
        <v>-0.20067588233977635</v>
      </c>
      <c r="K129" s="44">
        <f t="shared" si="60"/>
        <v>-0.15547798818445688</v>
      </c>
      <c r="L129" s="44">
        <f t="shared" si="60"/>
        <v>-0.27792635487578465</v>
      </c>
      <c r="M129" s="44">
        <f t="shared" si="60"/>
        <v>-3.4420483937617659E-2</v>
      </c>
      <c r="N129" s="44">
        <f t="shared" si="60"/>
        <v>-0.19682992550324932</v>
      </c>
      <c r="O129" s="44">
        <f t="shared" si="60"/>
        <v>0.22643669087464477</v>
      </c>
      <c r="P129" s="44">
        <f t="shared" si="60"/>
        <v>-8.3609564573745701E-2</v>
      </c>
      <c r="Q129" s="44">
        <f t="shared" si="60"/>
        <v>0.2946971027216857</v>
      </c>
    </row>
    <row r="130" spans="1:17">
      <c r="A130" s="43" t="s">
        <v>50</v>
      </c>
      <c r="B130" s="44" t="str">
        <f>""</f>
        <v/>
      </c>
      <c r="C130" s="44">
        <f t="shared" ref="C130:Q130" si="61">IFERROR(IF(B63=0,"",(C63-B63)/ABS(B63)),"")</f>
        <v>0.54783661200005318</v>
      </c>
      <c r="D130" s="44">
        <f t="shared" si="61"/>
        <v>0.51295425836333797</v>
      </c>
      <c r="E130" s="44">
        <f t="shared" si="61"/>
        <v>0.17570883315158126</v>
      </c>
      <c r="F130" s="44">
        <f t="shared" si="61"/>
        <v>0.11999516908212561</v>
      </c>
      <c r="G130" s="44">
        <f t="shared" si="61"/>
        <v>0.25293414826668509</v>
      </c>
      <c r="H130" s="44">
        <f t="shared" si="61"/>
        <v>0.10743289532117641</v>
      </c>
      <c r="I130" s="44">
        <f t="shared" si="61"/>
        <v>0.16672469426708031</v>
      </c>
      <c r="J130" s="44">
        <f t="shared" si="61"/>
        <v>-2.5562255041711186E-2</v>
      </c>
      <c r="K130" s="44">
        <f t="shared" si="61"/>
        <v>-7.4397429762799921E-2</v>
      </c>
      <c r="L130" s="44">
        <f t="shared" si="61"/>
        <v>-4.3212137683300053E-2</v>
      </c>
      <c r="M130" s="44">
        <f t="shared" si="61"/>
        <v>8.3714123400681711E-2</v>
      </c>
      <c r="N130" s="44">
        <f t="shared" si="61"/>
        <v>4.9942735369029236E-3</v>
      </c>
      <c r="O130" s="44">
        <f t="shared" si="61"/>
        <v>-4.8759053734178114E-4</v>
      </c>
      <c r="P130" s="44">
        <f t="shared" si="61"/>
        <v>3.5160515396374756E-2</v>
      </c>
      <c r="Q130" s="44">
        <f t="shared" si="61"/>
        <v>-1.5724149268453065E-2</v>
      </c>
    </row>
    <row r="131" spans="1:17"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</row>
    <row r="132" spans="1:17">
      <c r="A132" t="s">
        <v>54</v>
      </c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</row>
    <row r="133" spans="1:17">
      <c r="A133" t="s">
        <v>57</v>
      </c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</row>
  </sheetData>
  <mergeCells count="1">
    <mergeCell ref="A4:Q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Q133"/>
  <sheetViews>
    <sheetView workbookViewId="0"/>
  </sheetViews>
  <sheetFormatPr defaultRowHeight="14.4"/>
  <cols>
    <col min="1" max="1" width="42" customWidth="1"/>
    <col min="2" max="17" width="14" customWidth="1"/>
  </cols>
  <sheetData>
    <row r="2" spans="1:17">
      <c r="A2" s="1" t="s">
        <v>0</v>
      </c>
      <c r="B2" s="2">
        <v>2010</v>
      </c>
      <c r="C2" s="2">
        <v>2011</v>
      </c>
      <c r="D2" s="2">
        <v>2012</v>
      </c>
      <c r="E2" s="2">
        <v>2013</v>
      </c>
      <c r="F2" s="3">
        <v>2014</v>
      </c>
      <c r="G2" s="3">
        <v>2015</v>
      </c>
      <c r="H2" s="3">
        <v>2016</v>
      </c>
      <c r="I2" s="3">
        <v>2017</v>
      </c>
      <c r="J2" s="3">
        <v>2018</v>
      </c>
      <c r="K2" s="3">
        <v>2019</v>
      </c>
      <c r="L2" s="3">
        <v>2020</v>
      </c>
      <c r="M2" s="3">
        <v>2021</v>
      </c>
      <c r="N2" s="3">
        <v>2022</v>
      </c>
      <c r="O2" s="3">
        <v>2023</v>
      </c>
      <c r="P2" s="3">
        <v>2024</v>
      </c>
      <c r="Q2" s="3">
        <v>2025</v>
      </c>
    </row>
    <row r="3" spans="1:17">
      <c r="A3" s="4"/>
      <c r="B3" s="5"/>
      <c r="C3" s="5"/>
      <c r="D3" s="5"/>
      <c r="E3" s="5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spans="1:17">
      <c r="A4" s="45" t="s">
        <v>1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</row>
    <row r="5" spans="1:17">
      <c r="A5" s="11" t="s">
        <v>2</v>
      </c>
      <c r="B5" s="12">
        <v>65225</v>
      </c>
      <c r="C5" s="12">
        <v>108249</v>
      </c>
      <c r="D5" s="12">
        <v>156508</v>
      </c>
      <c r="E5" s="13">
        <v>170910</v>
      </c>
      <c r="F5" s="14">
        <v>182795</v>
      </c>
      <c r="G5" s="14">
        <v>233715</v>
      </c>
      <c r="H5" s="14">
        <v>215639</v>
      </c>
      <c r="I5" s="14">
        <v>229234</v>
      </c>
      <c r="J5" s="14">
        <v>265595</v>
      </c>
      <c r="K5" s="15">
        <v>260174</v>
      </c>
      <c r="L5" s="15">
        <v>274515</v>
      </c>
      <c r="M5" s="15">
        <v>365817</v>
      </c>
      <c r="N5" s="15">
        <v>394328</v>
      </c>
      <c r="O5" s="15">
        <v>383285</v>
      </c>
      <c r="P5" s="15">
        <v>391035</v>
      </c>
      <c r="Q5" s="15">
        <v>416161</v>
      </c>
    </row>
    <row r="6" spans="1:17">
      <c r="A6" s="38" t="s">
        <v>3</v>
      </c>
      <c r="B6" s="37">
        <v>39541</v>
      </c>
      <c r="C6" s="37">
        <v>64431</v>
      </c>
      <c r="D6" s="37">
        <v>87846</v>
      </c>
      <c r="E6" s="37">
        <v>106606</v>
      </c>
      <c r="F6" s="37">
        <v>112258</v>
      </c>
      <c r="G6" s="37">
        <v>140089</v>
      </c>
      <c r="H6" s="37">
        <v>131376</v>
      </c>
      <c r="I6" s="37">
        <v>141048</v>
      </c>
      <c r="J6" s="37">
        <v>163756</v>
      </c>
      <c r="K6" s="37">
        <v>161782</v>
      </c>
      <c r="L6" s="37">
        <v>169559</v>
      </c>
      <c r="M6" s="37">
        <v>212981</v>
      </c>
      <c r="N6" s="37">
        <v>223546</v>
      </c>
      <c r="O6" s="37">
        <v>214137</v>
      </c>
      <c r="P6" s="37">
        <v>210352</v>
      </c>
      <c r="Q6" s="37">
        <v>220960</v>
      </c>
    </row>
    <row r="7" spans="1:17">
      <c r="A7" s="16" t="s">
        <v>4</v>
      </c>
      <c r="B7" s="17">
        <f>B5-B6</f>
        <v>25684</v>
      </c>
      <c r="C7" s="17">
        <f t="shared" ref="C7:Q7" si="0">C5-C6</f>
        <v>43818</v>
      </c>
      <c r="D7" s="17">
        <f t="shared" si="0"/>
        <v>68662</v>
      </c>
      <c r="E7" s="17">
        <f t="shared" si="0"/>
        <v>64304</v>
      </c>
      <c r="F7" s="17">
        <f t="shared" si="0"/>
        <v>70537</v>
      </c>
      <c r="G7" s="17">
        <f t="shared" si="0"/>
        <v>93626</v>
      </c>
      <c r="H7" s="17">
        <f t="shared" si="0"/>
        <v>84263</v>
      </c>
      <c r="I7" s="17">
        <f t="shared" si="0"/>
        <v>88186</v>
      </c>
      <c r="J7" s="17">
        <f t="shared" si="0"/>
        <v>101839</v>
      </c>
      <c r="K7" s="17">
        <f t="shared" si="0"/>
        <v>98392</v>
      </c>
      <c r="L7" s="17">
        <f t="shared" si="0"/>
        <v>104956</v>
      </c>
      <c r="M7" s="17">
        <f t="shared" si="0"/>
        <v>152836</v>
      </c>
      <c r="N7" s="17">
        <f t="shared" si="0"/>
        <v>170782</v>
      </c>
      <c r="O7" s="17">
        <f t="shared" si="0"/>
        <v>169148</v>
      </c>
      <c r="P7" s="17">
        <f t="shared" si="0"/>
        <v>180683</v>
      </c>
      <c r="Q7" s="17">
        <f t="shared" si="0"/>
        <v>195201</v>
      </c>
    </row>
    <row r="8" spans="1:17">
      <c r="L8" s="19"/>
    </row>
    <row r="9" spans="1:17">
      <c r="A9" t="s">
        <v>5</v>
      </c>
      <c r="B9" s="8">
        <v>1782</v>
      </c>
      <c r="C9" s="8">
        <v>2429</v>
      </c>
      <c r="D9" s="8">
        <v>3381</v>
      </c>
      <c r="E9" s="8">
        <v>4475</v>
      </c>
      <c r="F9" s="8">
        <v>6041</v>
      </c>
      <c r="G9" s="8">
        <v>8067</v>
      </c>
      <c r="H9" s="8">
        <v>10045</v>
      </c>
      <c r="I9" s="8">
        <v>11581</v>
      </c>
      <c r="J9" s="8">
        <v>14236</v>
      </c>
      <c r="K9" s="8">
        <v>16217</v>
      </c>
      <c r="L9" s="8">
        <v>18752</v>
      </c>
      <c r="M9" s="8">
        <v>21914</v>
      </c>
      <c r="N9" s="8">
        <v>26251</v>
      </c>
      <c r="O9" s="8">
        <v>29915</v>
      </c>
      <c r="P9" s="8">
        <v>31370</v>
      </c>
      <c r="Q9" s="8">
        <v>34550</v>
      </c>
    </row>
    <row r="10" spans="1:17">
      <c r="A10" t="s">
        <v>6</v>
      </c>
      <c r="B10" s="8">
        <v>5517</v>
      </c>
      <c r="C10" s="8">
        <v>7599</v>
      </c>
      <c r="D10" s="8">
        <v>10040</v>
      </c>
      <c r="E10" s="8">
        <v>10830</v>
      </c>
      <c r="F10" s="8">
        <v>11993</v>
      </c>
      <c r="G10" s="8">
        <v>14329</v>
      </c>
      <c r="H10" s="8">
        <v>14194</v>
      </c>
      <c r="I10" s="8">
        <v>15261</v>
      </c>
      <c r="J10" s="8">
        <v>16705</v>
      </c>
      <c r="K10" s="8">
        <v>18245</v>
      </c>
      <c r="L10" s="8">
        <v>19916</v>
      </c>
      <c r="M10" s="8">
        <v>21973</v>
      </c>
      <c r="N10" s="8">
        <v>25094</v>
      </c>
      <c r="O10" s="8">
        <v>24932</v>
      </c>
      <c r="P10" s="8">
        <v>26097</v>
      </c>
      <c r="Q10" s="8">
        <v>27601</v>
      </c>
    </row>
    <row r="11" spans="1:17">
      <c r="A11" s="16" t="s">
        <v>7</v>
      </c>
      <c r="B11" s="17">
        <f t="shared" ref="B11:Q11" si="1">B9+B10</f>
        <v>7299</v>
      </c>
      <c r="C11" s="17">
        <f t="shared" si="1"/>
        <v>10028</v>
      </c>
      <c r="D11" s="17">
        <f t="shared" si="1"/>
        <v>13421</v>
      </c>
      <c r="E11" s="17">
        <f t="shared" si="1"/>
        <v>15305</v>
      </c>
      <c r="F11" s="17">
        <f t="shared" si="1"/>
        <v>18034</v>
      </c>
      <c r="G11" s="17">
        <f t="shared" si="1"/>
        <v>22396</v>
      </c>
      <c r="H11" s="17">
        <f t="shared" si="1"/>
        <v>24239</v>
      </c>
      <c r="I11" s="17">
        <f t="shared" si="1"/>
        <v>26842</v>
      </c>
      <c r="J11" s="17">
        <f t="shared" si="1"/>
        <v>30941</v>
      </c>
      <c r="K11" s="17">
        <f t="shared" si="1"/>
        <v>34462</v>
      </c>
      <c r="L11" s="17">
        <f t="shared" si="1"/>
        <v>38668</v>
      </c>
      <c r="M11" s="17">
        <f t="shared" si="1"/>
        <v>43887</v>
      </c>
      <c r="N11" s="17">
        <f t="shared" si="1"/>
        <v>51345</v>
      </c>
      <c r="O11" s="17">
        <f t="shared" si="1"/>
        <v>54847</v>
      </c>
      <c r="P11" s="17">
        <f t="shared" si="1"/>
        <v>57467</v>
      </c>
      <c r="Q11" s="17">
        <f t="shared" si="1"/>
        <v>62151</v>
      </c>
    </row>
    <row r="12" spans="1:17">
      <c r="A12" s="16" t="s">
        <v>8</v>
      </c>
      <c r="B12" s="17">
        <f t="shared" ref="B12:Q12" si="2">B7-B11</f>
        <v>18385</v>
      </c>
      <c r="C12" s="17">
        <f t="shared" si="2"/>
        <v>33790</v>
      </c>
      <c r="D12" s="17">
        <f t="shared" si="2"/>
        <v>55241</v>
      </c>
      <c r="E12" s="17">
        <f t="shared" si="2"/>
        <v>48999</v>
      </c>
      <c r="F12" s="18">
        <f t="shared" si="2"/>
        <v>52503</v>
      </c>
      <c r="G12" s="18">
        <f t="shared" si="2"/>
        <v>71230</v>
      </c>
      <c r="H12" s="18">
        <f t="shared" si="2"/>
        <v>60024</v>
      </c>
      <c r="I12" s="18">
        <f t="shared" si="2"/>
        <v>61344</v>
      </c>
      <c r="J12" s="18">
        <f t="shared" si="2"/>
        <v>70898</v>
      </c>
      <c r="K12" s="18">
        <f t="shared" si="2"/>
        <v>63930</v>
      </c>
      <c r="L12" s="18">
        <f t="shared" si="2"/>
        <v>66288</v>
      </c>
      <c r="M12" s="18">
        <f t="shared" si="2"/>
        <v>108949</v>
      </c>
      <c r="N12" s="18">
        <f t="shared" si="2"/>
        <v>119437</v>
      </c>
      <c r="O12" s="18">
        <f t="shared" si="2"/>
        <v>114301</v>
      </c>
      <c r="P12" s="18">
        <f t="shared" si="2"/>
        <v>123216</v>
      </c>
      <c r="Q12" s="18">
        <f t="shared" si="2"/>
        <v>133050</v>
      </c>
    </row>
    <row r="13" spans="1:17">
      <c r="A13" s="9" t="s">
        <v>9</v>
      </c>
      <c r="B13" s="10" t="str">
        <f>IFERROR(B12/#REF!-1,"")</f>
        <v/>
      </c>
      <c r="C13" s="10">
        <f t="shared" ref="C13:Q13" si="3">IFERROR(C12/B12-1,"")</f>
        <v>0.83791134076692964</v>
      </c>
      <c r="D13" s="10">
        <f t="shared" si="3"/>
        <v>0.63483279076649901</v>
      </c>
      <c r="E13" s="10">
        <f t="shared" si="3"/>
        <v>-0.11299578211835415</v>
      </c>
      <c r="F13" s="10">
        <f t="shared" si="3"/>
        <v>7.151166350333682E-2</v>
      </c>
      <c r="G13" s="10">
        <f t="shared" si="3"/>
        <v>0.35668437994019397</v>
      </c>
      <c r="H13" s="10">
        <f t="shared" si="3"/>
        <v>-0.15732135336234732</v>
      </c>
      <c r="I13" s="10">
        <f t="shared" si="3"/>
        <v>2.1991203518592517E-2</v>
      </c>
      <c r="J13" s="10">
        <f t="shared" si="3"/>
        <v>0.15574465310380803</v>
      </c>
      <c r="K13" s="10">
        <f t="shared" si="3"/>
        <v>-9.8282038985584963E-2</v>
      </c>
      <c r="L13" s="10">
        <f t="shared" si="3"/>
        <v>3.6884091975598388E-2</v>
      </c>
      <c r="M13" s="10">
        <f t="shared" si="3"/>
        <v>0.64357048032826447</v>
      </c>
      <c r="N13" s="10">
        <f t="shared" si="3"/>
        <v>9.6265225013538513E-2</v>
      </c>
      <c r="O13" s="10">
        <f t="shared" si="3"/>
        <v>-4.3001749876503959E-2</v>
      </c>
      <c r="P13" s="10">
        <f t="shared" si="3"/>
        <v>7.7995818059334532E-2</v>
      </c>
      <c r="Q13" s="10">
        <f t="shared" si="3"/>
        <v>7.9811063498246959E-2</v>
      </c>
    </row>
    <row r="15" spans="1:17">
      <c r="A15" t="s">
        <v>10</v>
      </c>
      <c r="B15" s="7">
        <v>155</v>
      </c>
      <c r="C15" s="7">
        <v>415</v>
      </c>
      <c r="D15" s="7">
        <v>522</v>
      </c>
      <c r="E15" s="7">
        <v>1156</v>
      </c>
      <c r="F15" s="7">
        <v>980</v>
      </c>
      <c r="G15" s="7">
        <v>1285</v>
      </c>
      <c r="H15" s="7">
        <v>1348</v>
      </c>
      <c r="I15" s="7">
        <v>2745</v>
      </c>
      <c r="J15" s="7">
        <v>2005</v>
      </c>
      <c r="K15" s="7">
        <v>1807</v>
      </c>
      <c r="L15" s="7">
        <v>803</v>
      </c>
      <c r="M15" s="20">
        <v>258</v>
      </c>
      <c r="N15" s="20">
        <v>-334</v>
      </c>
      <c r="O15" s="20">
        <v>-565</v>
      </c>
      <c r="P15" s="20">
        <v>269</v>
      </c>
      <c r="Q15" s="20">
        <v>-321</v>
      </c>
    </row>
    <row r="16" spans="1:17">
      <c r="A16" s="24" t="s">
        <v>11</v>
      </c>
      <c r="B16" s="25">
        <f>B15</f>
        <v>155</v>
      </c>
      <c r="C16" s="25">
        <f t="shared" ref="C16:Q16" si="4">C15</f>
        <v>415</v>
      </c>
      <c r="D16" s="25">
        <f t="shared" si="4"/>
        <v>522</v>
      </c>
      <c r="E16" s="25">
        <f t="shared" si="4"/>
        <v>1156</v>
      </c>
      <c r="F16" s="25">
        <f t="shared" si="4"/>
        <v>980</v>
      </c>
      <c r="G16" s="25">
        <f t="shared" si="4"/>
        <v>1285</v>
      </c>
      <c r="H16" s="25">
        <f t="shared" si="4"/>
        <v>1348</v>
      </c>
      <c r="I16" s="25">
        <f t="shared" si="4"/>
        <v>2745</v>
      </c>
      <c r="J16" s="25">
        <f t="shared" si="4"/>
        <v>2005</v>
      </c>
      <c r="K16" s="25">
        <f t="shared" si="4"/>
        <v>1807</v>
      </c>
      <c r="L16" s="25">
        <f t="shared" si="4"/>
        <v>803</v>
      </c>
      <c r="M16" s="25">
        <f t="shared" si="4"/>
        <v>258</v>
      </c>
      <c r="N16" s="25">
        <f t="shared" si="4"/>
        <v>-334</v>
      </c>
      <c r="O16" s="25">
        <f t="shared" si="4"/>
        <v>-565</v>
      </c>
      <c r="P16" s="25">
        <f t="shared" si="4"/>
        <v>269</v>
      </c>
      <c r="Q16" s="25">
        <f t="shared" si="4"/>
        <v>-321</v>
      </c>
    </row>
    <row r="17" spans="1:17">
      <c r="A17" s="22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</row>
    <row r="18" spans="1:17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</row>
    <row r="19" spans="1:17">
      <c r="A19" t="s">
        <v>12</v>
      </c>
      <c r="B19" s="7">
        <f t="shared" ref="B19:Q19" si="5">B12+B16</f>
        <v>18540</v>
      </c>
      <c r="C19" s="7">
        <f t="shared" si="5"/>
        <v>34205</v>
      </c>
      <c r="D19" s="7">
        <f t="shared" si="5"/>
        <v>55763</v>
      </c>
      <c r="E19" s="7">
        <f t="shared" si="5"/>
        <v>50155</v>
      </c>
      <c r="F19" s="7">
        <f t="shared" si="5"/>
        <v>53483</v>
      </c>
      <c r="G19" s="7">
        <f t="shared" si="5"/>
        <v>72515</v>
      </c>
      <c r="H19" s="7">
        <f t="shared" si="5"/>
        <v>61372</v>
      </c>
      <c r="I19" s="7">
        <f t="shared" si="5"/>
        <v>64089</v>
      </c>
      <c r="J19" s="7">
        <f t="shared" si="5"/>
        <v>72903</v>
      </c>
      <c r="K19" s="7">
        <f t="shared" si="5"/>
        <v>65737</v>
      </c>
      <c r="L19" s="7">
        <f t="shared" si="5"/>
        <v>67091</v>
      </c>
      <c r="M19" s="7">
        <f t="shared" si="5"/>
        <v>109207</v>
      </c>
      <c r="N19" s="7">
        <f t="shared" si="5"/>
        <v>119103</v>
      </c>
      <c r="O19" s="7">
        <f t="shared" si="5"/>
        <v>113736</v>
      </c>
      <c r="P19" s="7">
        <f t="shared" si="5"/>
        <v>123485</v>
      </c>
      <c r="Q19" s="7">
        <f t="shared" si="5"/>
        <v>132729</v>
      </c>
    </row>
    <row r="20" spans="1:17">
      <c r="A20" t="s">
        <v>13</v>
      </c>
      <c r="B20" s="7">
        <v>4527</v>
      </c>
      <c r="C20" s="7">
        <v>8283</v>
      </c>
      <c r="D20" s="7">
        <v>14030</v>
      </c>
      <c r="E20" s="7">
        <v>13118</v>
      </c>
      <c r="F20" s="7">
        <v>13973</v>
      </c>
      <c r="G20" s="7">
        <v>19121</v>
      </c>
      <c r="H20" s="7">
        <v>15685</v>
      </c>
      <c r="I20" s="7">
        <v>15738</v>
      </c>
      <c r="J20" s="7">
        <v>13372</v>
      </c>
      <c r="K20" s="7">
        <v>10481</v>
      </c>
      <c r="L20" s="7">
        <v>9680</v>
      </c>
      <c r="M20" s="7">
        <v>14527</v>
      </c>
      <c r="N20" s="7">
        <v>19300</v>
      </c>
      <c r="O20" s="7">
        <v>16741</v>
      </c>
      <c r="P20" s="7">
        <v>29749</v>
      </c>
      <c r="Q20" s="7">
        <v>20719</v>
      </c>
    </row>
    <row r="21" spans="1:17">
      <c r="A21" s="24" t="s">
        <v>14</v>
      </c>
      <c r="B21" s="17">
        <f t="shared" ref="B21:Q21" si="6">B19-B20</f>
        <v>14013</v>
      </c>
      <c r="C21" s="17">
        <f t="shared" si="6"/>
        <v>25922</v>
      </c>
      <c r="D21" s="17">
        <f t="shared" si="6"/>
        <v>41733</v>
      </c>
      <c r="E21" s="17">
        <f t="shared" si="6"/>
        <v>37037</v>
      </c>
      <c r="F21" s="17">
        <f t="shared" si="6"/>
        <v>39510</v>
      </c>
      <c r="G21" s="17">
        <f t="shared" si="6"/>
        <v>53394</v>
      </c>
      <c r="H21" s="17">
        <f t="shared" si="6"/>
        <v>45687</v>
      </c>
      <c r="I21" s="17">
        <f t="shared" si="6"/>
        <v>48351</v>
      </c>
      <c r="J21" s="17">
        <f t="shared" si="6"/>
        <v>59531</v>
      </c>
      <c r="K21" s="17">
        <f t="shared" si="6"/>
        <v>55256</v>
      </c>
      <c r="L21" s="17">
        <f t="shared" si="6"/>
        <v>57411</v>
      </c>
      <c r="M21" s="17">
        <f t="shared" si="6"/>
        <v>94680</v>
      </c>
      <c r="N21" s="17">
        <f t="shared" si="6"/>
        <v>99803</v>
      </c>
      <c r="O21" s="17">
        <f t="shared" si="6"/>
        <v>96995</v>
      </c>
      <c r="P21" s="17">
        <f t="shared" si="6"/>
        <v>93736</v>
      </c>
      <c r="Q21" s="17">
        <f t="shared" si="6"/>
        <v>112010</v>
      </c>
    </row>
    <row r="22" spans="1:17">
      <c r="B22" s="26"/>
      <c r="C22" s="26"/>
      <c r="D22" s="26"/>
      <c r="E22" s="26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</row>
    <row r="23" spans="1:17">
      <c r="A23" s="4"/>
      <c r="B23" s="7"/>
      <c r="C23" s="7"/>
      <c r="D23" s="7"/>
      <c r="E23" s="7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</row>
    <row r="24" spans="1:17">
      <c r="A24" s="28" t="s">
        <v>15</v>
      </c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</row>
    <row r="25" spans="1:17">
      <c r="A25" s="4" t="s">
        <v>16</v>
      </c>
      <c r="B25" s="7">
        <v>11261</v>
      </c>
      <c r="C25" s="7">
        <v>9815</v>
      </c>
      <c r="D25" s="7">
        <v>10746</v>
      </c>
      <c r="E25" s="7">
        <v>14259</v>
      </c>
      <c r="F25" s="8">
        <v>13844</v>
      </c>
      <c r="G25" s="8">
        <v>21120</v>
      </c>
      <c r="H25" s="8">
        <v>20484</v>
      </c>
      <c r="I25" s="8">
        <v>20289</v>
      </c>
      <c r="J25" s="8">
        <v>25913</v>
      </c>
      <c r="K25" s="8">
        <v>48844</v>
      </c>
      <c r="L25" s="8">
        <v>38016</v>
      </c>
      <c r="M25" s="8">
        <v>34940</v>
      </c>
      <c r="N25" s="8">
        <v>23646</v>
      </c>
      <c r="O25" s="8">
        <v>29965</v>
      </c>
      <c r="P25" s="8">
        <v>29943</v>
      </c>
      <c r="Q25" s="8">
        <v>35934</v>
      </c>
    </row>
    <row r="26" spans="1:17">
      <c r="A26" s="4" t="s">
        <v>17</v>
      </c>
      <c r="B26" s="7">
        <v>14359</v>
      </c>
      <c r="C26" s="7">
        <v>16137</v>
      </c>
      <c r="D26" s="7">
        <v>18383</v>
      </c>
      <c r="E26" s="7">
        <v>26287</v>
      </c>
      <c r="F26" s="7">
        <v>11233</v>
      </c>
      <c r="G26" s="7">
        <v>20481</v>
      </c>
      <c r="H26" s="7">
        <v>46671</v>
      </c>
      <c r="I26" s="7">
        <v>53892</v>
      </c>
      <c r="J26" s="8">
        <v>40388</v>
      </c>
      <c r="K26" s="8">
        <v>51713</v>
      </c>
      <c r="L26" s="8">
        <v>52927</v>
      </c>
      <c r="M26" s="8">
        <v>27699</v>
      </c>
      <c r="N26" s="8">
        <v>24658</v>
      </c>
      <c r="O26" s="8">
        <v>31590</v>
      </c>
      <c r="P26" s="8">
        <v>35228</v>
      </c>
      <c r="Q26" s="8">
        <v>18763</v>
      </c>
    </row>
    <row r="27" spans="1:17">
      <c r="A27" s="4" t="s">
        <v>18</v>
      </c>
      <c r="B27" s="7">
        <v>5510</v>
      </c>
      <c r="C27" s="7">
        <v>5369</v>
      </c>
      <c r="D27" s="7">
        <v>10930</v>
      </c>
      <c r="E27" s="7">
        <v>13102</v>
      </c>
      <c r="F27" s="7">
        <v>17460</v>
      </c>
      <c r="G27" s="7">
        <v>16849</v>
      </c>
      <c r="H27" s="7">
        <v>15754</v>
      </c>
      <c r="I27" s="7">
        <v>17874</v>
      </c>
      <c r="J27" s="8">
        <v>23186</v>
      </c>
      <c r="K27" s="8">
        <v>22926</v>
      </c>
      <c r="L27" s="8">
        <v>16120</v>
      </c>
      <c r="M27" s="8">
        <v>26278</v>
      </c>
      <c r="N27" s="8">
        <v>28184</v>
      </c>
      <c r="O27" s="8">
        <v>29508</v>
      </c>
      <c r="P27" s="8">
        <v>33410</v>
      </c>
      <c r="Q27" s="8">
        <v>39777</v>
      </c>
    </row>
    <row r="28" spans="1:17">
      <c r="A28" s="4" t="s">
        <v>19</v>
      </c>
      <c r="B28" s="7">
        <v>1051</v>
      </c>
      <c r="C28" s="7">
        <v>776</v>
      </c>
      <c r="D28" s="7">
        <v>791</v>
      </c>
      <c r="E28" s="7">
        <v>1764</v>
      </c>
      <c r="F28" s="8">
        <v>2111</v>
      </c>
      <c r="G28" s="8">
        <v>2349</v>
      </c>
      <c r="H28" s="8">
        <v>2132</v>
      </c>
      <c r="I28" s="8">
        <v>4855</v>
      </c>
      <c r="J28" s="8">
        <v>3956</v>
      </c>
      <c r="K28" s="8">
        <v>4106</v>
      </c>
      <c r="L28" s="8">
        <v>4061</v>
      </c>
      <c r="M28" s="8">
        <v>6580</v>
      </c>
      <c r="N28" s="8">
        <v>4946</v>
      </c>
      <c r="O28" s="8">
        <v>6331</v>
      </c>
      <c r="P28" s="8">
        <v>7286</v>
      </c>
      <c r="Q28" s="8">
        <v>5718</v>
      </c>
    </row>
    <row r="29" spans="1:17">
      <c r="A29" s="4" t="s">
        <v>20</v>
      </c>
      <c r="B29" s="7">
        <v>1636</v>
      </c>
      <c r="C29" s="7">
        <v>2014</v>
      </c>
      <c r="D29" s="7">
        <v>2583</v>
      </c>
      <c r="E29" s="7">
        <v>3453</v>
      </c>
      <c r="F29" s="8">
        <v>4318</v>
      </c>
      <c r="G29" s="8">
        <v>5546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</row>
    <row r="30" spans="1:17">
      <c r="A30" s="4" t="s">
        <v>21</v>
      </c>
      <c r="B30" s="7">
        <v>4414</v>
      </c>
      <c r="C30" s="7">
        <v>6348</v>
      </c>
      <c r="D30" s="7">
        <v>7762</v>
      </c>
      <c r="E30" s="7">
        <v>7539</v>
      </c>
      <c r="F30" s="8">
        <v>9759</v>
      </c>
      <c r="G30" s="8">
        <v>13494</v>
      </c>
      <c r="H30" s="8">
        <v>13545</v>
      </c>
      <c r="I30" s="8">
        <v>17799</v>
      </c>
      <c r="J30" s="8">
        <v>25809</v>
      </c>
      <c r="K30" s="8">
        <v>22878</v>
      </c>
      <c r="L30" s="8">
        <v>21325</v>
      </c>
      <c r="M30" s="8">
        <v>25228</v>
      </c>
      <c r="N30" s="8">
        <v>32748</v>
      </c>
      <c r="O30" s="8">
        <v>31477</v>
      </c>
      <c r="P30" s="8">
        <v>32833</v>
      </c>
      <c r="Q30" s="8">
        <v>33180</v>
      </c>
    </row>
    <row r="31" spans="1:17">
      <c r="A31" s="4" t="s">
        <v>22</v>
      </c>
      <c r="B31" s="7">
        <v>3447</v>
      </c>
      <c r="C31" s="7">
        <v>4529</v>
      </c>
      <c r="D31" s="7">
        <v>6458</v>
      </c>
      <c r="E31" s="7">
        <v>6882</v>
      </c>
      <c r="F31" s="8">
        <v>9806</v>
      </c>
      <c r="G31" s="8">
        <v>9539</v>
      </c>
      <c r="H31" s="8">
        <v>8283</v>
      </c>
      <c r="I31" s="8">
        <v>13936</v>
      </c>
      <c r="J31" s="8">
        <v>12087</v>
      </c>
      <c r="K31" s="8">
        <v>12352</v>
      </c>
      <c r="L31" s="8">
        <v>11264</v>
      </c>
      <c r="M31" s="8">
        <v>14111</v>
      </c>
      <c r="N31" s="8">
        <v>21223</v>
      </c>
      <c r="O31" s="8">
        <v>14695</v>
      </c>
      <c r="P31" s="8">
        <v>14287</v>
      </c>
      <c r="Q31" s="8">
        <v>14585</v>
      </c>
    </row>
    <row r="32" spans="1:17">
      <c r="A32" s="16" t="s">
        <v>23</v>
      </c>
      <c r="B32" s="17">
        <f>B25+B26+B27+B28+B29+B30+B31</f>
        <v>41678</v>
      </c>
      <c r="C32" s="17">
        <f t="shared" ref="C32:Q32" si="7">C25+C26+C27+C28+C29+C30+C31</f>
        <v>44988</v>
      </c>
      <c r="D32" s="17">
        <f t="shared" si="7"/>
        <v>57653</v>
      </c>
      <c r="E32" s="17">
        <f t="shared" si="7"/>
        <v>73286</v>
      </c>
      <c r="F32" s="17">
        <f t="shared" si="7"/>
        <v>68531</v>
      </c>
      <c r="G32" s="17">
        <f t="shared" si="7"/>
        <v>89378</v>
      </c>
      <c r="H32" s="17">
        <f t="shared" si="7"/>
        <v>106869</v>
      </c>
      <c r="I32" s="17">
        <f t="shared" si="7"/>
        <v>128645</v>
      </c>
      <c r="J32" s="17">
        <f t="shared" si="7"/>
        <v>131339</v>
      </c>
      <c r="K32" s="17">
        <f t="shared" si="7"/>
        <v>162819</v>
      </c>
      <c r="L32" s="17">
        <f t="shared" si="7"/>
        <v>143713</v>
      </c>
      <c r="M32" s="17">
        <f t="shared" si="7"/>
        <v>134836</v>
      </c>
      <c r="N32" s="17">
        <f t="shared" si="7"/>
        <v>135405</v>
      </c>
      <c r="O32" s="17">
        <f t="shared" si="7"/>
        <v>143566</v>
      </c>
      <c r="P32" s="17">
        <f t="shared" si="7"/>
        <v>152987</v>
      </c>
      <c r="Q32" s="17">
        <f t="shared" si="7"/>
        <v>147957</v>
      </c>
    </row>
    <row r="33" spans="1:17">
      <c r="A33" s="30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</row>
    <row r="34" spans="1:17">
      <c r="A34" s="30" t="s">
        <v>24</v>
      </c>
      <c r="B34" s="7">
        <v>4768</v>
      </c>
      <c r="C34" s="7">
        <v>7777</v>
      </c>
      <c r="D34" s="7">
        <v>15452</v>
      </c>
      <c r="E34" s="7">
        <v>16597</v>
      </c>
      <c r="F34" s="7">
        <v>20624</v>
      </c>
      <c r="G34" s="7">
        <v>22471</v>
      </c>
      <c r="H34" s="7">
        <v>27010</v>
      </c>
      <c r="I34" s="7">
        <v>33783</v>
      </c>
      <c r="J34" s="7">
        <v>41304</v>
      </c>
      <c r="K34" s="7">
        <v>37378</v>
      </c>
      <c r="L34" s="7">
        <v>36766</v>
      </c>
      <c r="M34" s="7">
        <v>39440</v>
      </c>
      <c r="N34" s="7">
        <v>42117</v>
      </c>
      <c r="O34" s="7">
        <v>43715</v>
      </c>
      <c r="P34" s="7">
        <v>45680</v>
      </c>
      <c r="Q34" s="7">
        <v>49834</v>
      </c>
    </row>
    <row r="35" spans="1:17">
      <c r="A35" s="4" t="s">
        <v>25</v>
      </c>
      <c r="B35" s="7">
        <v>25391</v>
      </c>
      <c r="C35" s="7">
        <v>55618</v>
      </c>
      <c r="D35" s="7">
        <v>92122</v>
      </c>
      <c r="E35" s="7">
        <v>106215</v>
      </c>
      <c r="F35" s="8">
        <v>130162</v>
      </c>
      <c r="G35" s="8">
        <v>164065</v>
      </c>
      <c r="H35" s="8">
        <v>170430</v>
      </c>
      <c r="I35" s="8">
        <v>194714</v>
      </c>
      <c r="J35" s="8">
        <v>170799</v>
      </c>
      <c r="K35" s="8">
        <v>105341</v>
      </c>
      <c r="L35" s="8">
        <v>100887</v>
      </c>
      <c r="M35" s="8">
        <v>127877</v>
      </c>
      <c r="N35" s="8">
        <v>120805</v>
      </c>
      <c r="O35" s="8">
        <v>100544</v>
      </c>
      <c r="P35" s="8">
        <v>91479</v>
      </c>
      <c r="Q35" s="8">
        <v>77723</v>
      </c>
    </row>
    <row r="36" spans="1:17">
      <c r="A36" s="4" t="s">
        <v>26</v>
      </c>
      <c r="B36" s="7">
        <v>741</v>
      </c>
      <c r="C36" s="7">
        <v>896</v>
      </c>
      <c r="D36" s="7">
        <v>1135</v>
      </c>
      <c r="E36" s="7">
        <v>1577</v>
      </c>
      <c r="F36" s="8">
        <v>4616</v>
      </c>
      <c r="G36" s="8">
        <v>5116</v>
      </c>
      <c r="H36" s="8">
        <v>5414</v>
      </c>
      <c r="I36" s="8">
        <v>5717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</row>
    <row r="37" spans="1:17">
      <c r="A37" s="4" t="s">
        <v>27</v>
      </c>
      <c r="B37" s="7">
        <v>342</v>
      </c>
      <c r="C37" s="7">
        <v>3536</v>
      </c>
      <c r="D37" s="7">
        <v>4224</v>
      </c>
      <c r="E37" s="7">
        <v>4179</v>
      </c>
      <c r="F37" s="8">
        <v>4142</v>
      </c>
      <c r="G37" s="8">
        <v>3893</v>
      </c>
      <c r="H37" s="8">
        <v>3206</v>
      </c>
      <c r="I37" s="8">
        <v>2298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</row>
    <row r="38" spans="1:17">
      <c r="A38" s="4" t="s">
        <v>28</v>
      </c>
      <c r="B38" s="7">
        <v>2263</v>
      </c>
      <c r="C38" s="7">
        <v>3556</v>
      </c>
      <c r="D38" s="7">
        <v>5478</v>
      </c>
      <c r="E38" s="7">
        <v>5146</v>
      </c>
      <c r="F38" s="8">
        <v>3764</v>
      </c>
      <c r="G38" s="8">
        <v>5556</v>
      </c>
      <c r="H38" s="8">
        <v>8757</v>
      </c>
      <c r="I38" s="8">
        <v>10162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</row>
    <row r="39" spans="1:17">
      <c r="A39" s="4" t="s">
        <v>29</v>
      </c>
      <c r="B39" s="7">
        <v>0</v>
      </c>
      <c r="C39" s="7">
        <v>0</v>
      </c>
      <c r="D39" s="7">
        <v>0</v>
      </c>
      <c r="E39" s="7">
        <v>0</v>
      </c>
      <c r="F39" s="8">
        <v>0</v>
      </c>
      <c r="G39" s="8">
        <v>0</v>
      </c>
      <c r="H39" s="8">
        <v>0</v>
      </c>
      <c r="I39" s="8">
        <v>0</v>
      </c>
      <c r="J39" s="8">
        <v>22283</v>
      </c>
      <c r="K39" s="8">
        <v>32978</v>
      </c>
      <c r="L39" s="8">
        <v>42522</v>
      </c>
      <c r="M39" s="8">
        <v>48849</v>
      </c>
      <c r="N39" s="8">
        <v>54428</v>
      </c>
      <c r="O39" s="8">
        <v>64758</v>
      </c>
      <c r="P39" s="8">
        <v>74834</v>
      </c>
      <c r="Q39" s="8">
        <v>83727</v>
      </c>
    </row>
    <row r="40" spans="1:17">
      <c r="A40" s="16" t="s">
        <v>30</v>
      </c>
      <c r="B40" s="17">
        <f>B34+B35+B36+B37+B38+B39</f>
        <v>33505</v>
      </c>
      <c r="C40" s="17">
        <f t="shared" ref="C40:Q40" si="8">C34+C35+C36+C37+C38+C39</f>
        <v>71383</v>
      </c>
      <c r="D40" s="17">
        <f t="shared" si="8"/>
        <v>118411</v>
      </c>
      <c r="E40" s="17">
        <f t="shared" si="8"/>
        <v>133714</v>
      </c>
      <c r="F40" s="17">
        <f t="shared" si="8"/>
        <v>163308</v>
      </c>
      <c r="G40" s="17">
        <f t="shared" si="8"/>
        <v>201101</v>
      </c>
      <c r="H40" s="17">
        <f t="shared" si="8"/>
        <v>214817</v>
      </c>
      <c r="I40" s="17">
        <f t="shared" si="8"/>
        <v>246674</v>
      </c>
      <c r="J40" s="17">
        <f t="shared" si="8"/>
        <v>234386</v>
      </c>
      <c r="K40" s="17">
        <f t="shared" si="8"/>
        <v>175697</v>
      </c>
      <c r="L40" s="17">
        <f t="shared" si="8"/>
        <v>180175</v>
      </c>
      <c r="M40" s="17">
        <f t="shared" si="8"/>
        <v>216166</v>
      </c>
      <c r="N40" s="17">
        <f t="shared" si="8"/>
        <v>217350</v>
      </c>
      <c r="O40" s="17">
        <f t="shared" si="8"/>
        <v>209017</v>
      </c>
      <c r="P40" s="17">
        <f t="shared" si="8"/>
        <v>211993</v>
      </c>
      <c r="Q40" s="17">
        <f t="shared" si="8"/>
        <v>211284</v>
      </c>
    </row>
    <row r="41" spans="1:17">
      <c r="A41" s="16" t="s">
        <v>31</v>
      </c>
      <c r="B41" s="17">
        <f t="shared" ref="B41:Q41" si="9">B32+B40</f>
        <v>75183</v>
      </c>
      <c r="C41" s="17">
        <f t="shared" si="9"/>
        <v>116371</v>
      </c>
      <c r="D41" s="17">
        <f t="shared" si="9"/>
        <v>176064</v>
      </c>
      <c r="E41" s="17">
        <f t="shared" si="9"/>
        <v>207000</v>
      </c>
      <c r="F41" s="18">
        <f t="shared" si="9"/>
        <v>231839</v>
      </c>
      <c r="G41" s="18">
        <f t="shared" si="9"/>
        <v>290479</v>
      </c>
      <c r="H41" s="18">
        <f t="shared" si="9"/>
        <v>321686</v>
      </c>
      <c r="I41" s="18">
        <f t="shared" si="9"/>
        <v>375319</v>
      </c>
      <c r="J41" s="18">
        <f t="shared" si="9"/>
        <v>365725</v>
      </c>
      <c r="K41" s="18">
        <f t="shared" si="9"/>
        <v>338516</v>
      </c>
      <c r="L41" s="18">
        <f t="shared" si="9"/>
        <v>323888</v>
      </c>
      <c r="M41" s="18">
        <f t="shared" si="9"/>
        <v>351002</v>
      </c>
      <c r="N41" s="18">
        <f t="shared" si="9"/>
        <v>352755</v>
      </c>
      <c r="O41" s="18">
        <f t="shared" si="9"/>
        <v>352583</v>
      </c>
      <c r="P41" s="18">
        <f t="shared" si="9"/>
        <v>364980</v>
      </c>
      <c r="Q41" s="18">
        <f t="shared" si="9"/>
        <v>359241</v>
      </c>
    </row>
    <row r="42" spans="1:17">
      <c r="A42" s="30"/>
      <c r="B42" s="21"/>
      <c r="C42" s="21"/>
      <c r="D42" s="21"/>
      <c r="E42" s="2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</row>
    <row r="43" spans="1:17">
      <c r="A43" s="4" t="s">
        <v>32</v>
      </c>
      <c r="B43" s="7">
        <v>0</v>
      </c>
      <c r="C43" s="7">
        <v>0</v>
      </c>
      <c r="D43" s="7">
        <v>0</v>
      </c>
      <c r="E43" s="7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</row>
    <row r="44" spans="1:17">
      <c r="A44" s="4" t="s">
        <v>33</v>
      </c>
      <c r="B44" s="7">
        <v>12015</v>
      </c>
      <c r="C44" s="7">
        <v>14632</v>
      </c>
      <c r="D44" s="7">
        <v>21175</v>
      </c>
      <c r="E44" s="7">
        <v>22367</v>
      </c>
      <c r="F44" s="7">
        <v>30196</v>
      </c>
      <c r="G44" s="7">
        <v>35490</v>
      </c>
      <c r="H44" s="7">
        <v>37294</v>
      </c>
      <c r="I44" s="7">
        <v>49049</v>
      </c>
      <c r="J44" s="7">
        <v>55888</v>
      </c>
      <c r="K44" s="7">
        <v>46236</v>
      </c>
      <c r="L44" s="7">
        <v>42296</v>
      </c>
      <c r="M44" s="7">
        <v>54763</v>
      </c>
      <c r="N44" s="7">
        <v>64115</v>
      </c>
      <c r="O44" s="7">
        <v>62611</v>
      </c>
      <c r="P44" s="8">
        <v>68960</v>
      </c>
      <c r="Q44" s="8">
        <v>69860</v>
      </c>
    </row>
    <row r="45" spans="1:17">
      <c r="A45" s="4" t="s">
        <v>34</v>
      </c>
      <c r="B45" s="7">
        <v>5723</v>
      </c>
      <c r="C45" s="7">
        <v>9247</v>
      </c>
      <c r="D45" s="7">
        <v>11414</v>
      </c>
      <c r="E45" s="7">
        <v>13856</v>
      </c>
      <c r="F45" s="8">
        <v>18453</v>
      </c>
      <c r="G45" s="8">
        <v>25181</v>
      </c>
      <c r="H45" s="8">
        <v>22027</v>
      </c>
      <c r="I45" s="8">
        <v>25744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</row>
    <row r="46" spans="1:17">
      <c r="A46" s="4" t="s">
        <v>35</v>
      </c>
      <c r="B46" s="7">
        <v>2984</v>
      </c>
      <c r="C46" s="7">
        <v>4091</v>
      </c>
      <c r="D46" s="7">
        <v>5953</v>
      </c>
      <c r="E46" s="7">
        <v>7435</v>
      </c>
      <c r="F46" s="7">
        <v>8491</v>
      </c>
      <c r="G46" s="7">
        <v>8940</v>
      </c>
      <c r="H46" s="7">
        <v>8080</v>
      </c>
      <c r="I46" s="7">
        <v>7548</v>
      </c>
      <c r="J46" s="7">
        <v>7543</v>
      </c>
      <c r="K46" s="7">
        <v>5522</v>
      </c>
      <c r="L46" s="7">
        <v>6643</v>
      </c>
      <c r="M46" s="7">
        <v>7612</v>
      </c>
      <c r="N46" s="8">
        <v>7912</v>
      </c>
      <c r="O46" s="8">
        <v>8061</v>
      </c>
      <c r="P46" s="8">
        <v>8249</v>
      </c>
      <c r="Q46" s="8">
        <v>9055</v>
      </c>
    </row>
    <row r="47" spans="1:17">
      <c r="A47" s="4" t="s">
        <v>36</v>
      </c>
      <c r="B47" s="7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32687</v>
      </c>
      <c r="K47" s="7">
        <v>37720</v>
      </c>
      <c r="L47" s="7">
        <v>42684</v>
      </c>
      <c r="M47" s="7">
        <v>47493</v>
      </c>
      <c r="N47" s="8">
        <v>60845</v>
      </c>
      <c r="O47" s="8">
        <v>58829</v>
      </c>
      <c r="P47" s="8">
        <v>78304</v>
      </c>
      <c r="Q47" s="8">
        <v>66387</v>
      </c>
    </row>
    <row r="48" spans="1:17">
      <c r="A48" s="4" t="s">
        <v>37</v>
      </c>
      <c r="B48" s="7">
        <v>0</v>
      </c>
      <c r="C48" s="7">
        <v>0</v>
      </c>
      <c r="D48" s="7">
        <v>0</v>
      </c>
      <c r="E48" s="7">
        <v>0</v>
      </c>
      <c r="F48" s="8">
        <v>6308</v>
      </c>
      <c r="G48" s="8">
        <v>8499</v>
      </c>
      <c r="H48" s="8">
        <v>8105</v>
      </c>
      <c r="I48" s="8">
        <v>11977</v>
      </c>
      <c r="J48" s="8">
        <v>11964</v>
      </c>
      <c r="K48" s="8">
        <v>5980</v>
      </c>
      <c r="L48" s="8">
        <v>4996</v>
      </c>
      <c r="M48" s="8">
        <v>6000</v>
      </c>
      <c r="N48" s="8">
        <v>9982</v>
      </c>
      <c r="O48" s="8">
        <v>5985</v>
      </c>
      <c r="P48" s="8">
        <v>9967</v>
      </c>
      <c r="Q48" s="8">
        <v>7979</v>
      </c>
    </row>
    <row r="49" spans="1:17">
      <c r="A49" s="4" t="s">
        <v>38</v>
      </c>
      <c r="B49" s="7">
        <v>0</v>
      </c>
      <c r="C49" s="7">
        <v>0</v>
      </c>
      <c r="D49" s="7">
        <v>0</v>
      </c>
      <c r="E49" s="7">
        <v>0</v>
      </c>
      <c r="F49" s="8">
        <v>0</v>
      </c>
      <c r="G49" s="8">
        <v>2500</v>
      </c>
      <c r="H49" s="8">
        <v>3500</v>
      </c>
      <c r="I49" s="8">
        <v>6496</v>
      </c>
      <c r="J49" s="8">
        <v>8784</v>
      </c>
      <c r="K49" s="8">
        <v>10260</v>
      </c>
      <c r="L49" s="8">
        <v>8773</v>
      </c>
      <c r="M49" s="8">
        <v>9613</v>
      </c>
      <c r="N49" s="8">
        <v>11128</v>
      </c>
      <c r="O49" s="8">
        <v>9822</v>
      </c>
      <c r="P49" s="8">
        <v>10912</v>
      </c>
      <c r="Q49" s="8">
        <v>12350</v>
      </c>
    </row>
    <row r="50" spans="1:17">
      <c r="A50" s="16" t="s">
        <v>39</v>
      </c>
      <c r="B50" s="17">
        <f t="shared" ref="B50:Q50" si="10">SUM(B43:B49)</f>
        <v>20722</v>
      </c>
      <c r="C50" s="17">
        <f t="shared" si="10"/>
        <v>27970</v>
      </c>
      <c r="D50" s="17">
        <f t="shared" si="10"/>
        <v>38542</v>
      </c>
      <c r="E50" s="17">
        <f t="shared" si="10"/>
        <v>43658</v>
      </c>
      <c r="F50" s="18">
        <f t="shared" si="10"/>
        <v>63448</v>
      </c>
      <c r="G50" s="18">
        <f t="shared" si="10"/>
        <v>80610</v>
      </c>
      <c r="H50" s="18">
        <f t="shared" si="10"/>
        <v>79006</v>
      </c>
      <c r="I50" s="18">
        <f t="shared" si="10"/>
        <v>100814</v>
      </c>
      <c r="J50" s="18">
        <f t="shared" si="10"/>
        <v>116866</v>
      </c>
      <c r="K50" s="18">
        <f t="shared" si="10"/>
        <v>105718</v>
      </c>
      <c r="L50" s="18">
        <f t="shared" si="10"/>
        <v>105392</v>
      </c>
      <c r="M50" s="18">
        <f t="shared" si="10"/>
        <v>125481</v>
      </c>
      <c r="N50" s="18">
        <f t="shared" si="10"/>
        <v>153982</v>
      </c>
      <c r="O50" s="18">
        <f t="shared" si="10"/>
        <v>145308</v>
      </c>
      <c r="P50" s="18">
        <f t="shared" si="10"/>
        <v>176392</v>
      </c>
      <c r="Q50" s="18">
        <f t="shared" si="10"/>
        <v>165631</v>
      </c>
    </row>
    <row r="51" spans="1:17">
      <c r="A51" s="30"/>
      <c r="B51" s="21"/>
      <c r="C51" s="21"/>
      <c r="D51" s="21"/>
      <c r="E51" s="2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</row>
    <row r="52" spans="1:17">
      <c r="A52" s="4" t="s">
        <v>40</v>
      </c>
      <c r="B52" s="7">
        <v>0</v>
      </c>
      <c r="C52" s="7">
        <v>0</v>
      </c>
      <c r="D52" s="7">
        <v>0</v>
      </c>
      <c r="E52" s="7">
        <v>16960</v>
      </c>
      <c r="F52" s="8">
        <v>28987</v>
      </c>
      <c r="G52" s="8">
        <v>53463</v>
      </c>
      <c r="H52" s="8">
        <v>75427</v>
      </c>
      <c r="I52" s="8">
        <v>97207</v>
      </c>
      <c r="J52" s="8">
        <v>93735</v>
      </c>
      <c r="K52" s="8">
        <v>91807</v>
      </c>
      <c r="L52" s="8">
        <v>98667</v>
      </c>
      <c r="M52" s="8">
        <v>109106</v>
      </c>
      <c r="N52" s="8">
        <v>98959</v>
      </c>
      <c r="O52" s="8">
        <v>95281</v>
      </c>
      <c r="P52" s="8">
        <v>85750</v>
      </c>
      <c r="Q52" s="8">
        <v>78328</v>
      </c>
    </row>
    <row r="53" spans="1:17">
      <c r="A53" s="4" t="s">
        <v>41</v>
      </c>
      <c r="B53" s="7">
        <v>1139</v>
      </c>
      <c r="C53" s="7">
        <v>1686</v>
      </c>
      <c r="D53" s="7">
        <v>2648</v>
      </c>
      <c r="E53" s="7">
        <v>2625</v>
      </c>
      <c r="F53" s="7">
        <v>3031</v>
      </c>
      <c r="G53" s="7">
        <v>3624</v>
      </c>
      <c r="H53" s="7">
        <v>2930</v>
      </c>
      <c r="I53" s="7">
        <v>2836</v>
      </c>
      <c r="J53" s="7">
        <v>2797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</row>
    <row r="54" spans="1:17">
      <c r="A54" s="4" t="s">
        <v>42</v>
      </c>
      <c r="B54" s="7">
        <v>5531</v>
      </c>
      <c r="C54" s="7">
        <v>10100</v>
      </c>
      <c r="D54" s="7">
        <v>16664</v>
      </c>
      <c r="E54" s="7">
        <v>20208</v>
      </c>
      <c r="F54" s="7">
        <v>24826</v>
      </c>
      <c r="G54" s="7">
        <v>33427</v>
      </c>
      <c r="H54" s="7">
        <v>36074</v>
      </c>
      <c r="I54" s="7">
        <v>40415</v>
      </c>
      <c r="J54" s="7">
        <v>45180</v>
      </c>
      <c r="K54" s="7">
        <v>50503</v>
      </c>
      <c r="L54" s="7">
        <v>54490</v>
      </c>
      <c r="M54" s="7">
        <v>53325</v>
      </c>
      <c r="N54" s="7">
        <v>49142</v>
      </c>
      <c r="O54" s="7">
        <v>49848</v>
      </c>
      <c r="P54" s="7">
        <v>45888</v>
      </c>
      <c r="Q54" s="7">
        <v>41549</v>
      </c>
    </row>
    <row r="55" spans="1:17">
      <c r="A55" s="16" t="s">
        <v>43</v>
      </c>
      <c r="B55" s="32">
        <f t="shared" ref="B55:Q55" si="11">SUM(B52:B54)</f>
        <v>6670</v>
      </c>
      <c r="C55" s="32">
        <f t="shared" si="11"/>
        <v>11786</v>
      </c>
      <c r="D55" s="32">
        <f t="shared" si="11"/>
        <v>19312</v>
      </c>
      <c r="E55" s="32">
        <f t="shared" si="11"/>
        <v>39793</v>
      </c>
      <c r="F55" s="33">
        <f t="shared" si="11"/>
        <v>56844</v>
      </c>
      <c r="G55" s="33">
        <f t="shared" si="11"/>
        <v>90514</v>
      </c>
      <c r="H55" s="33">
        <f t="shared" si="11"/>
        <v>114431</v>
      </c>
      <c r="I55" s="33">
        <f t="shared" si="11"/>
        <v>140458</v>
      </c>
      <c r="J55" s="33">
        <f t="shared" si="11"/>
        <v>141712</v>
      </c>
      <c r="K55" s="33">
        <f t="shared" si="11"/>
        <v>142310</v>
      </c>
      <c r="L55" s="33">
        <f t="shared" si="11"/>
        <v>153157</v>
      </c>
      <c r="M55" s="33">
        <f t="shared" si="11"/>
        <v>162431</v>
      </c>
      <c r="N55" s="33">
        <f t="shared" si="11"/>
        <v>148101</v>
      </c>
      <c r="O55" s="33">
        <f t="shared" si="11"/>
        <v>145129</v>
      </c>
      <c r="P55" s="33">
        <f t="shared" si="11"/>
        <v>131638</v>
      </c>
      <c r="Q55" s="33">
        <f t="shared" si="11"/>
        <v>119877</v>
      </c>
    </row>
    <row r="56" spans="1:17">
      <c r="A56" s="16" t="s">
        <v>44</v>
      </c>
      <c r="B56" s="15">
        <f t="shared" ref="B56:Q56" si="12">B50+B55</f>
        <v>27392</v>
      </c>
      <c r="C56" s="15">
        <f t="shared" si="12"/>
        <v>39756</v>
      </c>
      <c r="D56" s="15">
        <f t="shared" si="12"/>
        <v>57854</v>
      </c>
      <c r="E56" s="15">
        <f t="shared" si="12"/>
        <v>83451</v>
      </c>
      <c r="F56" s="15">
        <f t="shared" si="12"/>
        <v>120292</v>
      </c>
      <c r="G56" s="15">
        <f t="shared" si="12"/>
        <v>171124</v>
      </c>
      <c r="H56" s="15">
        <f t="shared" si="12"/>
        <v>193437</v>
      </c>
      <c r="I56" s="15">
        <f t="shared" si="12"/>
        <v>241272</v>
      </c>
      <c r="J56" s="15">
        <f t="shared" si="12"/>
        <v>258578</v>
      </c>
      <c r="K56" s="15">
        <f t="shared" si="12"/>
        <v>248028</v>
      </c>
      <c r="L56" s="15">
        <f t="shared" si="12"/>
        <v>258549</v>
      </c>
      <c r="M56" s="15">
        <f t="shared" si="12"/>
        <v>287912</v>
      </c>
      <c r="N56" s="15">
        <f t="shared" si="12"/>
        <v>302083</v>
      </c>
      <c r="O56" s="15">
        <f t="shared" si="12"/>
        <v>290437</v>
      </c>
      <c r="P56" s="15">
        <f t="shared" si="12"/>
        <v>308030</v>
      </c>
      <c r="Q56" s="15">
        <f t="shared" si="12"/>
        <v>285508</v>
      </c>
    </row>
    <row r="57" spans="1:17">
      <c r="A57" s="4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</row>
    <row r="58" spans="1:17">
      <c r="A58" s="4" t="s">
        <v>45</v>
      </c>
      <c r="B58" s="8">
        <v>10668</v>
      </c>
      <c r="C58" s="8">
        <v>13331</v>
      </c>
      <c r="D58" s="8">
        <v>16422</v>
      </c>
      <c r="E58" s="8">
        <v>19764</v>
      </c>
      <c r="F58" s="8">
        <v>23313</v>
      </c>
      <c r="G58" s="8">
        <v>27416</v>
      </c>
      <c r="H58" s="8">
        <v>31251</v>
      </c>
      <c r="I58" s="8">
        <v>35867</v>
      </c>
      <c r="J58" s="8">
        <v>40201</v>
      </c>
      <c r="K58" s="8">
        <v>45174</v>
      </c>
      <c r="L58" s="8">
        <v>50779</v>
      </c>
      <c r="M58" s="8">
        <v>57365</v>
      </c>
      <c r="N58" s="8">
        <v>64849</v>
      </c>
      <c r="O58" s="8">
        <v>73812</v>
      </c>
      <c r="P58" s="8">
        <v>83276</v>
      </c>
      <c r="Q58" s="8">
        <v>93568</v>
      </c>
    </row>
    <row r="59" spans="1:17">
      <c r="A59" s="4" t="s">
        <v>46</v>
      </c>
      <c r="B59" s="8">
        <v>37169</v>
      </c>
      <c r="C59" s="8">
        <v>62841</v>
      </c>
      <c r="D59" s="8">
        <v>101289</v>
      </c>
      <c r="E59" s="8">
        <v>104256</v>
      </c>
      <c r="F59" s="8">
        <v>87152</v>
      </c>
      <c r="G59" s="8">
        <v>92284</v>
      </c>
      <c r="H59" s="8">
        <v>96364</v>
      </c>
      <c r="I59" s="8">
        <v>98330</v>
      </c>
      <c r="J59" s="8">
        <v>70400</v>
      </c>
      <c r="K59" s="8">
        <v>45898</v>
      </c>
      <c r="L59" s="8">
        <v>14966</v>
      </c>
      <c r="M59" s="8">
        <v>5562</v>
      </c>
      <c r="N59" s="8">
        <v>0</v>
      </c>
      <c r="O59" s="8">
        <v>0</v>
      </c>
      <c r="P59" s="8">
        <v>0</v>
      </c>
      <c r="Q59" s="8">
        <v>0</v>
      </c>
    </row>
    <row r="60" spans="1:17">
      <c r="A60" s="4" t="s">
        <v>47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34">
        <v>-3068</v>
      </c>
      <c r="O60" s="34">
        <v>-214</v>
      </c>
      <c r="P60" s="34">
        <v>-19154</v>
      </c>
      <c r="Q60" s="34">
        <v>-14264</v>
      </c>
    </row>
    <row r="61" spans="1:17">
      <c r="A61" s="4" t="s">
        <v>48</v>
      </c>
      <c r="B61" s="34">
        <v>-46</v>
      </c>
      <c r="C61" s="8">
        <v>443</v>
      </c>
      <c r="D61" s="8">
        <v>499</v>
      </c>
      <c r="E61" s="34">
        <v>-471</v>
      </c>
      <c r="F61" s="8">
        <v>1082</v>
      </c>
      <c r="G61" s="34">
        <v>-345</v>
      </c>
      <c r="H61" s="8">
        <v>634</v>
      </c>
      <c r="I61" s="34">
        <v>-150</v>
      </c>
      <c r="J61" s="34">
        <v>-3454</v>
      </c>
      <c r="K61" s="34">
        <v>-584</v>
      </c>
      <c r="L61" s="34">
        <v>-406</v>
      </c>
      <c r="M61" s="8">
        <v>163</v>
      </c>
      <c r="N61" s="34">
        <v>-11109</v>
      </c>
      <c r="O61" s="34">
        <v>-11452</v>
      </c>
      <c r="P61" s="34">
        <v>-7172</v>
      </c>
      <c r="Q61" s="34">
        <v>-5571</v>
      </c>
    </row>
    <row r="62" spans="1:17">
      <c r="A62" s="16" t="s">
        <v>49</v>
      </c>
      <c r="B62" s="35">
        <f t="shared" ref="B62:Q62" si="13">SUM(B58:B61)</f>
        <v>47791</v>
      </c>
      <c r="C62" s="35">
        <f t="shared" si="13"/>
        <v>76615</v>
      </c>
      <c r="D62" s="35">
        <f t="shared" si="13"/>
        <v>118210</v>
      </c>
      <c r="E62" s="35">
        <f t="shared" si="13"/>
        <v>123549</v>
      </c>
      <c r="F62" s="35">
        <f t="shared" si="13"/>
        <v>111547</v>
      </c>
      <c r="G62" s="35">
        <f t="shared" si="13"/>
        <v>119355</v>
      </c>
      <c r="H62" s="35">
        <f t="shared" si="13"/>
        <v>128249</v>
      </c>
      <c r="I62" s="35">
        <f t="shared" si="13"/>
        <v>134047</v>
      </c>
      <c r="J62" s="35">
        <f t="shared" si="13"/>
        <v>107147</v>
      </c>
      <c r="K62" s="35">
        <f t="shared" si="13"/>
        <v>90488</v>
      </c>
      <c r="L62" s="35">
        <f t="shared" si="13"/>
        <v>65339</v>
      </c>
      <c r="M62" s="35">
        <f t="shared" si="13"/>
        <v>63090</v>
      </c>
      <c r="N62" s="35">
        <f t="shared" si="13"/>
        <v>50672</v>
      </c>
      <c r="O62" s="35">
        <f t="shared" si="13"/>
        <v>62146</v>
      </c>
      <c r="P62" s="35">
        <f t="shared" si="13"/>
        <v>56950</v>
      </c>
      <c r="Q62" s="35">
        <f t="shared" si="13"/>
        <v>73733</v>
      </c>
    </row>
    <row r="63" spans="1:17">
      <c r="A63" s="16" t="s">
        <v>50</v>
      </c>
      <c r="B63" s="36">
        <f t="shared" ref="B63:Q63" si="14">B56+B62</f>
        <v>75183</v>
      </c>
      <c r="C63" s="36">
        <f t="shared" si="14"/>
        <v>116371</v>
      </c>
      <c r="D63" s="36">
        <f t="shared" si="14"/>
        <v>176064</v>
      </c>
      <c r="E63" s="36">
        <f t="shared" si="14"/>
        <v>207000</v>
      </c>
      <c r="F63" s="36">
        <f t="shared" si="14"/>
        <v>231839</v>
      </c>
      <c r="G63" s="36">
        <f t="shared" si="14"/>
        <v>290479</v>
      </c>
      <c r="H63" s="36">
        <f t="shared" si="14"/>
        <v>321686</v>
      </c>
      <c r="I63" s="36">
        <f t="shared" si="14"/>
        <v>375319</v>
      </c>
      <c r="J63" s="36">
        <f t="shared" si="14"/>
        <v>365725</v>
      </c>
      <c r="K63" s="36">
        <f t="shared" si="14"/>
        <v>338516</v>
      </c>
      <c r="L63" s="36">
        <f t="shared" si="14"/>
        <v>323888</v>
      </c>
      <c r="M63" s="36">
        <f t="shared" si="14"/>
        <v>351002</v>
      </c>
      <c r="N63" s="36">
        <f t="shared" si="14"/>
        <v>352755</v>
      </c>
      <c r="O63" s="36">
        <f t="shared" si="14"/>
        <v>352583</v>
      </c>
      <c r="P63" s="36">
        <f t="shared" si="14"/>
        <v>364980</v>
      </c>
      <c r="Q63" s="36">
        <f t="shared" si="14"/>
        <v>359241</v>
      </c>
    </row>
    <row r="67" spans="1:17" ht="19.95" customHeight="1">
      <c r="A67" s="39" t="s">
        <v>58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</row>
    <row r="68" spans="1:17">
      <c r="A68" t="s">
        <v>52</v>
      </c>
    </row>
    <row r="70" spans="1:17">
      <c r="A70" s="40" t="s">
        <v>53</v>
      </c>
      <c r="B70" s="40">
        <v>2010</v>
      </c>
      <c r="C70" s="40">
        <v>2011</v>
      </c>
      <c r="D70" s="40">
        <v>2012</v>
      </c>
      <c r="E70" s="40">
        <v>2013</v>
      </c>
      <c r="F70" s="40">
        <v>2014</v>
      </c>
      <c r="G70" s="40">
        <v>2015</v>
      </c>
      <c r="H70" s="40">
        <v>2016</v>
      </c>
      <c r="I70" s="40">
        <v>2017</v>
      </c>
      <c r="J70" s="40">
        <v>2018</v>
      </c>
      <c r="K70" s="40">
        <v>2019</v>
      </c>
      <c r="L70" s="40">
        <v>2020</v>
      </c>
      <c r="M70" s="40">
        <v>2021</v>
      </c>
      <c r="N70" s="40">
        <v>2022</v>
      </c>
      <c r="O70" s="40">
        <v>2023</v>
      </c>
      <c r="P70" s="40">
        <v>2024</v>
      </c>
      <c r="Q70" s="40">
        <v>2025</v>
      </c>
    </row>
    <row r="71" spans="1:17">
      <c r="A71" s="39" t="s">
        <v>1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</row>
    <row r="72" spans="1:17">
      <c r="A72" s="43" t="s">
        <v>2</v>
      </c>
      <c r="B72" s="44">
        <f t="shared" ref="B72:Q72" si="15">IFERROR(B5/B$5,"")</f>
        <v>1</v>
      </c>
      <c r="C72" s="44">
        <f t="shared" si="15"/>
        <v>1</v>
      </c>
      <c r="D72" s="44">
        <f t="shared" si="15"/>
        <v>1</v>
      </c>
      <c r="E72" s="44">
        <f t="shared" si="15"/>
        <v>1</v>
      </c>
      <c r="F72" s="44">
        <f t="shared" si="15"/>
        <v>1</v>
      </c>
      <c r="G72" s="44">
        <f t="shared" si="15"/>
        <v>1</v>
      </c>
      <c r="H72" s="44">
        <f t="shared" si="15"/>
        <v>1</v>
      </c>
      <c r="I72" s="44">
        <f t="shared" si="15"/>
        <v>1</v>
      </c>
      <c r="J72" s="44">
        <f t="shared" si="15"/>
        <v>1</v>
      </c>
      <c r="K72" s="44">
        <f t="shared" si="15"/>
        <v>1</v>
      </c>
      <c r="L72" s="44">
        <f t="shared" si="15"/>
        <v>1</v>
      </c>
      <c r="M72" s="44">
        <f t="shared" si="15"/>
        <v>1</v>
      </c>
      <c r="N72" s="44">
        <f t="shared" si="15"/>
        <v>1</v>
      </c>
      <c r="O72" s="44">
        <f t="shared" si="15"/>
        <v>1</v>
      </c>
      <c r="P72" s="44">
        <f t="shared" si="15"/>
        <v>1</v>
      </c>
      <c r="Q72" s="44">
        <f t="shared" si="15"/>
        <v>1</v>
      </c>
    </row>
    <row r="73" spans="1:17">
      <c r="A73" t="s">
        <v>3</v>
      </c>
      <c r="B73" s="41">
        <f t="shared" ref="B73:Q73" si="16">IFERROR(B6/B$5,"")</f>
        <v>0.60622460712916826</v>
      </c>
      <c r="C73" s="41">
        <f t="shared" si="16"/>
        <v>0.59521104121054236</v>
      </c>
      <c r="D73" s="41">
        <f t="shared" si="16"/>
        <v>0.56128760191172333</v>
      </c>
      <c r="E73" s="41">
        <f t="shared" si="16"/>
        <v>0.62375519279152769</v>
      </c>
      <c r="F73" s="41">
        <f t="shared" si="16"/>
        <v>0.61411964222216142</v>
      </c>
      <c r="G73" s="41">
        <f t="shared" si="16"/>
        <v>0.59940097982585627</v>
      </c>
      <c r="H73" s="41">
        <f t="shared" si="16"/>
        <v>0.60924044351902951</v>
      </c>
      <c r="I73" s="41">
        <f t="shared" si="16"/>
        <v>0.6153013950810089</v>
      </c>
      <c r="J73" s="41">
        <f t="shared" si="16"/>
        <v>0.6165628117999209</v>
      </c>
      <c r="K73" s="41">
        <f t="shared" si="16"/>
        <v>0.62182231890965278</v>
      </c>
      <c r="L73" s="41">
        <f t="shared" si="16"/>
        <v>0.61766752272189129</v>
      </c>
      <c r="M73" s="41">
        <f t="shared" si="16"/>
        <v>0.58220640374832222</v>
      </c>
      <c r="N73" s="41">
        <f t="shared" si="16"/>
        <v>0.56690369438639909</v>
      </c>
      <c r="O73" s="41">
        <f t="shared" si="16"/>
        <v>0.55868870422792438</v>
      </c>
      <c r="P73" s="41">
        <f t="shared" si="16"/>
        <v>0.53793650184766073</v>
      </c>
      <c r="Q73" s="41">
        <f t="shared" si="16"/>
        <v>0.53094835892839554</v>
      </c>
    </row>
    <row r="74" spans="1:17">
      <c r="A74" s="43" t="s">
        <v>4</v>
      </c>
      <c r="B74" s="44">
        <f t="shared" ref="B74:Q74" si="17">IFERROR(B7/B$5,"")</f>
        <v>0.39377539287083174</v>
      </c>
      <c r="C74" s="44">
        <f t="shared" si="17"/>
        <v>0.40478895878945764</v>
      </c>
      <c r="D74" s="44">
        <f t="shared" si="17"/>
        <v>0.43871239808827661</v>
      </c>
      <c r="E74" s="44">
        <f t="shared" si="17"/>
        <v>0.37624480720847231</v>
      </c>
      <c r="F74" s="44">
        <f t="shared" si="17"/>
        <v>0.38588035777783858</v>
      </c>
      <c r="G74" s="44">
        <f t="shared" si="17"/>
        <v>0.40059902017414373</v>
      </c>
      <c r="H74" s="44">
        <f t="shared" si="17"/>
        <v>0.39075955648097049</v>
      </c>
      <c r="I74" s="44">
        <f t="shared" si="17"/>
        <v>0.38469860491899105</v>
      </c>
      <c r="J74" s="44">
        <f t="shared" si="17"/>
        <v>0.38343718820007905</v>
      </c>
      <c r="K74" s="44">
        <f t="shared" si="17"/>
        <v>0.37817768109034722</v>
      </c>
      <c r="L74" s="44">
        <f t="shared" si="17"/>
        <v>0.38233247727810865</v>
      </c>
      <c r="M74" s="44">
        <f t="shared" si="17"/>
        <v>0.41779359625167778</v>
      </c>
      <c r="N74" s="44">
        <f t="shared" si="17"/>
        <v>0.43309630561360085</v>
      </c>
      <c r="O74" s="44">
        <f t="shared" si="17"/>
        <v>0.44131129577207562</v>
      </c>
      <c r="P74" s="44">
        <f t="shared" si="17"/>
        <v>0.46206349815233932</v>
      </c>
      <c r="Q74" s="44">
        <f t="shared" si="17"/>
        <v>0.46905164107160452</v>
      </c>
    </row>
    <row r="75" spans="1:17"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</row>
    <row r="76" spans="1:17">
      <c r="A76" t="s">
        <v>5</v>
      </c>
      <c r="B76" s="41">
        <f t="shared" ref="B76:Q76" si="18">IFERROR(B9/B$5,"")</f>
        <v>2.7320812571866616E-2</v>
      </c>
      <c r="C76" s="41">
        <f t="shared" si="18"/>
        <v>2.2439006364954873E-2</v>
      </c>
      <c r="D76" s="41">
        <f t="shared" si="18"/>
        <v>2.1602729572929181E-2</v>
      </c>
      <c r="E76" s="41">
        <f t="shared" si="18"/>
        <v>2.6183371365045931E-2</v>
      </c>
      <c r="F76" s="41">
        <f t="shared" si="18"/>
        <v>3.3047949889220163E-2</v>
      </c>
      <c r="G76" s="41">
        <f t="shared" si="18"/>
        <v>3.4516398177267184E-2</v>
      </c>
      <c r="H76" s="41">
        <f t="shared" si="18"/>
        <v>4.6582482760539605E-2</v>
      </c>
      <c r="I76" s="41">
        <f t="shared" si="18"/>
        <v>5.0520428906706681E-2</v>
      </c>
      <c r="J76" s="41">
        <f t="shared" si="18"/>
        <v>5.3600406634161032E-2</v>
      </c>
      <c r="K76" s="41">
        <f t="shared" si="18"/>
        <v>6.233136285716482E-2</v>
      </c>
      <c r="L76" s="41">
        <f t="shared" si="18"/>
        <v>6.8309564140393061E-2</v>
      </c>
      <c r="M76" s="41">
        <f t="shared" si="18"/>
        <v>5.9904269074427925E-2</v>
      </c>
      <c r="N76" s="41">
        <f t="shared" si="18"/>
        <v>6.657148363798665E-2</v>
      </c>
      <c r="O76" s="41">
        <f t="shared" si="18"/>
        <v>7.8048971392045086E-2</v>
      </c>
      <c r="P76" s="41">
        <f t="shared" si="18"/>
        <v>8.0222997941360744E-2</v>
      </c>
      <c r="Q76" s="41">
        <f t="shared" si="18"/>
        <v>8.3020753987038676E-2</v>
      </c>
    </row>
    <row r="77" spans="1:17">
      <c r="A77" t="s">
        <v>6</v>
      </c>
      <c r="B77" s="41">
        <f t="shared" ref="B77:Q77" si="19">IFERROR(B10/B$5,"")</f>
        <v>8.4584131851284022E-2</v>
      </c>
      <c r="C77" s="41">
        <f t="shared" si="19"/>
        <v>7.0199262810741903E-2</v>
      </c>
      <c r="D77" s="41">
        <f t="shared" si="19"/>
        <v>6.4150075395506934E-2</v>
      </c>
      <c r="E77" s="41">
        <f t="shared" si="19"/>
        <v>6.3366684219764782E-2</v>
      </c>
      <c r="F77" s="41">
        <f t="shared" si="19"/>
        <v>6.5609015563883044E-2</v>
      </c>
      <c r="G77" s="41">
        <f t="shared" si="19"/>
        <v>6.1309714823609952E-2</v>
      </c>
      <c r="H77" s="41">
        <f t="shared" si="19"/>
        <v>6.5822972653369755E-2</v>
      </c>
      <c r="I77" s="41">
        <f t="shared" si="19"/>
        <v>6.6573893924984945E-2</v>
      </c>
      <c r="J77" s="41">
        <f t="shared" si="19"/>
        <v>6.2896515371147807E-2</v>
      </c>
      <c r="K77" s="41">
        <f t="shared" si="19"/>
        <v>7.0126146348213125E-2</v>
      </c>
      <c r="L77" s="41">
        <f t="shared" si="19"/>
        <v>7.2549769593646979E-2</v>
      </c>
      <c r="M77" s="41">
        <f t="shared" si="19"/>
        <v>6.006555190163388E-2</v>
      </c>
      <c r="N77" s="41">
        <f t="shared" si="19"/>
        <v>6.3637378020328261E-2</v>
      </c>
      <c r="O77" s="41">
        <f t="shared" si="19"/>
        <v>6.5048201729783317E-2</v>
      </c>
      <c r="P77" s="41">
        <f t="shared" si="19"/>
        <v>6.6738271510222866E-2</v>
      </c>
      <c r="Q77" s="41">
        <f t="shared" si="19"/>
        <v>6.6322889458647019E-2</v>
      </c>
    </row>
    <row r="78" spans="1:17">
      <c r="A78" s="43" t="s">
        <v>7</v>
      </c>
      <c r="B78" s="44">
        <f t="shared" ref="B78:Q78" si="20">IFERROR(B11/B$5,"")</f>
        <v>0.11190494442315063</v>
      </c>
      <c r="C78" s="44">
        <f t="shared" si="20"/>
        <v>9.2638269175696772E-2</v>
      </c>
      <c r="D78" s="44">
        <f t="shared" si="20"/>
        <v>8.5752804968436125E-2</v>
      </c>
      <c r="E78" s="44">
        <f t="shared" si="20"/>
        <v>8.9550055584810717E-2</v>
      </c>
      <c r="F78" s="44">
        <f t="shared" si="20"/>
        <v>9.8656965453103207E-2</v>
      </c>
      <c r="G78" s="44">
        <f t="shared" si="20"/>
        <v>9.5826113000877136E-2</v>
      </c>
      <c r="H78" s="44">
        <f t="shared" si="20"/>
        <v>0.11240545541390935</v>
      </c>
      <c r="I78" s="44">
        <f t="shared" si="20"/>
        <v>0.11709432283169163</v>
      </c>
      <c r="J78" s="44">
        <f t="shared" si="20"/>
        <v>0.11649692200530884</v>
      </c>
      <c r="K78" s="44">
        <f t="shared" si="20"/>
        <v>0.13245750920537794</v>
      </c>
      <c r="L78" s="44">
        <f t="shared" si="20"/>
        <v>0.14085933373404003</v>
      </c>
      <c r="M78" s="44">
        <f t="shared" si="20"/>
        <v>0.11996982097606181</v>
      </c>
      <c r="N78" s="44">
        <f t="shared" si="20"/>
        <v>0.13020886165831491</v>
      </c>
      <c r="O78" s="44">
        <f t="shared" si="20"/>
        <v>0.1430971731218284</v>
      </c>
      <c r="P78" s="44">
        <f t="shared" si="20"/>
        <v>0.14696126945158361</v>
      </c>
      <c r="Q78" s="44">
        <f t="shared" si="20"/>
        <v>0.14934364344568568</v>
      </c>
    </row>
    <row r="79" spans="1:17">
      <c r="A79" s="43" t="s">
        <v>8</v>
      </c>
      <c r="B79" s="44">
        <f t="shared" ref="B79:Q79" si="21">IFERROR(B12/B$5,"")</f>
        <v>0.28187044844768111</v>
      </c>
      <c r="C79" s="44">
        <f t="shared" si="21"/>
        <v>0.31215068961376086</v>
      </c>
      <c r="D79" s="44">
        <f t="shared" si="21"/>
        <v>0.35295959311984054</v>
      </c>
      <c r="E79" s="44">
        <f t="shared" si="21"/>
        <v>0.28669475162366159</v>
      </c>
      <c r="F79" s="44">
        <f t="shared" si="21"/>
        <v>0.28722339232473537</v>
      </c>
      <c r="G79" s="44">
        <f t="shared" si="21"/>
        <v>0.30477290717326661</v>
      </c>
      <c r="H79" s="44">
        <f t="shared" si="21"/>
        <v>0.27835410106706115</v>
      </c>
      <c r="I79" s="44">
        <f t="shared" si="21"/>
        <v>0.26760428208729942</v>
      </c>
      <c r="J79" s="44">
        <f t="shared" si="21"/>
        <v>0.26694026619477024</v>
      </c>
      <c r="K79" s="44">
        <f t="shared" si="21"/>
        <v>0.24572017188496928</v>
      </c>
      <c r="L79" s="44">
        <f t="shared" si="21"/>
        <v>0.24147314354406862</v>
      </c>
      <c r="M79" s="44">
        <f t="shared" si="21"/>
        <v>0.29782377527561593</v>
      </c>
      <c r="N79" s="44">
        <f t="shared" si="21"/>
        <v>0.30288744395528594</v>
      </c>
      <c r="O79" s="44">
        <f t="shared" si="21"/>
        <v>0.29821412265024722</v>
      </c>
      <c r="P79" s="44">
        <f t="shared" si="21"/>
        <v>0.31510222870075566</v>
      </c>
      <c r="Q79" s="44">
        <f t="shared" si="21"/>
        <v>0.31970799762591884</v>
      </c>
    </row>
    <row r="80" spans="1:17"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</row>
    <row r="81" spans="1:17"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</row>
    <row r="82" spans="1:17">
      <c r="A82" t="s">
        <v>10</v>
      </c>
      <c r="B82" s="41">
        <f t="shared" ref="B82:Q82" si="22">IFERROR(B15/B$5,"")</f>
        <v>2.3763894212341895E-3</v>
      </c>
      <c r="C82" s="41">
        <f t="shared" si="22"/>
        <v>3.8337536605418986E-3</v>
      </c>
      <c r="D82" s="41">
        <f t="shared" si="22"/>
        <v>3.3352927645871138E-3</v>
      </c>
      <c r="E82" s="41">
        <f t="shared" si="22"/>
        <v>6.7637938096073956E-3</v>
      </c>
      <c r="F82" s="41">
        <f t="shared" si="22"/>
        <v>5.3611969692825296E-3</v>
      </c>
      <c r="G82" s="41">
        <f t="shared" si="22"/>
        <v>5.4981494555334486E-3</v>
      </c>
      <c r="H82" s="41">
        <f t="shared" si="22"/>
        <v>6.2511883286418502E-3</v>
      </c>
      <c r="I82" s="41">
        <f t="shared" si="22"/>
        <v>1.1974663444340717E-2</v>
      </c>
      <c r="J82" s="41">
        <f t="shared" si="22"/>
        <v>7.5490878969860127E-3</v>
      </c>
      <c r="K82" s="41">
        <f t="shared" si="22"/>
        <v>6.9453519567673943E-3</v>
      </c>
      <c r="L82" s="41">
        <f t="shared" si="22"/>
        <v>2.9251589166347921E-3</v>
      </c>
      <c r="M82" s="41">
        <f t="shared" si="22"/>
        <v>7.0527066812094575E-4</v>
      </c>
      <c r="N82" s="41">
        <f t="shared" si="22"/>
        <v>-8.4701061045626988E-4</v>
      </c>
      <c r="O82" s="41">
        <f t="shared" si="22"/>
        <v>-1.4740989081231982E-3</v>
      </c>
      <c r="P82" s="41">
        <f t="shared" si="22"/>
        <v>6.8791796130781137E-4</v>
      </c>
      <c r="Q82" s="41">
        <f t="shared" si="22"/>
        <v>-7.7133609348305101E-4</v>
      </c>
    </row>
    <row r="83" spans="1:17">
      <c r="A83" t="s">
        <v>11</v>
      </c>
      <c r="B83" s="41">
        <f t="shared" ref="B83:Q83" si="23">IFERROR(B16/B$5,"")</f>
        <v>2.3763894212341895E-3</v>
      </c>
      <c r="C83" s="41">
        <f t="shared" si="23"/>
        <v>3.8337536605418986E-3</v>
      </c>
      <c r="D83" s="41">
        <f t="shared" si="23"/>
        <v>3.3352927645871138E-3</v>
      </c>
      <c r="E83" s="41">
        <f t="shared" si="23"/>
        <v>6.7637938096073956E-3</v>
      </c>
      <c r="F83" s="41">
        <f t="shared" si="23"/>
        <v>5.3611969692825296E-3</v>
      </c>
      <c r="G83" s="41">
        <f t="shared" si="23"/>
        <v>5.4981494555334486E-3</v>
      </c>
      <c r="H83" s="41">
        <f t="shared" si="23"/>
        <v>6.2511883286418502E-3</v>
      </c>
      <c r="I83" s="41">
        <f t="shared" si="23"/>
        <v>1.1974663444340717E-2</v>
      </c>
      <c r="J83" s="41">
        <f t="shared" si="23"/>
        <v>7.5490878969860127E-3</v>
      </c>
      <c r="K83" s="41">
        <f t="shared" si="23"/>
        <v>6.9453519567673943E-3</v>
      </c>
      <c r="L83" s="41">
        <f t="shared" si="23"/>
        <v>2.9251589166347921E-3</v>
      </c>
      <c r="M83" s="41">
        <f t="shared" si="23"/>
        <v>7.0527066812094575E-4</v>
      </c>
      <c r="N83" s="41">
        <f t="shared" si="23"/>
        <v>-8.4701061045626988E-4</v>
      </c>
      <c r="O83" s="41">
        <f t="shared" si="23"/>
        <v>-1.4740989081231982E-3</v>
      </c>
      <c r="P83" s="41">
        <f t="shared" si="23"/>
        <v>6.8791796130781137E-4</v>
      </c>
      <c r="Q83" s="41">
        <f t="shared" si="23"/>
        <v>-7.7133609348305101E-4</v>
      </c>
    </row>
    <row r="84" spans="1:17"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</row>
    <row r="85" spans="1:17"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</row>
    <row r="86" spans="1:17">
      <c r="A86" s="43" t="s">
        <v>12</v>
      </c>
      <c r="B86" s="44">
        <f t="shared" ref="B86:Q86" si="24">IFERROR(B19/B$5,"")</f>
        <v>0.2842468378689153</v>
      </c>
      <c r="C86" s="44">
        <f t="shared" si="24"/>
        <v>0.31598444327430275</v>
      </c>
      <c r="D86" s="44">
        <f t="shared" si="24"/>
        <v>0.35629488588442765</v>
      </c>
      <c r="E86" s="44">
        <f t="shared" si="24"/>
        <v>0.29345854543326899</v>
      </c>
      <c r="F86" s="44">
        <f t="shared" si="24"/>
        <v>0.29258458929401787</v>
      </c>
      <c r="G86" s="44">
        <f t="shared" si="24"/>
        <v>0.31027105662880006</v>
      </c>
      <c r="H86" s="44">
        <f t="shared" si="24"/>
        <v>0.28460528939570301</v>
      </c>
      <c r="I86" s="44">
        <f t="shared" si="24"/>
        <v>0.27957894553164014</v>
      </c>
      <c r="J86" s="44">
        <f t="shared" si="24"/>
        <v>0.27448935409175623</v>
      </c>
      <c r="K86" s="44">
        <f t="shared" si="24"/>
        <v>0.25266552384173668</v>
      </c>
      <c r="L86" s="44">
        <f t="shared" si="24"/>
        <v>0.24439830246070343</v>
      </c>
      <c r="M86" s="44">
        <f t="shared" si="24"/>
        <v>0.29852904594373691</v>
      </c>
      <c r="N86" s="44">
        <f t="shared" si="24"/>
        <v>0.30204043334482966</v>
      </c>
      <c r="O86" s="44">
        <f t="shared" si="24"/>
        <v>0.29674002374212399</v>
      </c>
      <c r="P86" s="44">
        <f t="shared" si="24"/>
        <v>0.31579014666206351</v>
      </c>
      <c r="Q86" s="44">
        <f t="shared" si="24"/>
        <v>0.31893666153243577</v>
      </c>
    </row>
    <row r="87" spans="1:17">
      <c r="A87" t="s">
        <v>13</v>
      </c>
      <c r="B87" s="41">
        <f t="shared" ref="B87:Q87" si="25">IFERROR(B20/B$5,"")</f>
        <v>6.9405902644691458E-2</v>
      </c>
      <c r="C87" s="41">
        <f t="shared" si="25"/>
        <v>7.6518027880165179E-2</v>
      </c>
      <c r="D87" s="41">
        <f t="shared" si="25"/>
        <v>8.9643979860454415E-2</v>
      </c>
      <c r="E87" s="41">
        <f t="shared" si="25"/>
        <v>7.6753847054005037E-2</v>
      </c>
      <c r="F87" s="41">
        <f t="shared" si="25"/>
        <v>7.6440821685494681E-2</v>
      </c>
      <c r="G87" s="41">
        <f t="shared" si="25"/>
        <v>8.1813319641443644E-2</v>
      </c>
      <c r="H87" s="41">
        <f t="shared" si="25"/>
        <v>7.2737306331415008E-2</v>
      </c>
      <c r="I87" s="41">
        <f t="shared" si="25"/>
        <v>6.8654737080886777E-2</v>
      </c>
      <c r="J87" s="41">
        <f t="shared" si="25"/>
        <v>5.0347333345883767E-2</v>
      </c>
      <c r="K87" s="41">
        <f t="shared" si="25"/>
        <v>4.0284578781892115E-2</v>
      </c>
      <c r="L87" s="41">
        <f t="shared" si="25"/>
        <v>3.5262189679981057E-2</v>
      </c>
      <c r="M87" s="41">
        <f t="shared" si="25"/>
        <v>3.9711112386794492E-2</v>
      </c>
      <c r="N87" s="41">
        <f t="shared" si="25"/>
        <v>4.8944026292832364E-2</v>
      </c>
      <c r="O87" s="41">
        <f t="shared" si="25"/>
        <v>4.3677681098921166E-2</v>
      </c>
      <c r="P87" s="41">
        <f t="shared" si="25"/>
        <v>7.6077588962624829E-2</v>
      </c>
      <c r="Q87" s="41">
        <f t="shared" si="25"/>
        <v>4.9786020314253381E-2</v>
      </c>
    </row>
    <row r="88" spans="1:17">
      <c r="A88" s="43" t="s">
        <v>14</v>
      </c>
      <c r="B88" s="44">
        <f t="shared" ref="B88:Q88" si="26">IFERROR(B21/B$5,"")</f>
        <v>0.21484093522422384</v>
      </c>
      <c r="C88" s="44">
        <f t="shared" si="26"/>
        <v>0.2394664153941376</v>
      </c>
      <c r="D88" s="44">
        <f t="shared" si="26"/>
        <v>0.26665090602397323</v>
      </c>
      <c r="E88" s="44">
        <f t="shared" si="26"/>
        <v>0.21670469837926393</v>
      </c>
      <c r="F88" s="44">
        <f t="shared" si="26"/>
        <v>0.21614376760852322</v>
      </c>
      <c r="G88" s="44">
        <f t="shared" si="26"/>
        <v>0.22845773698735639</v>
      </c>
      <c r="H88" s="44">
        <f t="shared" si="26"/>
        <v>0.211867983064288</v>
      </c>
      <c r="I88" s="44">
        <f t="shared" si="26"/>
        <v>0.21092420845075338</v>
      </c>
      <c r="J88" s="44">
        <f t="shared" si="26"/>
        <v>0.22414202074587247</v>
      </c>
      <c r="K88" s="44">
        <f t="shared" si="26"/>
        <v>0.21238094505984456</v>
      </c>
      <c r="L88" s="44">
        <f t="shared" si="26"/>
        <v>0.20913611278072236</v>
      </c>
      <c r="M88" s="44">
        <f t="shared" si="26"/>
        <v>0.25881793355694238</v>
      </c>
      <c r="N88" s="44">
        <f t="shared" si="26"/>
        <v>0.25309640705199732</v>
      </c>
      <c r="O88" s="44">
        <f t="shared" si="26"/>
        <v>0.25306234264320282</v>
      </c>
      <c r="P88" s="44">
        <f t="shared" si="26"/>
        <v>0.23971255769943867</v>
      </c>
      <c r="Q88" s="44">
        <f t="shared" si="26"/>
        <v>0.26915064121818238</v>
      </c>
    </row>
    <row r="89" spans="1:17"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</row>
    <row r="90" spans="1:17"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</row>
    <row r="91" spans="1:17">
      <c r="A91" s="39" t="s">
        <v>15</v>
      </c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</row>
    <row r="92" spans="1:17">
      <c r="A92" t="s">
        <v>16</v>
      </c>
      <c r="B92" s="41">
        <f t="shared" ref="B92:Q92" si="27">IFERROR(B25/B$41,"")</f>
        <v>0.14978120053735552</v>
      </c>
      <c r="C92" s="41">
        <f t="shared" si="27"/>
        <v>8.4342318962628143E-2</v>
      </c>
      <c r="D92" s="41">
        <f t="shared" si="27"/>
        <v>6.103462377317339E-2</v>
      </c>
      <c r="E92" s="41">
        <f t="shared" si="27"/>
        <v>6.888405797101449E-2</v>
      </c>
      <c r="F92" s="41">
        <f t="shared" si="27"/>
        <v>5.9713853148089836E-2</v>
      </c>
      <c r="G92" s="41">
        <f t="shared" si="27"/>
        <v>7.2707493484899077E-2</v>
      </c>
      <c r="H92" s="41">
        <f t="shared" si="27"/>
        <v>6.3677001796783192E-2</v>
      </c>
      <c r="I92" s="41">
        <f t="shared" si="27"/>
        <v>5.4058014648872027E-2</v>
      </c>
      <c r="J92" s="41">
        <f t="shared" si="27"/>
        <v>7.085378358055916E-2</v>
      </c>
      <c r="K92" s="41">
        <f t="shared" si="27"/>
        <v>0.1442886008342294</v>
      </c>
      <c r="L92" s="41">
        <f t="shared" si="27"/>
        <v>0.11737390702959048</v>
      </c>
      <c r="M92" s="41">
        <f t="shared" si="27"/>
        <v>9.9543592344203166E-2</v>
      </c>
      <c r="N92" s="41">
        <f t="shared" si="27"/>
        <v>6.7032359569673003E-2</v>
      </c>
      <c r="O92" s="41">
        <f t="shared" si="27"/>
        <v>8.4987081056091762E-2</v>
      </c>
      <c r="P92" s="41">
        <f t="shared" si="27"/>
        <v>8.2040111786947229E-2</v>
      </c>
      <c r="Q92" s="41">
        <f t="shared" si="27"/>
        <v>0.10002755810166435</v>
      </c>
    </row>
    <row r="93" spans="1:17">
      <c r="A93" t="s">
        <v>17</v>
      </c>
      <c r="B93" s="41">
        <f t="shared" ref="B93:Q93" si="28">IFERROR(B26/B$41,"")</f>
        <v>0.19098732426213372</v>
      </c>
      <c r="C93" s="41">
        <f t="shared" si="28"/>
        <v>0.13866856862964141</v>
      </c>
      <c r="D93" s="41">
        <f t="shared" si="28"/>
        <v>0.10441089603780443</v>
      </c>
      <c r="E93" s="41">
        <f t="shared" si="28"/>
        <v>0.1269903381642512</v>
      </c>
      <c r="F93" s="41">
        <f t="shared" si="28"/>
        <v>4.8451727276256365E-2</v>
      </c>
      <c r="G93" s="41">
        <f t="shared" si="28"/>
        <v>7.0507678696222445E-2</v>
      </c>
      <c r="H93" s="41">
        <f t="shared" si="28"/>
        <v>0.14508247172708791</v>
      </c>
      <c r="I93" s="41">
        <f t="shared" si="28"/>
        <v>0.14358985289846771</v>
      </c>
      <c r="J93" s="41">
        <f t="shared" si="28"/>
        <v>0.1104327021669287</v>
      </c>
      <c r="K93" s="41">
        <f t="shared" si="28"/>
        <v>0.15276382800222146</v>
      </c>
      <c r="L93" s="41">
        <f t="shared" si="28"/>
        <v>0.16341142617201007</v>
      </c>
      <c r="M93" s="41">
        <f t="shared" si="28"/>
        <v>7.8914080261650935E-2</v>
      </c>
      <c r="N93" s="41">
        <f t="shared" si="28"/>
        <v>6.9901206219614181E-2</v>
      </c>
      <c r="O93" s="41">
        <f t="shared" si="28"/>
        <v>8.9595924931150969E-2</v>
      </c>
      <c r="P93" s="41">
        <f t="shared" si="28"/>
        <v>9.6520357279850949E-2</v>
      </c>
      <c r="Q93" s="41">
        <f t="shared" si="28"/>
        <v>5.2229561770510607E-2</v>
      </c>
    </row>
    <row r="94" spans="1:17">
      <c r="A94" t="s">
        <v>18</v>
      </c>
      <c r="B94" s="41">
        <f t="shared" ref="B94:Q94" si="29">IFERROR(B27/B$41,"")</f>
        <v>7.3287844326509977E-2</v>
      </c>
      <c r="C94" s="41">
        <f t="shared" si="29"/>
        <v>4.6136924147768772E-2</v>
      </c>
      <c r="D94" s="41">
        <f t="shared" si="29"/>
        <v>6.2079698291530351E-2</v>
      </c>
      <c r="E94" s="41">
        <f t="shared" si="29"/>
        <v>6.3294685990338162E-2</v>
      </c>
      <c r="F94" s="41">
        <f t="shared" si="29"/>
        <v>7.5310883846117352E-2</v>
      </c>
      <c r="G94" s="41">
        <f t="shared" si="29"/>
        <v>5.8004193074198136E-2</v>
      </c>
      <c r="H94" s="41">
        <f t="shared" si="29"/>
        <v>4.8973222334823402E-2</v>
      </c>
      <c r="I94" s="41">
        <f t="shared" si="29"/>
        <v>4.7623488285964737E-2</v>
      </c>
      <c r="J94" s="41">
        <f t="shared" si="29"/>
        <v>6.339736140542758E-2</v>
      </c>
      <c r="K94" s="41">
        <f t="shared" si="29"/>
        <v>6.7725011520873457E-2</v>
      </c>
      <c r="L94" s="41">
        <f t="shared" si="29"/>
        <v>4.9770290964777947E-2</v>
      </c>
      <c r="M94" s="41">
        <f t="shared" si="29"/>
        <v>7.4865670281081015E-2</v>
      </c>
      <c r="N94" s="41">
        <f t="shared" si="29"/>
        <v>7.9896812235120698E-2</v>
      </c>
      <c r="O94" s="41">
        <f t="shared" si="29"/>
        <v>8.3690932347844332E-2</v>
      </c>
      <c r="P94" s="41">
        <f t="shared" si="29"/>
        <v>9.1539262425338372E-2</v>
      </c>
      <c r="Q94" s="41">
        <f t="shared" si="29"/>
        <v>0.11072511211136814</v>
      </c>
    </row>
    <row r="95" spans="1:17">
      <c r="A95" t="s">
        <v>19</v>
      </c>
      <c r="B95" s="41">
        <f t="shared" ref="B95:Q95" si="30">IFERROR(B28/B$41,"")</f>
        <v>1.3979224026708165E-2</v>
      </c>
      <c r="C95" s="41">
        <f t="shared" si="30"/>
        <v>6.6683280198674925E-3</v>
      </c>
      <c r="D95" s="41">
        <f t="shared" si="30"/>
        <v>4.4926844783715015E-3</v>
      </c>
      <c r="E95" s="41">
        <f t="shared" si="30"/>
        <v>8.5217391304347832E-3</v>
      </c>
      <c r="F95" s="41">
        <f t="shared" si="30"/>
        <v>9.1054568040752418E-3</v>
      </c>
      <c r="G95" s="41">
        <f t="shared" si="30"/>
        <v>8.0866430964028381E-3</v>
      </c>
      <c r="H95" s="41">
        <f t="shared" si="30"/>
        <v>6.6275809329594702E-3</v>
      </c>
      <c r="I95" s="41">
        <f t="shared" si="30"/>
        <v>1.2935662729571378E-2</v>
      </c>
      <c r="J95" s="41">
        <f t="shared" si="30"/>
        <v>1.0816870599494155E-2</v>
      </c>
      <c r="K95" s="41">
        <f t="shared" si="30"/>
        <v>1.2129411903720947E-2</v>
      </c>
      <c r="L95" s="41">
        <f t="shared" si="30"/>
        <v>1.2538284839203676E-2</v>
      </c>
      <c r="M95" s="41">
        <f t="shared" si="30"/>
        <v>1.8746331929732594E-2</v>
      </c>
      <c r="N95" s="41">
        <f t="shared" si="30"/>
        <v>1.4021062777281683E-2</v>
      </c>
      <c r="O95" s="41">
        <f t="shared" si="30"/>
        <v>1.7956055737230667E-2</v>
      </c>
      <c r="P95" s="41">
        <f t="shared" si="30"/>
        <v>1.996273768425667E-2</v>
      </c>
      <c r="Q95" s="41">
        <f t="shared" si="30"/>
        <v>1.5916891446132262E-2</v>
      </c>
    </row>
    <row r="96" spans="1:17">
      <c r="A96" t="s">
        <v>20</v>
      </c>
      <c r="B96" s="41">
        <f t="shared" ref="B96:Q96" si="31">IFERROR(B29/B$41,"")</f>
        <v>2.176023835175505E-2</v>
      </c>
      <c r="C96" s="41">
        <f t="shared" si="31"/>
        <v>1.7306717309295273E-2</v>
      </c>
      <c r="D96" s="41">
        <f t="shared" si="31"/>
        <v>1.4670801526717557E-2</v>
      </c>
      <c r="E96" s="41">
        <f t="shared" si="31"/>
        <v>1.6681159420289856E-2</v>
      </c>
      <c r="F96" s="41">
        <f t="shared" si="31"/>
        <v>1.8624994069160062E-2</v>
      </c>
      <c r="G96" s="41">
        <f t="shared" si="31"/>
        <v>1.9092602219093292E-2</v>
      </c>
      <c r="H96" s="41">
        <f t="shared" si="31"/>
        <v>0</v>
      </c>
      <c r="I96" s="41">
        <f t="shared" si="31"/>
        <v>0</v>
      </c>
      <c r="J96" s="41">
        <f t="shared" si="31"/>
        <v>0</v>
      </c>
      <c r="K96" s="41">
        <f t="shared" si="31"/>
        <v>0</v>
      </c>
      <c r="L96" s="41">
        <f t="shared" si="31"/>
        <v>0</v>
      </c>
      <c r="M96" s="41">
        <f t="shared" si="31"/>
        <v>0</v>
      </c>
      <c r="N96" s="41">
        <f t="shared" si="31"/>
        <v>0</v>
      </c>
      <c r="O96" s="41">
        <f t="shared" si="31"/>
        <v>0</v>
      </c>
      <c r="P96" s="41">
        <f t="shared" si="31"/>
        <v>0</v>
      </c>
      <c r="Q96" s="41">
        <f t="shared" si="31"/>
        <v>0</v>
      </c>
    </row>
    <row r="97" spans="1:17">
      <c r="A97" t="s">
        <v>21</v>
      </c>
      <c r="B97" s="41">
        <f t="shared" ref="B97:Q97" si="32">IFERROR(B30/B$41,"")</f>
        <v>5.871008073633667E-2</v>
      </c>
      <c r="C97" s="41">
        <f t="shared" si="32"/>
        <v>5.4549673028503665E-2</v>
      </c>
      <c r="D97" s="41">
        <f t="shared" si="32"/>
        <v>4.4086241366775719E-2</v>
      </c>
      <c r="E97" s="41">
        <f t="shared" si="32"/>
        <v>3.6420289855072466E-2</v>
      </c>
      <c r="F97" s="41">
        <f t="shared" si="32"/>
        <v>4.2093866864505107E-2</v>
      </c>
      <c r="G97" s="41">
        <f t="shared" si="32"/>
        <v>4.6454304786232394E-2</v>
      </c>
      <c r="H97" s="41">
        <f t="shared" si="32"/>
        <v>4.2106277550157604E-2</v>
      </c>
      <c r="I97" s="41">
        <f t="shared" si="32"/>
        <v>4.7423658274694323E-2</v>
      </c>
      <c r="J97" s="41">
        <f t="shared" si="32"/>
        <v>7.0569416911613919E-2</v>
      </c>
      <c r="K97" s="41">
        <f t="shared" si="32"/>
        <v>6.7583216155218659E-2</v>
      </c>
      <c r="L97" s="41">
        <f t="shared" si="32"/>
        <v>6.5840660969223933E-2</v>
      </c>
      <c r="M97" s="41">
        <f t="shared" si="32"/>
        <v>7.187423433484709E-2</v>
      </c>
      <c r="N97" s="41">
        <f t="shared" si="32"/>
        <v>9.2834970446910747E-2</v>
      </c>
      <c r="O97" s="41">
        <f t="shared" si="32"/>
        <v>8.927543301860838E-2</v>
      </c>
      <c r="P97" s="41">
        <f t="shared" si="32"/>
        <v>8.9958353882404515E-2</v>
      </c>
      <c r="Q97" s="41">
        <f t="shared" si="32"/>
        <v>9.2361395275038199E-2</v>
      </c>
    </row>
    <row r="98" spans="1:17">
      <c r="A98" t="s">
        <v>22</v>
      </c>
      <c r="B98" s="41">
        <f t="shared" ref="B98:Q98" si="33">IFERROR(B31/B$41,"")</f>
        <v>4.5848130561430112E-2</v>
      </c>
      <c r="C98" s="41">
        <f t="shared" si="33"/>
        <v>3.8918630930386437E-2</v>
      </c>
      <c r="D98" s="41">
        <f t="shared" si="33"/>
        <v>3.6679843693202471E-2</v>
      </c>
      <c r="E98" s="41">
        <f t="shared" si="33"/>
        <v>3.3246376811594203E-2</v>
      </c>
      <c r="F98" s="41">
        <f t="shared" si="33"/>
        <v>4.2296593756874383E-2</v>
      </c>
      <c r="G98" s="41">
        <f t="shared" si="33"/>
        <v>3.2838862706082023E-2</v>
      </c>
      <c r="H98" s="41">
        <f t="shared" si="33"/>
        <v>2.5748711476408673E-2</v>
      </c>
      <c r="I98" s="41">
        <f t="shared" si="33"/>
        <v>3.713108049419294E-2</v>
      </c>
      <c r="J98" s="41">
        <f t="shared" si="33"/>
        <v>3.3049422380203704E-2</v>
      </c>
      <c r="K98" s="41">
        <f t="shared" si="33"/>
        <v>3.6488674095168323E-2</v>
      </c>
      <c r="L98" s="41">
        <f t="shared" si="33"/>
        <v>3.4777453934693475E-2</v>
      </c>
      <c r="M98" s="41">
        <f t="shared" si="33"/>
        <v>4.0202050130768482E-2</v>
      </c>
      <c r="N98" s="41">
        <f t="shared" si="33"/>
        <v>6.0163569616305937E-2</v>
      </c>
      <c r="O98" s="41">
        <f t="shared" si="33"/>
        <v>4.1678129688612328E-2</v>
      </c>
      <c r="P98" s="41">
        <f t="shared" si="33"/>
        <v>3.9144610663598006E-2</v>
      </c>
      <c r="Q98" s="41">
        <f t="shared" si="33"/>
        <v>4.0599486138831589E-2</v>
      </c>
    </row>
    <row r="99" spans="1:17">
      <c r="A99" s="43" t="s">
        <v>23</v>
      </c>
      <c r="B99" s="44">
        <f t="shared" ref="B99:Q99" si="34">IFERROR(B32/B$41,"")</f>
        <v>0.55435404280222922</v>
      </c>
      <c r="C99" s="44">
        <f t="shared" si="34"/>
        <v>0.38659116102809121</v>
      </c>
      <c r="D99" s="44">
        <f t="shared" si="34"/>
        <v>0.32745478916757542</v>
      </c>
      <c r="E99" s="44">
        <f t="shared" si="34"/>
        <v>0.35403864734299517</v>
      </c>
      <c r="F99" s="44">
        <f t="shared" si="34"/>
        <v>0.29559737576507833</v>
      </c>
      <c r="G99" s="44">
        <f t="shared" si="34"/>
        <v>0.30769177806313019</v>
      </c>
      <c r="H99" s="44">
        <f t="shared" si="34"/>
        <v>0.33221526581822025</v>
      </c>
      <c r="I99" s="44">
        <f t="shared" si="34"/>
        <v>0.34276175733176312</v>
      </c>
      <c r="J99" s="44">
        <f t="shared" si="34"/>
        <v>0.35911955704422721</v>
      </c>
      <c r="K99" s="44">
        <f t="shared" si="34"/>
        <v>0.48097874251143224</v>
      </c>
      <c r="L99" s="44">
        <f t="shared" si="34"/>
        <v>0.4437120239094996</v>
      </c>
      <c r="M99" s="44">
        <f t="shared" si="34"/>
        <v>0.38414595928228329</v>
      </c>
      <c r="N99" s="44">
        <f t="shared" si="34"/>
        <v>0.38384998086490624</v>
      </c>
      <c r="O99" s="44">
        <f t="shared" si="34"/>
        <v>0.40718355677953844</v>
      </c>
      <c r="P99" s="44">
        <f t="shared" si="34"/>
        <v>0.41916543372239573</v>
      </c>
      <c r="Q99" s="44">
        <f t="shared" si="34"/>
        <v>0.41186000484354512</v>
      </c>
    </row>
    <row r="100" spans="1:17"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</row>
    <row r="101" spans="1:17">
      <c r="A101" t="s">
        <v>24</v>
      </c>
      <c r="B101" s="41">
        <f t="shared" ref="B101:Q101" si="35">IFERROR(B34/B$41,"")</f>
        <v>6.3418591968929142E-2</v>
      </c>
      <c r="C101" s="41">
        <f t="shared" si="35"/>
        <v>6.6829364704264801E-2</v>
      </c>
      <c r="D101" s="41">
        <f t="shared" si="35"/>
        <v>8.7763540530716097E-2</v>
      </c>
      <c r="E101" s="41">
        <f t="shared" si="35"/>
        <v>8.0178743961352661E-2</v>
      </c>
      <c r="F101" s="41">
        <f t="shared" si="35"/>
        <v>8.8958285706891418E-2</v>
      </c>
      <c r="G101" s="41">
        <f t="shared" si="35"/>
        <v>7.7358432106968147E-2</v>
      </c>
      <c r="H101" s="41">
        <f t="shared" si="35"/>
        <v>8.3963865384256695E-2</v>
      </c>
      <c r="I101" s="41">
        <f t="shared" si="35"/>
        <v>9.0011430276644669E-2</v>
      </c>
      <c r="J101" s="41">
        <f t="shared" si="35"/>
        <v>0.11293731628956183</v>
      </c>
      <c r="K101" s="41">
        <f t="shared" si="35"/>
        <v>0.11041723286343924</v>
      </c>
      <c r="L101" s="41">
        <f t="shared" si="35"/>
        <v>0.11351454823889739</v>
      </c>
      <c r="M101" s="41">
        <f t="shared" si="35"/>
        <v>0.11236403211377713</v>
      </c>
      <c r="N101" s="41">
        <f t="shared" si="35"/>
        <v>0.11939448058851045</v>
      </c>
      <c r="O101" s="41">
        <f t="shared" si="35"/>
        <v>0.12398499076813119</v>
      </c>
      <c r="P101" s="41">
        <f t="shared" si="35"/>
        <v>0.12515754287906186</v>
      </c>
      <c r="Q101" s="41">
        <f t="shared" si="35"/>
        <v>0.13872024629705407</v>
      </c>
    </row>
    <row r="102" spans="1:17">
      <c r="A102" t="s">
        <v>25</v>
      </c>
      <c r="B102" s="41">
        <f t="shared" ref="B102:Q102" si="36">IFERROR(B35/B$41,"")</f>
        <v>0.33772262346541104</v>
      </c>
      <c r="C102" s="41">
        <f t="shared" si="36"/>
        <v>0.47793694305282242</v>
      </c>
      <c r="D102" s="41">
        <f t="shared" si="36"/>
        <v>0.52323018902217378</v>
      </c>
      <c r="E102" s="41">
        <f t="shared" si="36"/>
        <v>0.51311594202898547</v>
      </c>
      <c r="F102" s="41">
        <f t="shared" si="36"/>
        <v>0.56143271839509312</v>
      </c>
      <c r="G102" s="41">
        <f t="shared" si="36"/>
        <v>0.56480847152461966</v>
      </c>
      <c r="H102" s="41">
        <f t="shared" si="36"/>
        <v>0.52980235384816254</v>
      </c>
      <c r="I102" s="41">
        <f t="shared" si="36"/>
        <v>0.51879601086009497</v>
      </c>
      <c r="J102" s="41">
        <f t="shared" si="36"/>
        <v>0.46701483354979834</v>
      </c>
      <c r="K102" s="41">
        <f t="shared" si="36"/>
        <v>0.31118470028004586</v>
      </c>
      <c r="L102" s="41">
        <f t="shared" si="36"/>
        <v>0.31148730425332216</v>
      </c>
      <c r="M102" s="41">
        <f t="shared" si="36"/>
        <v>0.36431986142529105</v>
      </c>
      <c r="N102" s="41">
        <f t="shared" si="36"/>
        <v>0.34246148176496433</v>
      </c>
      <c r="O102" s="41">
        <f t="shared" si="36"/>
        <v>0.285164060660894</v>
      </c>
      <c r="P102" s="41">
        <f t="shared" si="36"/>
        <v>0.25064113102087787</v>
      </c>
      <c r="Q102" s="41">
        <f t="shared" si="36"/>
        <v>0.21635336723814932</v>
      </c>
    </row>
    <row r="103" spans="1:17">
      <c r="A103" t="s">
        <v>26</v>
      </c>
      <c r="B103" s="41">
        <f t="shared" ref="B103:Q103" si="37">IFERROR(B36/B$41,"")</f>
        <v>9.8559514783927212E-3</v>
      </c>
      <c r="C103" s="41">
        <f t="shared" si="37"/>
        <v>7.6995127652078263E-3</v>
      </c>
      <c r="D103" s="41">
        <f t="shared" si="37"/>
        <v>6.4465194474736462E-3</v>
      </c>
      <c r="E103" s="41">
        <f t="shared" si="37"/>
        <v>7.6183574879227049E-3</v>
      </c>
      <c r="F103" s="41">
        <f t="shared" si="37"/>
        <v>1.9910368833543968E-2</v>
      </c>
      <c r="G103" s="41">
        <f t="shared" si="37"/>
        <v>1.7612288668027637E-2</v>
      </c>
      <c r="H103" s="41">
        <f t="shared" si="37"/>
        <v>1.6830076534260118E-2</v>
      </c>
      <c r="I103" s="41">
        <f t="shared" si="37"/>
        <v>1.5232375659105988E-2</v>
      </c>
      <c r="J103" s="41">
        <f t="shared" si="37"/>
        <v>0</v>
      </c>
      <c r="K103" s="41">
        <f t="shared" si="37"/>
        <v>0</v>
      </c>
      <c r="L103" s="41">
        <f t="shared" si="37"/>
        <v>0</v>
      </c>
      <c r="M103" s="41">
        <f t="shared" si="37"/>
        <v>0</v>
      </c>
      <c r="N103" s="41">
        <f t="shared" si="37"/>
        <v>0</v>
      </c>
      <c r="O103" s="41">
        <f t="shared" si="37"/>
        <v>0</v>
      </c>
      <c r="P103" s="41">
        <f t="shared" si="37"/>
        <v>0</v>
      </c>
      <c r="Q103" s="41">
        <f t="shared" si="37"/>
        <v>0</v>
      </c>
    </row>
    <row r="104" spans="1:17">
      <c r="A104" t="s">
        <v>27</v>
      </c>
      <c r="B104" s="41">
        <f t="shared" ref="B104:Q104" si="38">IFERROR(B37/B$41,"")</f>
        <v>4.5489006823351023E-3</v>
      </c>
      <c r="C104" s="41">
        <f t="shared" si="38"/>
        <v>3.0385577162695174E-2</v>
      </c>
      <c r="D104" s="41">
        <f t="shared" si="38"/>
        <v>2.3991275899672846E-2</v>
      </c>
      <c r="E104" s="41">
        <f t="shared" si="38"/>
        <v>2.018840579710145E-2</v>
      </c>
      <c r="F104" s="41">
        <f t="shared" si="38"/>
        <v>1.7865846557309169E-2</v>
      </c>
      <c r="G104" s="41">
        <f t="shared" si="38"/>
        <v>1.3402001521624627E-2</v>
      </c>
      <c r="H104" s="41">
        <f t="shared" si="38"/>
        <v>9.966240371045057E-3</v>
      </c>
      <c r="I104" s="41">
        <f t="shared" si="38"/>
        <v>6.1227915453254435E-3</v>
      </c>
      <c r="J104" s="41">
        <f t="shared" si="38"/>
        <v>0</v>
      </c>
      <c r="K104" s="41">
        <f t="shared" si="38"/>
        <v>0</v>
      </c>
      <c r="L104" s="41">
        <f t="shared" si="38"/>
        <v>0</v>
      </c>
      <c r="M104" s="41">
        <f t="shared" si="38"/>
        <v>0</v>
      </c>
      <c r="N104" s="41">
        <f t="shared" si="38"/>
        <v>0</v>
      </c>
      <c r="O104" s="41">
        <f t="shared" si="38"/>
        <v>0</v>
      </c>
      <c r="P104" s="41">
        <f t="shared" si="38"/>
        <v>0</v>
      </c>
      <c r="Q104" s="41">
        <f t="shared" si="38"/>
        <v>0</v>
      </c>
    </row>
    <row r="105" spans="1:17">
      <c r="A105" t="s">
        <v>28</v>
      </c>
      <c r="B105" s="41">
        <f t="shared" ref="B105:Q105" si="39">IFERROR(B38/B$41,"")</f>
        <v>3.009988960270274E-2</v>
      </c>
      <c r="C105" s="41">
        <f t="shared" si="39"/>
        <v>3.0557441286918563E-2</v>
      </c>
      <c r="D105" s="41">
        <f t="shared" si="39"/>
        <v>3.1113685932388221E-2</v>
      </c>
      <c r="E105" s="41">
        <f t="shared" si="39"/>
        <v>2.4859903381642512E-2</v>
      </c>
      <c r="F105" s="41">
        <f t="shared" si="39"/>
        <v>1.6235404742083945E-2</v>
      </c>
      <c r="G105" s="41">
        <f t="shared" si="39"/>
        <v>1.9127028115629701E-2</v>
      </c>
      <c r="H105" s="41">
        <f t="shared" si="39"/>
        <v>2.7222198044055384E-2</v>
      </c>
      <c r="I105" s="41">
        <f t="shared" si="39"/>
        <v>2.7075634327065775E-2</v>
      </c>
      <c r="J105" s="41">
        <f t="shared" si="39"/>
        <v>0</v>
      </c>
      <c r="K105" s="41">
        <f t="shared" si="39"/>
        <v>0</v>
      </c>
      <c r="L105" s="41">
        <f t="shared" si="39"/>
        <v>0</v>
      </c>
      <c r="M105" s="41">
        <f t="shared" si="39"/>
        <v>0</v>
      </c>
      <c r="N105" s="41">
        <f t="shared" si="39"/>
        <v>0</v>
      </c>
      <c r="O105" s="41">
        <f t="shared" si="39"/>
        <v>0</v>
      </c>
      <c r="P105" s="41">
        <f t="shared" si="39"/>
        <v>0</v>
      </c>
      <c r="Q105" s="41">
        <f t="shared" si="39"/>
        <v>0</v>
      </c>
    </row>
    <row r="106" spans="1:17">
      <c r="A106" t="s">
        <v>29</v>
      </c>
      <c r="B106" s="41">
        <f t="shared" ref="B106:Q106" si="40">IFERROR(B39/B$41,"")</f>
        <v>0</v>
      </c>
      <c r="C106" s="41">
        <f t="shared" si="40"/>
        <v>0</v>
      </c>
      <c r="D106" s="41">
        <f t="shared" si="40"/>
        <v>0</v>
      </c>
      <c r="E106" s="41">
        <f t="shared" si="40"/>
        <v>0</v>
      </c>
      <c r="F106" s="41">
        <f t="shared" si="40"/>
        <v>0</v>
      </c>
      <c r="G106" s="41">
        <f t="shared" si="40"/>
        <v>0</v>
      </c>
      <c r="H106" s="41">
        <f t="shared" si="40"/>
        <v>0</v>
      </c>
      <c r="I106" s="41">
        <f t="shared" si="40"/>
        <v>0</v>
      </c>
      <c r="J106" s="41">
        <f t="shared" si="40"/>
        <v>6.0928293116412603E-2</v>
      </c>
      <c r="K106" s="41">
        <f t="shared" si="40"/>
        <v>9.7419324345082658E-2</v>
      </c>
      <c r="L106" s="41">
        <f t="shared" si="40"/>
        <v>0.13128612359828087</v>
      </c>
      <c r="M106" s="41">
        <f t="shared" si="40"/>
        <v>0.13917014717864856</v>
      </c>
      <c r="N106" s="41">
        <f t="shared" si="40"/>
        <v>0.15429405678161898</v>
      </c>
      <c r="O106" s="41">
        <f t="shared" si="40"/>
        <v>0.18366739179143635</v>
      </c>
      <c r="P106" s="41">
        <f t="shared" si="40"/>
        <v>0.20503589237766454</v>
      </c>
      <c r="Q106" s="41">
        <f t="shared" si="40"/>
        <v>0.23306638162125148</v>
      </c>
    </row>
    <row r="107" spans="1:17">
      <c r="A107" s="43" t="s">
        <v>30</v>
      </c>
      <c r="B107" s="44">
        <f t="shared" ref="B107:Q107" si="41">IFERROR(B40/B$41,"")</f>
        <v>0.44564595719777078</v>
      </c>
      <c r="C107" s="44">
        <f t="shared" si="41"/>
        <v>0.61340883897190879</v>
      </c>
      <c r="D107" s="44">
        <f t="shared" si="41"/>
        <v>0.67254521083242458</v>
      </c>
      <c r="E107" s="44">
        <f t="shared" si="41"/>
        <v>0.64596135265700483</v>
      </c>
      <c r="F107" s="44">
        <f t="shared" si="41"/>
        <v>0.70440262423492161</v>
      </c>
      <c r="G107" s="44">
        <f t="shared" si="41"/>
        <v>0.69230822193686981</v>
      </c>
      <c r="H107" s="44">
        <f t="shared" si="41"/>
        <v>0.66778473418177975</v>
      </c>
      <c r="I107" s="44">
        <f t="shared" si="41"/>
        <v>0.65723824266823694</v>
      </c>
      <c r="J107" s="44">
        <f t="shared" si="41"/>
        <v>0.64088044295577273</v>
      </c>
      <c r="K107" s="44">
        <f t="shared" si="41"/>
        <v>0.51902125748856776</v>
      </c>
      <c r="L107" s="44">
        <f t="shared" si="41"/>
        <v>0.5562879760905004</v>
      </c>
      <c r="M107" s="44">
        <f t="shared" si="41"/>
        <v>0.61585404071771666</v>
      </c>
      <c r="N107" s="44">
        <f t="shared" si="41"/>
        <v>0.61615001913509371</v>
      </c>
      <c r="O107" s="44">
        <f t="shared" si="41"/>
        <v>0.59281644322046156</v>
      </c>
      <c r="P107" s="44">
        <f t="shared" si="41"/>
        <v>0.58083456627760421</v>
      </c>
      <c r="Q107" s="44">
        <f t="shared" si="41"/>
        <v>0.58813999515645488</v>
      </c>
    </row>
    <row r="108" spans="1:17">
      <c r="A108" s="43" t="s">
        <v>31</v>
      </c>
      <c r="B108" s="44">
        <f t="shared" ref="B108:Q108" si="42">IFERROR(B41/B$41,"")</f>
        <v>1</v>
      </c>
      <c r="C108" s="44">
        <f t="shared" si="42"/>
        <v>1</v>
      </c>
      <c r="D108" s="44">
        <f t="shared" si="42"/>
        <v>1</v>
      </c>
      <c r="E108" s="44">
        <f t="shared" si="42"/>
        <v>1</v>
      </c>
      <c r="F108" s="44">
        <f t="shared" si="42"/>
        <v>1</v>
      </c>
      <c r="G108" s="44">
        <f t="shared" si="42"/>
        <v>1</v>
      </c>
      <c r="H108" s="44">
        <f t="shared" si="42"/>
        <v>1</v>
      </c>
      <c r="I108" s="44">
        <f t="shared" si="42"/>
        <v>1</v>
      </c>
      <c r="J108" s="44">
        <f t="shared" si="42"/>
        <v>1</v>
      </c>
      <c r="K108" s="44">
        <f t="shared" si="42"/>
        <v>1</v>
      </c>
      <c r="L108" s="44">
        <f t="shared" si="42"/>
        <v>1</v>
      </c>
      <c r="M108" s="44">
        <f t="shared" si="42"/>
        <v>1</v>
      </c>
      <c r="N108" s="44">
        <f t="shared" si="42"/>
        <v>1</v>
      </c>
      <c r="O108" s="44">
        <f t="shared" si="42"/>
        <v>1</v>
      </c>
      <c r="P108" s="44">
        <f t="shared" si="42"/>
        <v>1</v>
      </c>
      <c r="Q108" s="44">
        <f t="shared" si="42"/>
        <v>1</v>
      </c>
    </row>
    <row r="109" spans="1:17"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</row>
    <row r="110" spans="1:17">
      <c r="A110" t="s">
        <v>32</v>
      </c>
      <c r="B110" s="41">
        <f t="shared" ref="B110:Q110" si="43">IFERROR(B43/B$41,"")</f>
        <v>0</v>
      </c>
      <c r="C110" s="41">
        <f t="shared" si="43"/>
        <v>0</v>
      </c>
      <c r="D110" s="41">
        <f t="shared" si="43"/>
        <v>0</v>
      </c>
      <c r="E110" s="41">
        <f t="shared" si="43"/>
        <v>0</v>
      </c>
      <c r="F110" s="41">
        <f t="shared" si="43"/>
        <v>0</v>
      </c>
      <c r="G110" s="41">
        <f t="shared" si="43"/>
        <v>0</v>
      </c>
      <c r="H110" s="41">
        <f t="shared" si="43"/>
        <v>0</v>
      </c>
      <c r="I110" s="41">
        <f t="shared" si="43"/>
        <v>0</v>
      </c>
      <c r="J110" s="41">
        <f t="shared" si="43"/>
        <v>0</v>
      </c>
      <c r="K110" s="41">
        <f t="shared" si="43"/>
        <v>0</v>
      </c>
      <c r="L110" s="41">
        <f t="shared" si="43"/>
        <v>0</v>
      </c>
      <c r="M110" s="41">
        <f t="shared" si="43"/>
        <v>0</v>
      </c>
      <c r="N110" s="41">
        <f t="shared" si="43"/>
        <v>0</v>
      </c>
      <c r="O110" s="41">
        <f t="shared" si="43"/>
        <v>0</v>
      </c>
      <c r="P110" s="41">
        <f t="shared" si="43"/>
        <v>0</v>
      </c>
      <c r="Q110" s="41">
        <f t="shared" si="43"/>
        <v>0</v>
      </c>
    </row>
    <row r="111" spans="1:17">
      <c r="A111" t="s">
        <v>33</v>
      </c>
      <c r="B111" s="41">
        <f t="shared" ref="B111:Q111" si="44">IFERROR(B44/B$41,"")</f>
        <v>0.15981006344519372</v>
      </c>
      <c r="C111" s="41">
        <f t="shared" si="44"/>
        <v>0.12573579328183138</v>
      </c>
      <c r="D111" s="41">
        <f t="shared" si="44"/>
        <v>0.12026876590330789</v>
      </c>
      <c r="E111" s="41">
        <f t="shared" si="44"/>
        <v>0.10805314009661836</v>
      </c>
      <c r="F111" s="41">
        <f t="shared" si="44"/>
        <v>0.13024555834005494</v>
      </c>
      <c r="G111" s="41">
        <f t="shared" si="44"/>
        <v>0.12217750680772103</v>
      </c>
      <c r="H111" s="41">
        <f t="shared" si="44"/>
        <v>0.11593292838357902</v>
      </c>
      <c r="I111" s="41">
        <f t="shared" si="44"/>
        <v>0.1306861629706996</v>
      </c>
      <c r="J111" s="41">
        <f t="shared" si="44"/>
        <v>0.15281427301934514</v>
      </c>
      <c r="K111" s="41">
        <f t="shared" si="44"/>
        <v>0.1365843859669853</v>
      </c>
      <c r="L111" s="41">
        <f t="shared" si="44"/>
        <v>0.13058835152892359</v>
      </c>
      <c r="M111" s="41">
        <f t="shared" si="44"/>
        <v>0.1560190540224842</v>
      </c>
      <c r="N111" s="41">
        <f t="shared" si="44"/>
        <v>0.18175504245155988</v>
      </c>
      <c r="O111" s="41">
        <f t="shared" si="44"/>
        <v>0.17757804545312736</v>
      </c>
      <c r="P111" s="41">
        <f t="shared" si="44"/>
        <v>0.18894185982793577</v>
      </c>
      <c r="Q111" s="41">
        <f t="shared" si="44"/>
        <v>0.19446555376474289</v>
      </c>
    </row>
    <row r="112" spans="1:17">
      <c r="A112" t="s">
        <v>34</v>
      </c>
      <c r="B112" s="41">
        <f t="shared" ref="B112:Q112" si="45">IFERROR(B45/B$41,"")</f>
        <v>7.6120931593578342E-2</v>
      </c>
      <c r="C112" s="41">
        <f t="shared" si="45"/>
        <v>7.9461377834683905E-2</v>
      </c>
      <c r="D112" s="41">
        <f t="shared" si="45"/>
        <v>6.4828698655034531E-2</v>
      </c>
      <c r="E112" s="41">
        <f t="shared" si="45"/>
        <v>6.6937198067632847E-2</v>
      </c>
      <c r="F112" s="41">
        <f t="shared" si="45"/>
        <v>7.9594028614685189E-2</v>
      </c>
      <c r="G112" s="41">
        <f t="shared" si="45"/>
        <v>8.6687850068335404E-2</v>
      </c>
      <c r="H112" s="41">
        <f t="shared" si="45"/>
        <v>6.8473604695261842E-2</v>
      </c>
      <c r="I112" s="41">
        <f t="shared" si="45"/>
        <v>6.8592317468606709E-2</v>
      </c>
      <c r="J112" s="41">
        <f t="shared" si="45"/>
        <v>0</v>
      </c>
      <c r="K112" s="41">
        <f t="shared" si="45"/>
        <v>0</v>
      </c>
      <c r="L112" s="41">
        <f t="shared" si="45"/>
        <v>0</v>
      </c>
      <c r="M112" s="41">
        <f t="shared" si="45"/>
        <v>0</v>
      </c>
      <c r="N112" s="41">
        <f t="shared" si="45"/>
        <v>0</v>
      </c>
      <c r="O112" s="41">
        <f t="shared" si="45"/>
        <v>0</v>
      </c>
      <c r="P112" s="41">
        <f t="shared" si="45"/>
        <v>0</v>
      </c>
      <c r="Q112" s="41">
        <f t="shared" si="45"/>
        <v>0</v>
      </c>
    </row>
    <row r="113" spans="1:17">
      <c r="A113" t="s">
        <v>35</v>
      </c>
      <c r="B113" s="41">
        <f t="shared" ref="B113:Q113" si="46">IFERROR(B46/B$41,"")</f>
        <v>3.9689823497333174E-2</v>
      </c>
      <c r="C113" s="41">
        <f t="shared" si="46"/>
        <v>3.5154806609894215E-2</v>
      </c>
      <c r="D113" s="41">
        <f t="shared" si="46"/>
        <v>3.3811568520537988E-2</v>
      </c>
      <c r="E113" s="41">
        <f t="shared" si="46"/>
        <v>3.5917874396135266E-2</v>
      </c>
      <c r="F113" s="41">
        <f t="shared" si="46"/>
        <v>3.6624554108670243E-2</v>
      </c>
      <c r="G113" s="41">
        <f t="shared" si="46"/>
        <v>3.0776751503551032E-2</v>
      </c>
      <c r="H113" s="41">
        <f t="shared" si="46"/>
        <v>2.5117661321910185E-2</v>
      </c>
      <c r="I113" s="41">
        <f t="shared" si="46"/>
        <v>2.0110892334254327E-2</v>
      </c>
      <c r="J113" s="41">
        <f t="shared" si="46"/>
        <v>2.062478638321143E-2</v>
      </c>
      <c r="K113" s="41">
        <f t="shared" si="46"/>
        <v>1.6312375190537524E-2</v>
      </c>
      <c r="L113" s="41">
        <f t="shared" si="46"/>
        <v>2.05101763572593E-2</v>
      </c>
      <c r="M113" s="41">
        <f t="shared" si="46"/>
        <v>2.1686486116888223E-2</v>
      </c>
      <c r="N113" s="41">
        <f t="shared" si="46"/>
        <v>2.2429164717721932E-2</v>
      </c>
      <c r="O113" s="41">
        <f t="shared" si="46"/>
        <v>2.2862701831909082E-2</v>
      </c>
      <c r="P113" s="41">
        <f t="shared" si="46"/>
        <v>2.2601238424023236E-2</v>
      </c>
      <c r="Q113" s="41">
        <f t="shared" si="46"/>
        <v>2.5205920259658558E-2</v>
      </c>
    </row>
    <row r="114" spans="1:17">
      <c r="A114" t="s">
        <v>36</v>
      </c>
      <c r="B114" s="41">
        <f t="shared" ref="B114:Q114" si="47">IFERROR(B47/B$41,"")</f>
        <v>0</v>
      </c>
      <c r="C114" s="41">
        <f t="shared" si="47"/>
        <v>0</v>
      </c>
      <c r="D114" s="41">
        <f t="shared" si="47"/>
        <v>0</v>
      </c>
      <c r="E114" s="41">
        <f t="shared" si="47"/>
        <v>0</v>
      </c>
      <c r="F114" s="41">
        <f t="shared" si="47"/>
        <v>0</v>
      </c>
      <c r="G114" s="41">
        <f t="shared" si="47"/>
        <v>0</v>
      </c>
      <c r="H114" s="41">
        <f t="shared" si="47"/>
        <v>0</v>
      </c>
      <c r="I114" s="41">
        <f t="shared" si="47"/>
        <v>0</v>
      </c>
      <c r="J114" s="41">
        <f t="shared" si="47"/>
        <v>8.9375897190511991E-2</v>
      </c>
      <c r="K114" s="41">
        <f t="shared" si="47"/>
        <v>0.1114275248437297</v>
      </c>
      <c r="L114" s="41">
        <f t="shared" si="47"/>
        <v>0.13178629649755472</v>
      </c>
      <c r="M114" s="41">
        <f t="shared" si="47"/>
        <v>0.13530692132808361</v>
      </c>
      <c r="N114" s="41">
        <f t="shared" si="47"/>
        <v>0.17248515258465508</v>
      </c>
      <c r="O114" s="41">
        <f t="shared" si="47"/>
        <v>0.16685149312360495</v>
      </c>
      <c r="P114" s="41">
        <f t="shared" si="47"/>
        <v>0.21454326264452847</v>
      </c>
      <c r="Q114" s="41">
        <f t="shared" si="47"/>
        <v>0.18479794900916099</v>
      </c>
    </row>
    <row r="115" spans="1:17">
      <c r="A115" t="s">
        <v>37</v>
      </c>
      <c r="B115" s="41">
        <f t="shared" ref="B115:Q115" si="48">IFERROR(B48/B$41,"")</f>
        <v>0</v>
      </c>
      <c r="C115" s="41">
        <f t="shared" si="48"/>
        <v>0</v>
      </c>
      <c r="D115" s="41">
        <f t="shared" si="48"/>
        <v>0</v>
      </c>
      <c r="E115" s="41">
        <f t="shared" si="48"/>
        <v>0</v>
      </c>
      <c r="F115" s="41">
        <f t="shared" si="48"/>
        <v>2.7208536958837813E-2</v>
      </c>
      <c r="G115" s="41">
        <f t="shared" si="48"/>
        <v>2.9258569466295327E-2</v>
      </c>
      <c r="H115" s="41">
        <f t="shared" si="48"/>
        <v>2.5195376858178471E-2</v>
      </c>
      <c r="I115" s="41">
        <f t="shared" si="48"/>
        <v>3.1911520599809763E-2</v>
      </c>
      <c r="J115" s="41">
        <f t="shared" si="48"/>
        <v>3.2713104108278081E-2</v>
      </c>
      <c r="K115" s="41">
        <f t="shared" si="48"/>
        <v>1.7665339304493731E-2</v>
      </c>
      <c r="L115" s="41">
        <f t="shared" si="48"/>
        <v>1.5425085214642099E-2</v>
      </c>
      <c r="M115" s="41">
        <f t="shared" si="48"/>
        <v>1.7093919692765282E-2</v>
      </c>
      <c r="N115" s="41">
        <f t="shared" si="48"/>
        <v>2.8297260138056158E-2</v>
      </c>
      <c r="O115" s="41">
        <f t="shared" si="48"/>
        <v>1.6974726518294982E-2</v>
      </c>
      <c r="P115" s="41">
        <f t="shared" si="48"/>
        <v>2.7308345662776044E-2</v>
      </c>
      <c r="Q115" s="41">
        <f t="shared" si="48"/>
        <v>2.2210716482806807E-2</v>
      </c>
    </row>
    <row r="116" spans="1:17">
      <c r="A116" t="s">
        <v>38</v>
      </c>
      <c r="B116" s="41">
        <f t="shared" ref="B116:Q116" si="49">IFERROR(B49/B$41,"")</f>
        <v>0</v>
      </c>
      <c r="C116" s="41">
        <f t="shared" si="49"/>
        <v>0</v>
      </c>
      <c r="D116" s="41">
        <f t="shared" si="49"/>
        <v>0</v>
      </c>
      <c r="E116" s="41">
        <f t="shared" si="49"/>
        <v>0</v>
      </c>
      <c r="F116" s="41">
        <f t="shared" si="49"/>
        <v>0</v>
      </c>
      <c r="G116" s="41">
        <f t="shared" si="49"/>
        <v>8.6064741341026381E-3</v>
      </c>
      <c r="H116" s="41">
        <f t="shared" si="49"/>
        <v>1.0880175077560105E-2</v>
      </c>
      <c r="I116" s="41">
        <f t="shared" si="49"/>
        <v>1.7307943376168006E-2</v>
      </c>
      <c r="J116" s="41">
        <f t="shared" si="49"/>
        <v>2.4018046346298449E-2</v>
      </c>
      <c r="K116" s="41">
        <f t="shared" si="49"/>
        <v>3.0308759408713325E-2</v>
      </c>
      <c r="L116" s="41">
        <f t="shared" si="49"/>
        <v>2.7086523736600306E-2</v>
      </c>
      <c r="M116" s="41">
        <f t="shared" si="49"/>
        <v>2.7387308334425445E-2</v>
      </c>
      <c r="N116" s="41">
        <f t="shared" si="49"/>
        <v>3.1545973834531046E-2</v>
      </c>
      <c r="O116" s="41">
        <f t="shared" si="49"/>
        <v>2.7857270486665552E-2</v>
      </c>
      <c r="P116" s="41">
        <f t="shared" si="49"/>
        <v>2.9897528631705847E-2</v>
      </c>
      <c r="Q116" s="41">
        <f t="shared" si="49"/>
        <v>3.4378035914608855E-2</v>
      </c>
    </row>
    <row r="117" spans="1:17">
      <c r="A117" s="43" t="s">
        <v>39</v>
      </c>
      <c r="B117" s="44">
        <f t="shared" ref="B117:Q117" si="50">IFERROR(B50/B$41,"")</f>
        <v>0.27562081853610526</v>
      </c>
      <c r="C117" s="44">
        <f t="shared" si="50"/>
        <v>0.24035197772640951</v>
      </c>
      <c r="D117" s="44">
        <f t="shared" si="50"/>
        <v>0.21890903307888041</v>
      </c>
      <c r="E117" s="44">
        <f t="shared" si="50"/>
        <v>0.21090821256038647</v>
      </c>
      <c r="F117" s="44">
        <f t="shared" si="50"/>
        <v>0.27367267802224821</v>
      </c>
      <c r="G117" s="44">
        <f t="shared" si="50"/>
        <v>0.27750715198000542</v>
      </c>
      <c r="H117" s="44">
        <f t="shared" si="50"/>
        <v>0.24559974633648962</v>
      </c>
      <c r="I117" s="44">
        <f t="shared" si="50"/>
        <v>0.26860883674953839</v>
      </c>
      <c r="J117" s="44">
        <f t="shared" si="50"/>
        <v>0.31954610704764508</v>
      </c>
      <c r="K117" s="44">
        <f t="shared" si="50"/>
        <v>0.31229838471445959</v>
      </c>
      <c r="L117" s="44">
        <f t="shared" si="50"/>
        <v>0.32539643333497997</v>
      </c>
      <c r="M117" s="44">
        <f t="shared" si="50"/>
        <v>0.35749368949464677</v>
      </c>
      <c r="N117" s="44">
        <f t="shared" si="50"/>
        <v>0.43651259372652407</v>
      </c>
      <c r="O117" s="44">
        <f t="shared" si="50"/>
        <v>0.41212423741360188</v>
      </c>
      <c r="P117" s="44">
        <f t="shared" si="50"/>
        <v>0.48329223519096937</v>
      </c>
      <c r="Q117" s="44">
        <f t="shared" si="50"/>
        <v>0.4610581754309781</v>
      </c>
    </row>
    <row r="118" spans="1:17"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</row>
    <row r="119" spans="1:17">
      <c r="A119" t="s">
        <v>40</v>
      </c>
      <c r="B119" s="41">
        <f t="shared" ref="B119:Q119" si="51">IFERROR(B52/B$41,"")</f>
        <v>0</v>
      </c>
      <c r="C119" s="41">
        <f t="shared" si="51"/>
        <v>0</v>
      </c>
      <c r="D119" s="41">
        <f t="shared" si="51"/>
        <v>0</v>
      </c>
      <c r="E119" s="41">
        <f t="shared" si="51"/>
        <v>8.1932367149758448E-2</v>
      </c>
      <c r="F119" s="41">
        <f t="shared" si="51"/>
        <v>0.12503073253421557</v>
      </c>
      <c r="G119" s="41">
        <f t="shared" si="51"/>
        <v>0.18405117065261173</v>
      </c>
      <c r="H119" s="41">
        <f t="shared" si="51"/>
        <v>0.23447399016432172</v>
      </c>
      <c r="I119" s="41">
        <f t="shared" si="51"/>
        <v>0.25899834540750666</v>
      </c>
      <c r="J119" s="41">
        <f t="shared" si="51"/>
        <v>0.25629913186137127</v>
      </c>
      <c r="K119" s="41">
        <f t="shared" si="51"/>
        <v>0.27120431530562811</v>
      </c>
      <c r="L119" s="41">
        <f t="shared" si="51"/>
        <v>0.30463308304105124</v>
      </c>
      <c r="M119" s="41">
        <f t="shared" si="51"/>
        <v>0.31084153366647482</v>
      </c>
      <c r="N119" s="41">
        <f t="shared" si="51"/>
        <v>0.28053181386514719</v>
      </c>
      <c r="O119" s="41">
        <f t="shared" si="51"/>
        <v>0.27023707892893306</v>
      </c>
      <c r="P119" s="41">
        <f t="shared" si="51"/>
        <v>0.23494438051400077</v>
      </c>
      <c r="Q119" s="41">
        <f t="shared" si="51"/>
        <v>0.21803747345097024</v>
      </c>
    </row>
    <row r="120" spans="1:17">
      <c r="A120" t="s">
        <v>41</v>
      </c>
      <c r="B120" s="41">
        <f t="shared" ref="B120:Q120" si="52">IFERROR(B53/B$41,"")</f>
        <v>1.5149701395262227E-2</v>
      </c>
      <c r="C120" s="41">
        <f t="shared" si="52"/>
        <v>1.4488145672031692E-2</v>
      </c>
      <c r="D120" s="41">
        <f t="shared" si="52"/>
        <v>1.5039985459832789E-2</v>
      </c>
      <c r="E120" s="41">
        <f t="shared" si="52"/>
        <v>1.2681159420289856E-2</v>
      </c>
      <c r="F120" s="41">
        <f t="shared" si="52"/>
        <v>1.3073727888750383E-2</v>
      </c>
      <c r="G120" s="41">
        <f t="shared" si="52"/>
        <v>1.2475944904795182E-2</v>
      </c>
      <c r="H120" s="41">
        <f t="shared" si="52"/>
        <v>9.1082608506431739E-3</v>
      </c>
      <c r="I120" s="41">
        <f t="shared" si="52"/>
        <v>7.5562388261718695E-3</v>
      </c>
      <c r="J120" s="41">
        <f t="shared" si="52"/>
        <v>7.6478228176908884E-3</v>
      </c>
      <c r="K120" s="41">
        <f t="shared" si="52"/>
        <v>0</v>
      </c>
      <c r="L120" s="41">
        <f t="shared" si="52"/>
        <v>0</v>
      </c>
      <c r="M120" s="41">
        <f t="shared" si="52"/>
        <v>0</v>
      </c>
      <c r="N120" s="41">
        <f t="shared" si="52"/>
        <v>0</v>
      </c>
      <c r="O120" s="41">
        <f t="shared" si="52"/>
        <v>0</v>
      </c>
      <c r="P120" s="41">
        <f t="shared" si="52"/>
        <v>0</v>
      </c>
      <c r="Q120" s="41">
        <f t="shared" si="52"/>
        <v>0</v>
      </c>
    </row>
    <row r="121" spans="1:17">
      <c r="A121" t="s">
        <v>42</v>
      </c>
      <c r="B121" s="41">
        <f t="shared" ref="B121:Q121" si="53">IFERROR(B54/B$41,"")</f>
        <v>7.3567162789460377E-2</v>
      </c>
      <c r="C121" s="41">
        <f t="shared" si="53"/>
        <v>8.6791382732811437E-2</v>
      </c>
      <c r="D121" s="41">
        <f t="shared" si="53"/>
        <v>9.4647400945110871E-2</v>
      </c>
      <c r="E121" s="41">
        <f t="shared" si="53"/>
        <v>9.7623188405797104E-2</v>
      </c>
      <c r="F121" s="41">
        <f t="shared" si="53"/>
        <v>0.10708293255233158</v>
      </c>
      <c r="G121" s="41">
        <f t="shared" si="53"/>
        <v>0.11507544435225954</v>
      </c>
      <c r="H121" s="41">
        <f t="shared" si="53"/>
        <v>0.11214041021368663</v>
      </c>
      <c r="I121" s="41">
        <f t="shared" si="53"/>
        <v>0.10768173207324969</v>
      </c>
      <c r="J121" s="41">
        <f t="shared" si="53"/>
        <v>0.12353544329755964</v>
      </c>
      <c r="K121" s="41">
        <f t="shared" si="53"/>
        <v>0.14918940315967341</v>
      </c>
      <c r="L121" s="41">
        <f t="shared" si="53"/>
        <v>0.16823716840389272</v>
      </c>
      <c r="M121" s="41">
        <f t="shared" si="53"/>
        <v>0.15192221126945146</v>
      </c>
      <c r="N121" s="41">
        <f t="shared" si="53"/>
        <v>0.13930915224447563</v>
      </c>
      <c r="O121" s="41">
        <f t="shared" si="53"/>
        <v>0.14137947660550848</v>
      </c>
      <c r="P121" s="41">
        <f t="shared" si="53"/>
        <v>0.12572743711984219</v>
      </c>
      <c r="Q121" s="41">
        <f t="shared" si="53"/>
        <v>0.11565773394462213</v>
      </c>
    </row>
    <row r="122" spans="1:17">
      <c r="A122" s="43" t="s">
        <v>43</v>
      </c>
      <c r="B122" s="44">
        <f t="shared" ref="B122:Q122" si="54">IFERROR(B55/B$41,"")</f>
        <v>8.8716864184722605E-2</v>
      </c>
      <c r="C122" s="44">
        <f t="shared" si="54"/>
        <v>0.10127952840484312</v>
      </c>
      <c r="D122" s="44">
        <f t="shared" si="54"/>
        <v>0.10968738640494366</v>
      </c>
      <c r="E122" s="44">
        <f t="shared" si="54"/>
        <v>0.19223671497584541</v>
      </c>
      <c r="F122" s="44">
        <f t="shared" si="54"/>
        <v>0.24518739297529751</v>
      </c>
      <c r="G122" s="44">
        <f t="shared" si="54"/>
        <v>0.31160255990966645</v>
      </c>
      <c r="H122" s="44">
        <f t="shared" si="54"/>
        <v>0.35572266122865154</v>
      </c>
      <c r="I122" s="44">
        <f t="shared" si="54"/>
        <v>0.37423631630692822</v>
      </c>
      <c r="J122" s="44">
        <f t="shared" si="54"/>
        <v>0.38748239797662176</v>
      </c>
      <c r="K122" s="44">
        <f t="shared" si="54"/>
        <v>0.42039371846530149</v>
      </c>
      <c r="L122" s="44">
        <f t="shared" si="54"/>
        <v>0.47287025144494393</v>
      </c>
      <c r="M122" s="44">
        <f t="shared" si="54"/>
        <v>0.46276374493592631</v>
      </c>
      <c r="N122" s="44">
        <f t="shared" si="54"/>
        <v>0.41984096610962285</v>
      </c>
      <c r="O122" s="44">
        <f t="shared" si="54"/>
        <v>0.41161655553444154</v>
      </c>
      <c r="P122" s="44">
        <f t="shared" si="54"/>
        <v>0.36067181763384293</v>
      </c>
      <c r="Q122" s="44">
        <f t="shared" si="54"/>
        <v>0.33369520739559239</v>
      </c>
    </row>
    <row r="123" spans="1:17">
      <c r="A123" s="43" t="s">
        <v>44</v>
      </c>
      <c r="B123" s="44">
        <f t="shared" ref="B123:Q123" si="55">IFERROR(B56/B$41,"")</f>
        <v>0.36433768272082784</v>
      </c>
      <c r="C123" s="44">
        <f t="shared" si="55"/>
        <v>0.34163150613125265</v>
      </c>
      <c r="D123" s="44">
        <f t="shared" si="55"/>
        <v>0.32859641948382406</v>
      </c>
      <c r="E123" s="44">
        <f t="shared" si="55"/>
        <v>0.40314492753623188</v>
      </c>
      <c r="F123" s="44">
        <f t="shared" si="55"/>
        <v>0.51886007099754572</v>
      </c>
      <c r="G123" s="44">
        <f t="shared" si="55"/>
        <v>0.58910971188967187</v>
      </c>
      <c r="H123" s="44">
        <f t="shared" si="55"/>
        <v>0.60132240756514121</v>
      </c>
      <c r="I123" s="44">
        <f t="shared" si="55"/>
        <v>0.64284515305646661</v>
      </c>
      <c r="J123" s="44">
        <f t="shared" si="55"/>
        <v>0.70702850502426684</v>
      </c>
      <c r="K123" s="44">
        <f t="shared" si="55"/>
        <v>0.73269210317976108</v>
      </c>
      <c r="L123" s="44">
        <f t="shared" si="55"/>
        <v>0.79826668477992391</v>
      </c>
      <c r="M123" s="44">
        <f t="shared" si="55"/>
        <v>0.82025743443057308</v>
      </c>
      <c r="N123" s="44">
        <f t="shared" si="55"/>
        <v>0.85635355983614692</v>
      </c>
      <c r="O123" s="44">
        <f t="shared" si="55"/>
        <v>0.82374079294804348</v>
      </c>
      <c r="P123" s="44">
        <f t="shared" si="55"/>
        <v>0.84396405282481235</v>
      </c>
      <c r="Q123" s="44">
        <f t="shared" si="55"/>
        <v>0.79475338282657049</v>
      </c>
    </row>
    <row r="124" spans="1:17"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</row>
    <row r="125" spans="1:17">
      <c r="A125" t="s">
        <v>45</v>
      </c>
      <c r="B125" s="41">
        <f t="shared" ref="B125:Q125" si="56">IFERROR(B58/B$41,"")</f>
        <v>0.14189377917880372</v>
      </c>
      <c r="C125" s="41">
        <f t="shared" si="56"/>
        <v>0.11455603200109993</v>
      </c>
      <c r="D125" s="41">
        <f t="shared" si="56"/>
        <v>9.3272900763358785E-2</v>
      </c>
      <c r="E125" s="41">
        <f t="shared" si="56"/>
        <v>9.5478260869565221E-2</v>
      </c>
      <c r="F125" s="41">
        <f t="shared" si="56"/>
        <v>0.10055685195329518</v>
      </c>
      <c r="G125" s="41">
        <f t="shared" si="56"/>
        <v>9.438203794422316E-2</v>
      </c>
      <c r="H125" s="41">
        <f t="shared" si="56"/>
        <v>9.714752895680881E-2</v>
      </c>
      <c r="I125" s="41">
        <f t="shared" si="56"/>
        <v>9.5564040189811864E-2</v>
      </c>
      <c r="J125" s="41">
        <f t="shared" si="56"/>
        <v>0.109921389021806</v>
      </c>
      <c r="K125" s="41">
        <f t="shared" si="56"/>
        <v>0.13344716350187288</v>
      </c>
      <c r="L125" s="41">
        <f t="shared" si="56"/>
        <v>0.15677950402608309</v>
      </c>
      <c r="M125" s="41">
        <f t="shared" si="56"/>
        <v>0.16343211719591341</v>
      </c>
      <c r="N125" s="41">
        <f t="shared" si="56"/>
        <v>0.18383580672137886</v>
      </c>
      <c r="O125" s="41">
        <f t="shared" si="56"/>
        <v>0.20934645175745853</v>
      </c>
      <c r="P125" s="41">
        <f t="shared" si="56"/>
        <v>0.22816592690010412</v>
      </c>
      <c r="Q125" s="41">
        <f t="shared" si="56"/>
        <v>0.26046024813426083</v>
      </c>
    </row>
    <row r="126" spans="1:17">
      <c r="A126" t="s">
        <v>46</v>
      </c>
      <c r="B126" s="41">
        <f t="shared" ref="B126:Q126" si="57">IFERROR(B59/B$41,"")</f>
        <v>0.49438037854302169</v>
      </c>
      <c r="C126" s="41">
        <f t="shared" si="57"/>
        <v>0.54000567151609935</v>
      </c>
      <c r="D126" s="41">
        <f t="shared" si="57"/>
        <v>0.57529648309705561</v>
      </c>
      <c r="E126" s="41">
        <f t="shared" si="57"/>
        <v>0.50365217391304351</v>
      </c>
      <c r="F126" s="41">
        <f t="shared" si="57"/>
        <v>0.37591604518653032</v>
      </c>
      <c r="G126" s="41">
        <f t="shared" si="57"/>
        <v>0.31769594359661113</v>
      </c>
      <c r="H126" s="41">
        <f t="shared" si="57"/>
        <v>0.2995591974782863</v>
      </c>
      <c r="I126" s="41">
        <f t="shared" si="57"/>
        <v>0.26199046677626231</v>
      </c>
      <c r="J126" s="41">
        <f t="shared" si="57"/>
        <v>0.19249436051678173</v>
      </c>
      <c r="K126" s="41">
        <f t="shared" si="57"/>
        <v>0.1355859102671661</v>
      </c>
      <c r="L126" s="41">
        <f t="shared" si="57"/>
        <v>4.6207330929210096E-2</v>
      </c>
      <c r="M126" s="41">
        <f t="shared" si="57"/>
        <v>1.5846063555193416E-2</v>
      </c>
      <c r="N126" s="41">
        <f t="shared" si="57"/>
        <v>0</v>
      </c>
      <c r="O126" s="41">
        <f t="shared" si="57"/>
        <v>0</v>
      </c>
      <c r="P126" s="41">
        <f t="shared" si="57"/>
        <v>0</v>
      </c>
      <c r="Q126" s="41">
        <f t="shared" si="57"/>
        <v>0</v>
      </c>
    </row>
    <row r="127" spans="1:17">
      <c r="A127" t="s">
        <v>47</v>
      </c>
      <c r="B127" s="41">
        <f t="shared" ref="B127:Q127" si="58">IFERROR(B60/B$41,"")</f>
        <v>0</v>
      </c>
      <c r="C127" s="41">
        <f t="shared" si="58"/>
        <v>0</v>
      </c>
      <c r="D127" s="41">
        <f t="shared" si="58"/>
        <v>0</v>
      </c>
      <c r="E127" s="41">
        <f t="shared" si="58"/>
        <v>0</v>
      </c>
      <c r="F127" s="41">
        <f t="shared" si="58"/>
        <v>0</v>
      </c>
      <c r="G127" s="41">
        <f t="shared" si="58"/>
        <v>0</v>
      </c>
      <c r="H127" s="41">
        <f t="shared" si="58"/>
        <v>0</v>
      </c>
      <c r="I127" s="41">
        <f t="shared" si="58"/>
        <v>0</v>
      </c>
      <c r="J127" s="41">
        <f t="shared" si="58"/>
        <v>0</v>
      </c>
      <c r="K127" s="41">
        <f t="shared" si="58"/>
        <v>0</v>
      </c>
      <c r="L127" s="41">
        <f t="shared" si="58"/>
        <v>0</v>
      </c>
      <c r="M127" s="41">
        <f t="shared" si="58"/>
        <v>0</v>
      </c>
      <c r="N127" s="41">
        <f t="shared" si="58"/>
        <v>-8.6972544683987466E-3</v>
      </c>
      <c r="O127" s="41">
        <f t="shared" si="58"/>
        <v>-6.0694928570010471E-4</v>
      </c>
      <c r="P127" s="41">
        <f t="shared" si="58"/>
        <v>-5.24795879226259E-2</v>
      </c>
      <c r="Q127" s="41">
        <f t="shared" si="58"/>
        <v>-3.9705935569715037E-2</v>
      </c>
    </row>
    <row r="128" spans="1:17">
      <c r="A128" t="s">
        <v>48</v>
      </c>
      <c r="B128" s="41">
        <f t="shared" ref="B128:Q128" si="59">IFERROR(B61/B$41,"")</f>
        <v>-6.1184044265325942E-4</v>
      </c>
      <c r="C128" s="41">
        <f t="shared" si="59"/>
        <v>3.8067903515480663E-3</v>
      </c>
      <c r="D128" s="41">
        <f t="shared" si="59"/>
        <v>2.8341966557615412E-3</v>
      </c>
      <c r="E128" s="41">
        <f t="shared" si="59"/>
        <v>-2.2753623188405798E-3</v>
      </c>
      <c r="F128" s="41">
        <f t="shared" si="59"/>
        <v>4.6670318626288072E-3</v>
      </c>
      <c r="G128" s="41">
        <f t="shared" si="59"/>
        <v>-1.187693430506164E-3</v>
      </c>
      <c r="H128" s="41">
        <f t="shared" si="59"/>
        <v>1.9708659997637449E-3</v>
      </c>
      <c r="I128" s="41">
        <f t="shared" si="59"/>
        <v>-3.9966002254082525E-4</v>
      </c>
      <c r="J128" s="41">
        <f t="shared" si="59"/>
        <v>-9.4442545628546041E-3</v>
      </c>
      <c r="K128" s="41">
        <f t="shared" si="59"/>
        <v>-1.7251769488000567E-3</v>
      </c>
      <c r="L128" s="41">
        <f t="shared" si="59"/>
        <v>-1.253519735217112E-3</v>
      </c>
      <c r="M128" s="41">
        <f t="shared" si="59"/>
        <v>4.6438481832012355E-4</v>
      </c>
      <c r="N128" s="41">
        <f t="shared" si="59"/>
        <v>-3.1492112089127014E-2</v>
      </c>
      <c r="O128" s="41">
        <f t="shared" si="59"/>
        <v>-3.2480295419801859E-2</v>
      </c>
      <c r="P128" s="41">
        <f t="shared" si="59"/>
        <v>-1.9650391802290536E-2</v>
      </c>
      <c r="Q128" s="41">
        <f t="shared" si="59"/>
        <v>-1.550769539111627E-2</v>
      </c>
    </row>
    <row r="129" spans="1:17">
      <c r="A129" s="43" t="s">
        <v>49</v>
      </c>
      <c r="B129" s="44">
        <f t="shared" ref="B129:Q129" si="60">IFERROR(B62/B$41,"")</f>
        <v>0.63566231727917211</v>
      </c>
      <c r="C129" s="44">
        <f t="shared" si="60"/>
        <v>0.65836849386874741</v>
      </c>
      <c r="D129" s="44">
        <f t="shared" si="60"/>
        <v>0.67140358051617599</v>
      </c>
      <c r="E129" s="44">
        <f t="shared" si="60"/>
        <v>0.59685507246376812</v>
      </c>
      <c r="F129" s="44">
        <f t="shared" si="60"/>
        <v>0.48113992900245428</v>
      </c>
      <c r="G129" s="44">
        <f t="shared" si="60"/>
        <v>0.41089028811032813</v>
      </c>
      <c r="H129" s="44">
        <f t="shared" si="60"/>
        <v>0.39867759243485884</v>
      </c>
      <c r="I129" s="44">
        <f t="shared" si="60"/>
        <v>0.35715484694353339</v>
      </c>
      <c r="J129" s="44">
        <f t="shared" si="60"/>
        <v>0.29297149497573316</v>
      </c>
      <c r="K129" s="44">
        <f t="shared" si="60"/>
        <v>0.26730789682023892</v>
      </c>
      <c r="L129" s="44">
        <f t="shared" si="60"/>
        <v>0.20173331522007606</v>
      </c>
      <c r="M129" s="44">
        <f t="shared" si="60"/>
        <v>0.17974256556942694</v>
      </c>
      <c r="N129" s="44">
        <f t="shared" si="60"/>
        <v>0.14364644016385311</v>
      </c>
      <c r="O129" s="44">
        <f t="shared" si="60"/>
        <v>0.17625920705195655</v>
      </c>
      <c r="P129" s="44">
        <f t="shared" si="60"/>
        <v>0.15603594717518768</v>
      </c>
      <c r="Q129" s="44">
        <f t="shared" si="60"/>
        <v>0.20524661717342954</v>
      </c>
    </row>
    <row r="130" spans="1:17">
      <c r="A130" s="43" t="s">
        <v>50</v>
      </c>
      <c r="B130" s="44">
        <f t="shared" ref="B130:Q130" si="61">IFERROR(B63/B$41,"")</f>
        <v>1</v>
      </c>
      <c r="C130" s="44">
        <f t="shared" si="61"/>
        <v>1</v>
      </c>
      <c r="D130" s="44">
        <f t="shared" si="61"/>
        <v>1</v>
      </c>
      <c r="E130" s="44">
        <f t="shared" si="61"/>
        <v>1</v>
      </c>
      <c r="F130" s="44">
        <f t="shared" si="61"/>
        <v>1</v>
      </c>
      <c r="G130" s="44">
        <f t="shared" si="61"/>
        <v>1</v>
      </c>
      <c r="H130" s="44">
        <f t="shared" si="61"/>
        <v>1</v>
      </c>
      <c r="I130" s="44">
        <f t="shared" si="61"/>
        <v>1</v>
      </c>
      <c r="J130" s="44">
        <f t="shared" si="61"/>
        <v>1</v>
      </c>
      <c r="K130" s="44">
        <f t="shared" si="61"/>
        <v>1</v>
      </c>
      <c r="L130" s="44">
        <f t="shared" si="61"/>
        <v>1</v>
      </c>
      <c r="M130" s="44">
        <f t="shared" si="61"/>
        <v>1</v>
      </c>
      <c r="N130" s="44">
        <f t="shared" si="61"/>
        <v>1</v>
      </c>
      <c r="O130" s="44">
        <f t="shared" si="61"/>
        <v>1</v>
      </c>
      <c r="P130" s="44">
        <f t="shared" si="61"/>
        <v>1</v>
      </c>
      <c r="Q130" s="44">
        <f t="shared" si="61"/>
        <v>1</v>
      </c>
    </row>
    <row r="131" spans="1:17"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</row>
    <row r="132" spans="1:17">
      <c r="A132" t="s">
        <v>54</v>
      </c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</row>
    <row r="133" spans="1:17">
      <c r="A133" t="s">
        <v>59</v>
      </c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</row>
  </sheetData>
  <mergeCells count="1">
    <mergeCell ref="A4:Q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Q133"/>
  <sheetViews>
    <sheetView workbookViewId="0"/>
  </sheetViews>
  <sheetFormatPr defaultRowHeight="14.4"/>
  <cols>
    <col min="1" max="1" width="42" customWidth="1"/>
    <col min="2" max="17" width="14" customWidth="1"/>
  </cols>
  <sheetData>
    <row r="2" spans="1:17">
      <c r="A2" s="1" t="s">
        <v>0</v>
      </c>
      <c r="B2" s="2">
        <v>2010</v>
      </c>
      <c r="C2" s="2">
        <v>2011</v>
      </c>
      <c r="D2" s="2">
        <v>2012</v>
      </c>
      <c r="E2" s="2">
        <v>2013</v>
      </c>
      <c r="F2" s="3">
        <v>2014</v>
      </c>
      <c r="G2" s="3">
        <v>2015</v>
      </c>
      <c r="H2" s="3">
        <v>2016</v>
      </c>
      <c r="I2" s="3">
        <v>2017</v>
      </c>
      <c r="J2" s="3">
        <v>2018</v>
      </c>
      <c r="K2" s="3">
        <v>2019</v>
      </c>
      <c r="L2" s="3">
        <v>2020</v>
      </c>
      <c r="M2" s="3">
        <v>2021</v>
      </c>
      <c r="N2" s="3">
        <v>2022</v>
      </c>
      <c r="O2" s="3">
        <v>2023</v>
      </c>
      <c r="P2" s="3">
        <v>2024</v>
      </c>
      <c r="Q2" s="3">
        <v>2025</v>
      </c>
    </row>
    <row r="3" spans="1:17">
      <c r="A3" s="4"/>
      <c r="B3" s="5"/>
      <c r="C3" s="5"/>
      <c r="D3" s="5"/>
      <c r="E3" s="5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spans="1:17">
      <c r="A4" s="45" t="s">
        <v>1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</row>
    <row r="5" spans="1:17">
      <c r="A5" s="11" t="s">
        <v>2</v>
      </c>
      <c r="B5" s="12">
        <v>65225</v>
      </c>
      <c r="C5" s="12">
        <v>108249</v>
      </c>
      <c r="D5" s="12">
        <v>156508</v>
      </c>
      <c r="E5" s="13">
        <v>170910</v>
      </c>
      <c r="F5" s="14">
        <v>182795</v>
      </c>
      <c r="G5" s="14">
        <v>233715</v>
      </c>
      <c r="H5" s="14">
        <v>215639</v>
      </c>
      <c r="I5" s="14">
        <v>229234</v>
      </c>
      <c r="J5" s="14">
        <v>265595</v>
      </c>
      <c r="K5" s="15">
        <v>260174</v>
      </c>
      <c r="L5" s="15">
        <v>274515</v>
      </c>
      <c r="M5" s="15">
        <v>365817</v>
      </c>
      <c r="N5" s="15">
        <v>394328</v>
      </c>
      <c r="O5" s="15">
        <v>383285</v>
      </c>
      <c r="P5" s="15">
        <v>391035</v>
      </c>
      <c r="Q5" s="15">
        <v>416161</v>
      </c>
    </row>
    <row r="6" spans="1:17">
      <c r="A6" s="38" t="s">
        <v>3</v>
      </c>
      <c r="B6" s="37">
        <v>39541</v>
      </c>
      <c r="C6" s="37">
        <v>64431</v>
      </c>
      <c r="D6" s="37">
        <v>87846</v>
      </c>
      <c r="E6" s="37">
        <v>106606</v>
      </c>
      <c r="F6" s="37">
        <v>112258</v>
      </c>
      <c r="G6" s="37">
        <v>140089</v>
      </c>
      <c r="H6" s="37">
        <v>131376</v>
      </c>
      <c r="I6" s="37">
        <v>141048</v>
      </c>
      <c r="J6" s="37">
        <v>163756</v>
      </c>
      <c r="K6" s="37">
        <v>161782</v>
      </c>
      <c r="L6" s="37">
        <v>169559</v>
      </c>
      <c r="M6" s="37">
        <v>212981</v>
      </c>
      <c r="N6" s="37">
        <v>223546</v>
      </c>
      <c r="O6" s="37">
        <v>214137</v>
      </c>
      <c r="P6" s="37">
        <v>210352</v>
      </c>
      <c r="Q6" s="37">
        <v>220960</v>
      </c>
    </row>
    <row r="7" spans="1:17">
      <c r="A7" s="16" t="s">
        <v>4</v>
      </c>
      <c r="B7" s="17">
        <f>B5-B6</f>
        <v>25684</v>
      </c>
      <c r="C7" s="17">
        <f t="shared" ref="C7:Q7" si="0">C5-C6</f>
        <v>43818</v>
      </c>
      <c r="D7" s="17">
        <f t="shared" si="0"/>
        <v>68662</v>
      </c>
      <c r="E7" s="17">
        <f t="shared" si="0"/>
        <v>64304</v>
      </c>
      <c r="F7" s="17">
        <f t="shared" si="0"/>
        <v>70537</v>
      </c>
      <c r="G7" s="17">
        <f t="shared" si="0"/>
        <v>93626</v>
      </c>
      <c r="H7" s="17">
        <f t="shared" si="0"/>
        <v>84263</v>
      </c>
      <c r="I7" s="17">
        <f t="shared" si="0"/>
        <v>88186</v>
      </c>
      <c r="J7" s="17">
        <f t="shared" si="0"/>
        <v>101839</v>
      </c>
      <c r="K7" s="17">
        <f t="shared" si="0"/>
        <v>98392</v>
      </c>
      <c r="L7" s="17">
        <f t="shared" si="0"/>
        <v>104956</v>
      </c>
      <c r="M7" s="17">
        <f t="shared" si="0"/>
        <v>152836</v>
      </c>
      <c r="N7" s="17">
        <f t="shared" si="0"/>
        <v>170782</v>
      </c>
      <c r="O7" s="17">
        <f t="shared" si="0"/>
        <v>169148</v>
      </c>
      <c r="P7" s="17">
        <f t="shared" si="0"/>
        <v>180683</v>
      </c>
      <c r="Q7" s="17">
        <f t="shared" si="0"/>
        <v>195201</v>
      </c>
    </row>
    <row r="8" spans="1:17">
      <c r="L8" s="19"/>
    </row>
    <row r="9" spans="1:17">
      <c r="A9" t="s">
        <v>5</v>
      </c>
      <c r="B9" s="8">
        <v>1782</v>
      </c>
      <c r="C9" s="8">
        <v>2429</v>
      </c>
      <c r="D9" s="8">
        <v>3381</v>
      </c>
      <c r="E9" s="8">
        <v>4475</v>
      </c>
      <c r="F9" s="8">
        <v>6041</v>
      </c>
      <c r="G9" s="8">
        <v>8067</v>
      </c>
      <c r="H9" s="8">
        <v>10045</v>
      </c>
      <c r="I9" s="8">
        <v>11581</v>
      </c>
      <c r="J9" s="8">
        <v>14236</v>
      </c>
      <c r="K9" s="8">
        <v>16217</v>
      </c>
      <c r="L9" s="8">
        <v>18752</v>
      </c>
      <c r="M9" s="8">
        <v>21914</v>
      </c>
      <c r="N9" s="8">
        <v>26251</v>
      </c>
      <c r="O9" s="8">
        <v>29915</v>
      </c>
      <c r="P9" s="8">
        <v>31370</v>
      </c>
      <c r="Q9" s="8">
        <v>34550</v>
      </c>
    </row>
    <row r="10" spans="1:17">
      <c r="A10" t="s">
        <v>6</v>
      </c>
      <c r="B10" s="8">
        <v>5517</v>
      </c>
      <c r="C10" s="8">
        <v>7599</v>
      </c>
      <c r="D10" s="8">
        <v>10040</v>
      </c>
      <c r="E10" s="8">
        <v>10830</v>
      </c>
      <c r="F10" s="8">
        <v>11993</v>
      </c>
      <c r="G10" s="8">
        <v>14329</v>
      </c>
      <c r="H10" s="8">
        <v>14194</v>
      </c>
      <c r="I10" s="8">
        <v>15261</v>
      </c>
      <c r="J10" s="8">
        <v>16705</v>
      </c>
      <c r="K10" s="8">
        <v>18245</v>
      </c>
      <c r="L10" s="8">
        <v>19916</v>
      </c>
      <c r="M10" s="8">
        <v>21973</v>
      </c>
      <c r="N10" s="8">
        <v>25094</v>
      </c>
      <c r="O10" s="8">
        <v>24932</v>
      </c>
      <c r="P10" s="8">
        <v>26097</v>
      </c>
      <c r="Q10" s="8">
        <v>27601</v>
      </c>
    </row>
    <row r="11" spans="1:17">
      <c r="A11" s="16" t="s">
        <v>7</v>
      </c>
      <c r="B11" s="17">
        <f t="shared" ref="B11:Q11" si="1">B9+B10</f>
        <v>7299</v>
      </c>
      <c r="C11" s="17">
        <f t="shared" si="1"/>
        <v>10028</v>
      </c>
      <c r="D11" s="17">
        <f t="shared" si="1"/>
        <v>13421</v>
      </c>
      <c r="E11" s="17">
        <f t="shared" si="1"/>
        <v>15305</v>
      </c>
      <c r="F11" s="17">
        <f t="shared" si="1"/>
        <v>18034</v>
      </c>
      <c r="G11" s="17">
        <f t="shared" si="1"/>
        <v>22396</v>
      </c>
      <c r="H11" s="17">
        <f t="shared" si="1"/>
        <v>24239</v>
      </c>
      <c r="I11" s="17">
        <f t="shared" si="1"/>
        <v>26842</v>
      </c>
      <c r="J11" s="17">
        <f t="shared" si="1"/>
        <v>30941</v>
      </c>
      <c r="K11" s="17">
        <f t="shared" si="1"/>
        <v>34462</v>
      </c>
      <c r="L11" s="17">
        <f t="shared" si="1"/>
        <v>38668</v>
      </c>
      <c r="M11" s="17">
        <f t="shared" si="1"/>
        <v>43887</v>
      </c>
      <c r="N11" s="17">
        <f t="shared" si="1"/>
        <v>51345</v>
      </c>
      <c r="O11" s="17">
        <f t="shared" si="1"/>
        <v>54847</v>
      </c>
      <c r="P11" s="17">
        <f t="shared" si="1"/>
        <v>57467</v>
      </c>
      <c r="Q11" s="17">
        <f t="shared" si="1"/>
        <v>62151</v>
      </c>
    </row>
    <row r="12" spans="1:17">
      <c r="A12" s="16" t="s">
        <v>8</v>
      </c>
      <c r="B12" s="17">
        <f t="shared" ref="B12:Q12" si="2">B7-B11</f>
        <v>18385</v>
      </c>
      <c r="C12" s="17">
        <f t="shared" si="2"/>
        <v>33790</v>
      </c>
      <c r="D12" s="17">
        <f t="shared" si="2"/>
        <v>55241</v>
      </c>
      <c r="E12" s="17">
        <f t="shared" si="2"/>
        <v>48999</v>
      </c>
      <c r="F12" s="18">
        <f t="shared" si="2"/>
        <v>52503</v>
      </c>
      <c r="G12" s="18">
        <f t="shared" si="2"/>
        <v>71230</v>
      </c>
      <c r="H12" s="18">
        <f t="shared" si="2"/>
        <v>60024</v>
      </c>
      <c r="I12" s="18">
        <f t="shared" si="2"/>
        <v>61344</v>
      </c>
      <c r="J12" s="18">
        <f t="shared" si="2"/>
        <v>70898</v>
      </c>
      <c r="K12" s="18">
        <f t="shared" si="2"/>
        <v>63930</v>
      </c>
      <c r="L12" s="18">
        <f t="shared" si="2"/>
        <v>66288</v>
      </c>
      <c r="M12" s="18">
        <f t="shared" si="2"/>
        <v>108949</v>
      </c>
      <c r="N12" s="18">
        <f t="shared" si="2"/>
        <v>119437</v>
      </c>
      <c r="O12" s="18">
        <f t="shared" si="2"/>
        <v>114301</v>
      </c>
      <c r="P12" s="18">
        <f t="shared" si="2"/>
        <v>123216</v>
      </c>
      <c r="Q12" s="18">
        <f t="shared" si="2"/>
        <v>133050</v>
      </c>
    </row>
    <row r="13" spans="1:17">
      <c r="A13" s="9" t="s">
        <v>9</v>
      </c>
      <c r="B13" s="10" t="str">
        <f>IFERROR(B12/#REF!-1,"")</f>
        <v/>
      </c>
      <c r="C13" s="10">
        <f t="shared" ref="C13:Q13" si="3">IFERROR(C12/B12-1,"")</f>
        <v>0.83791134076692964</v>
      </c>
      <c r="D13" s="10">
        <f t="shared" si="3"/>
        <v>0.63483279076649901</v>
      </c>
      <c r="E13" s="10">
        <f t="shared" si="3"/>
        <v>-0.11299578211835415</v>
      </c>
      <c r="F13" s="10">
        <f t="shared" si="3"/>
        <v>7.151166350333682E-2</v>
      </c>
      <c r="G13" s="10">
        <f t="shared" si="3"/>
        <v>0.35668437994019397</v>
      </c>
      <c r="H13" s="10">
        <f t="shared" si="3"/>
        <v>-0.15732135336234732</v>
      </c>
      <c r="I13" s="10">
        <f t="shared" si="3"/>
        <v>2.1991203518592517E-2</v>
      </c>
      <c r="J13" s="10">
        <f t="shared" si="3"/>
        <v>0.15574465310380803</v>
      </c>
      <c r="K13" s="10">
        <f t="shared" si="3"/>
        <v>-9.8282038985584963E-2</v>
      </c>
      <c r="L13" s="10">
        <f t="shared" si="3"/>
        <v>3.6884091975598388E-2</v>
      </c>
      <c r="M13" s="10">
        <f t="shared" si="3"/>
        <v>0.64357048032826447</v>
      </c>
      <c r="N13" s="10">
        <f t="shared" si="3"/>
        <v>9.6265225013538513E-2</v>
      </c>
      <c r="O13" s="10">
        <f t="shared" si="3"/>
        <v>-4.3001749876503959E-2</v>
      </c>
      <c r="P13" s="10">
        <f t="shared" si="3"/>
        <v>7.7995818059334532E-2</v>
      </c>
      <c r="Q13" s="10">
        <f t="shared" si="3"/>
        <v>7.9811063498246959E-2</v>
      </c>
    </row>
    <row r="15" spans="1:17">
      <c r="A15" t="s">
        <v>10</v>
      </c>
      <c r="B15" s="7">
        <v>155</v>
      </c>
      <c r="C15" s="7">
        <v>415</v>
      </c>
      <c r="D15" s="7">
        <v>522</v>
      </c>
      <c r="E15" s="7">
        <v>1156</v>
      </c>
      <c r="F15" s="7">
        <v>980</v>
      </c>
      <c r="G15" s="7">
        <v>1285</v>
      </c>
      <c r="H15" s="7">
        <v>1348</v>
      </c>
      <c r="I15" s="7">
        <v>2745</v>
      </c>
      <c r="J15" s="7">
        <v>2005</v>
      </c>
      <c r="K15" s="7">
        <v>1807</v>
      </c>
      <c r="L15" s="7">
        <v>803</v>
      </c>
      <c r="M15" s="20">
        <v>258</v>
      </c>
      <c r="N15" s="20">
        <v>-334</v>
      </c>
      <c r="O15" s="20">
        <v>-565</v>
      </c>
      <c r="P15" s="20">
        <v>269</v>
      </c>
      <c r="Q15" s="20">
        <v>-321</v>
      </c>
    </row>
    <row r="16" spans="1:17">
      <c r="A16" s="24" t="s">
        <v>11</v>
      </c>
      <c r="B16" s="25">
        <f>B15</f>
        <v>155</v>
      </c>
      <c r="C16" s="25">
        <f t="shared" ref="C16:Q16" si="4">C15</f>
        <v>415</v>
      </c>
      <c r="D16" s="25">
        <f t="shared" si="4"/>
        <v>522</v>
      </c>
      <c r="E16" s="25">
        <f t="shared" si="4"/>
        <v>1156</v>
      </c>
      <c r="F16" s="25">
        <f t="shared" si="4"/>
        <v>980</v>
      </c>
      <c r="G16" s="25">
        <f t="shared" si="4"/>
        <v>1285</v>
      </c>
      <c r="H16" s="25">
        <f t="shared" si="4"/>
        <v>1348</v>
      </c>
      <c r="I16" s="25">
        <f t="shared" si="4"/>
        <v>2745</v>
      </c>
      <c r="J16" s="25">
        <f t="shared" si="4"/>
        <v>2005</v>
      </c>
      <c r="K16" s="25">
        <f t="shared" si="4"/>
        <v>1807</v>
      </c>
      <c r="L16" s="25">
        <f t="shared" si="4"/>
        <v>803</v>
      </c>
      <c r="M16" s="25">
        <f t="shared" si="4"/>
        <v>258</v>
      </c>
      <c r="N16" s="25">
        <f t="shared" si="4"/>
        <v>-334</v>
      </c>
      <c r="O16" s="25">
        <f t="shared" si="4"/>
        <v>-565</v>
      </c>
      <c r="P16" s="25">
        <f t="shared" si="4"/>
        <v>269</v>
      </c>
      <c r="Q16" s="25">
        <f t="shared" si="4"/>
        <v>-321</v>
      </c>
    </row>
    <row r="17" spans="1:17">
      <c r="A17" s="22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</row>
    <row r="18" spans="1:17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</row>
    <row r="19" spans="1:17">
      <c r="A19" t="s">
        <v>12</v>
      </c>
      <c r="B19" s="7">
        <f t="shared" ref="B19:Q19" si="5">B12+B16</f>
        <v>18540</v>
      </c>
      <c r="C19" s="7">
        <f t="shared" si="5"/>
        <v>34205</v>
      </c>
      <c r="D19" s="7">
        <f t="shared" si="5"/>
        <v>55763</v>
      </c>
      <c r="E19" s="7">
        <f t="shared" si="5"/>
        <v>50155</v>
      </c>
      <c r="F19" s="7">
        <f t="shared" si="5"/>
        <v>53483</v>
      </c>
      <c r="G19" s="7">
        <f t="shared" si="5"/>
        <v>72515</v>
      </c>
      <c r="H19" s="7">
        <f t="shared" si="5"/>
        <v>61372</v>
      </c>
      <c r="I19" s="7">
        <f t="shared" si="5"/>
        <v>64089</v>
      </c>
      <c r="J19" s="7">
        <f t="shared" si="5"/>
        <v>72903</v>
      </c>
      <c r="K19" s="7">
        <f t="shared" si="5"/>
        <v>65737</v>
      </c>
      <c r="L19" s="7">
        <f t="shared" si="5"/>
        <v>67091</v>
      </c>
      <c r="M19" s="7">
        <f t="shared" si="5"/>
        <v>109207</v>
      </c>
      <c r="N19" s="7">
        <f t="shared" si="5"/>
        <v>119103</v>
      </c>
      <c r="O19" s="7">
        <f t="shared" si="5"/>
        <v>113736</v>
      </c>
      <c r="P19" s="7">
        <f t="shared" si="5"/>
        <v>123485</v>
      </c>
      <c r="Q19" s="7">
        <f t="shared" si="5"/>
        <v>132729</v>
      </c>
    </row>
    <row r="20" spans="1:17">
      <c r="A20" t="s">
        <v>13</v>
      </c>
      <c r="B20" s="7">
        <v>4527</v>
      </c>
      <c r="C20" s="7">
        <v>8283</v>
      </c>
      <c r="D20" s="7">
        <v>14030</v>
      </c>
      <c r="E20" s="7">
        <v>13118</v>
      </c>
      <c r="F20" s="7">
        <v>13973</v>
      </c>
      <c r="G20" s="7">
        <v>19121</v>
      </c>
      <c r="H20" s="7">
        <v>15685</v>
      </c>
      <c r="I20" s="7">
        <v>15738</v>
      </c>
      <c r="J20" s="7">
        <v>13372</v>
      </c>
      <c r="K20" s="7">
        <v>10481</v>
      </c>
      <c r="L20" s="7">
        <v>9680</v>
      </c>
      <c r="M20" s="7">
        <v>14527</v>
      </c>
      <c r="N20" s="7">
        <v>19300</v>
      </c>
      <c r="O20" s="7">
        <v>16741</v>
      </c>
      <c r="P20" s="7">
        <v>29749</v>
      </c>
      <c r="Q20" s="7">
        <v>20719</v>
      </c>
    </row>
    <row r="21" spans="1:17">
      <c r="A21" s="24" t="s">
        <v>14</v>
      </c>
      <c r="B21" s="17">
        <f t="shared" ref="B21:Q21" si="6">B19-B20</f>
        <v>14013</v>
      </c>
      <c r="C21" s="17">
        <f t="shared" si="6"/>
        <v>25922</v>
      </c>
      <c r="D21" s="17">
        <f t="shared" si="6"/>
        <v>41733</v>
      </c>
      <c r="E21" s="17">
        <f t="shared" si="6"/>
        <v>37037</v>
      </c>
      <c r="F21" s="17">
        <f t="shared" si="6"/>
        <v>39510</v>
      </c>
      <c r="G21" s="17">
        <f t="shared" si="6"/>
        <v>53394</v>
      </c>
      <c r="H21" s="17">
        <f t="shared" si="6"/>
        <v>45687</v>
      </c>
      <c r="I21" s="17">
        <f t="shared" si="6"/>
        <v>48351</v>
      </c>
      <c r="J21" s="17">
        <f t="shared" si="6"/>
        <v>59531</v>
      </c>
      <c r="K21" s="17">
        <f t="shared" si="6"/>
        <v>55256</v>
      </c>
      <c r="L21" s="17">
        <f t="shared" si="6"/>
        <v>57411</v>
      </c>
      <c r="M21" s="17">
        <f t="shared" si="6"/>
        <v>94680</v>
      </c>
      <c r="N21" s="17">
        <f t="shared" si="6"/>
        <v>99803</v>
      </c>
      <c r="O21" s="17">
        <f t="shared" si="6"/>
        <v>96995</v>
      </c>
      <c r="P21" s="17">
        <f t="shared" si="6"/>
        <v>93736</v>
      </c>
      <c r="Q21" s="17">
        <f t="shared" si="6"/>
        <v>112010</v>
      </c>
    </row>
    <row r="22" spans="1:17">
      <c r="B22" s="26"/>
      <c r="C22" s="26"/>
      <c r="D22" s="26"/>
      <c r="E22" s="26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</row>
    <row r="23" spans="1:17">
      <c r="A23" s="4"/>
      <c r="B23" s="7"/>
      <c r="C23" s="7"/>
      <c r="D23" s="7"/>
      <c r="E23" s="7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</row>
    <row r="24" spans="1:17">
      <c r="A24" s="28" t="s">
        <v>15</v>
      </c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</row>
    <row r="25" spans="1:17">
      <c r="A25" s="4" t="s">
        <v>16</v>
      </c>
      <c r="B25" s="7">
        <v>11261</v>
      </c>
      <c r="C25" s="7">
        <v>9815</v>
      </c>
      <c r="D25" s="7">
        <v>10746</v>
      </c>
      <c r="E25" s="7">
        <v>14259</v>
      </c>
      <c r="F25" s="8">
        <v>13844</v>
      </c>
      <c r="G25" s="8">
        <v>21120</v>
      </c>
      <c r="H25" s="8">
        <v>20484</v>
      </c>
      <c r="I25" s="8">
        <v>20289</v>
      </c>
      <c r="J25" s="8">
        <v>25913</v>
      </c>
      <c r="K25" s="8">
        <v>48844</v>
      </c>
      <c r="L25" s="8">
        <v>38016</v>
      </c>
      <c r="M25" s="8">
        <v>34940</v>
      </c>
      <c r="N25" s="8">
        <v>23646</v>
      </c>
      <c r="O25" s="8">
        <v>29965</v>
      </c>
      <c r="P25" s="8">
        <v>29943</v>
      </c>
      <c r="Q25" s="8">
        <v>35934</v>
      </c>
    </row>
    <row r="26" spans="1:17">
      <c r="A26" s="4" t="s">
        <v>17</v>
      </c>
      <c r="B26" s="7">
        <v>14359</v>
      </c>
      <c r="C26" s="7">
        <v>16137</v>
      </c>
      <c r="D26" s="7">
        <v>18383</v>
      </c>
      <c r="E26" s="7">
        <v>26287</v>
      </c>
      <c r="F26" s="7">
        <v>11233</v>
      </c>
      <c r="G26" s="7">
        <v>20481</v>
      </c>
      <c r="H26" s="7">
        <v>46671</v>
      </c>
      <c r="I26" s="7">
        <v>53892</v>
      </c>
      <c r="J26" s="8">
        <v>40388</v>
      </c>
      <c r="K26" s="8">
        <v>51713</v>
      </c>
      <c r="L26" s="8">
        <v>52927</v>
      </c>
      <c r="M26" s="8">
        <v>27699</v>
      </c>
      <c r="N26" s="8">
        <v>24658</v>
      </c>
      <c r="O26" s="8">
        <v>31590</v>
      </c>
      <c r="P26" s="8">
        <v>35228</v>
      </c>
      <c r="Q26" s="8">
        <v>18763</v>
      </c>
    </row>
    <row r="27" spans="1:17">
      <c r="A27" s="4" t="s">
        <v>18</v>
      </c>
      <c r="B27" s="7">
        <v>5510</v>
      </c>
      <c r="C27" s="7">
        <v>5369</v>
      </c>
      <c r="D27" s="7">
        <v>10930</v>
      </c>
      <c r="E27" s="7">
        <v>13102</v>
      </c>
      <c r="F27" s="7">
        <v>17460</v>
      </c>
      <c r="G27" s="7">
        <v>16849</v>
      </c>
      <c r="H27" s="7">
        <v>15754</v>
      </c>
      <c r="I27" s="7">
        <v>17874</v>
      </c>
      <c r="J27" s="8">
        <v>23186</v>
      </c>
      <c r="K27" s="8">
        <v>22926</v>
      </c>
      <c r="L27" s="8">
        <v>16120</v>
      </c>
      <c r="M27" s="8">
        <v>26278</v>
      </c>
      <c r="N27" s="8">
        <v>28184</v>
      </c>
      <c r="O27" s="8">
        <v>29508</v>
      </c>
      <c r="P27" s="8">
        <v>33410</v>
      </c>
      <c r="Q27" s="8">
        <v>39777</v>
      </c>
    </row>
    <row r="28" spans="1:17">
      <c r="A28" s="4" t="s">
        <v>19</v>
      </c>
      <c r="B28" s="7">
        <v>1051</v>
      </c>
      <c r="C28" s="7">
        <v>776</v>
      </c>
      <c r="D28" s="7">
        <v>791</v>
      </c>
      <c r="E28" s="7">
        <v>1764</v>
      </c>
      <c r="F28" s="8">
        <v>2111</v>
      </c>
      <c r="G28" s="8">
        <v>2349</v>
      </c>
      <c r="H28" s="8">
        <v>2132</v>
      </c>
      <c r="I28" s="8">
        <v>4855</v>
      </c>
      <c r="J28" s="8">
        <v>3956</v>
      </c>
      <c r="K28" s="8">
        <v>4106</v>
      </c>
      <c r="L28" s="8">
        <v>4061</v>
      </c>
      <c r="M28" s="8">
        <v>6580</v>
      </c>
      <c r="N28" s="8">
        <v>4946</v>
      </c>
      <c r="O28" s="8">
        <v>6331</v>
      </c>
      <c r="P28" s="8">
        <v>7286</v>
      </c>
      <c r="Q28" s="8">
        <v>5718</v>
      </c>
    </row>
    <row r="29" spans="1:17">
      <c r="A29" s="4" t="s">
        <v>20</v>
      </c>
      <c r="B29" s="7">
        <v>1636</v>
      </c>
      <c r="C29" s="7">
        <v>2014</v>
      </c>
      <c r="D29" s="7">
        <v>2583</v>
      </c>
      <c r="E29" s="7">
        <v>3453</v>
      </c>
      <c r="F29" s="8">
        <v>4318</v>
      </c>
      <c r="G29" s="8">
        <v>5546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</row>
    <row r="30" spans="1:17">
      <c r="A30" s="4" t="s">
        <v>21</v>
      </c>
      <c r="B30" s="7">
        <v>4414</v>
      </c>
      <c r="C30" s="7">
        <v>6348</v>
      </c>
      <c r="D30" s="7">
        <v>7762</v>
      </c>
      <c r="E30" s="7">
        <v>7539</v>
      </c>
      <c r="F30" s="8">
        <v>9759</v>
      </c>
      <c r="G30" s="8">
        <v>13494</v>
      </c>
      <c r="H30" s="8">
        <v>13545</v>
      </c>
      <c r="I30" s="8">
        <v>17799</v>
      </c>
      <c r="J30" s="8">
        <v>25809</v>
      </c>
      <c r="K30" s="8">
        <v>22878</v>
      </c>
      <c r="L30" s="8">
        <v>21325</v>
      </c>
      <c r="M30" s="8">
        <v>25228</v>
      </c>
      <c r="N30" s="8">
        <v>32748</v>
      </c>
      <c r="O30" s="8">
        <v>31477</v>
      </c>
      <c r="P30" s="8">
        <v>32833</v>
      </c>
      <c r="Q30" s="8">
        <v>33180</v>
      </c>
    </row>
    <row r="31" spans="1:17">
      <c r="A31" s="4" t="s">
        <v>22</v>
      </c>
      <c r="B31" s="7">
        <v>3447</v>
      </c>
      <c r="C31" s="7">
        <v>4529</v>
      </c>
      <c r="D31" s="7">
        <v>6458</v>
      </c>
      <c r="E31" s="7">
        <v>6882</v>
      </c>
      <c r="F31" s="8">
        <v>9806</v>
      </c>
      <c r="G31" s="8">
        <v>9539</v>
      </c>
      <c r="H31" s="8">
        <v>8283</v>
      </c>
      <c r="I31" s="8">
        <v>13936</v>
      </c>
      <c r="J31" s="8">
        <v>12087</v>
      </c>
      <c r="K31" s="8">
        <v>12352</v>
      </c>
      <c r="L31" s="8">
        <v>11264</v>
      </c>
      <c r="M31" s="8">
        <v>14111</v>
      </c>
      <c r="N31" s="8">
        <v>21223</v>
      </c>
      <c r="O31" s="8">
        <v>14695</v>
      </c>
      <c r="P31" s="8">
        <v>14287</v>
      </c>
      <c r="Q31" s="8">
        <v>14585</v>
      </c>
    </row>
    <row r="32" spans="1:17">
      <c r="A32" s="16" t="s">
        <v>23</v>
      </c>
      <c r="B32" s="17">
        <f>B25+B26+B27+B28+B29+B30+B31</f>
        <v>41678</v>
      </c>
      <c r="C32" s="17">
        <f t="shared" ref="C32:Q32" si="7">C25+C26+C27+C28+C29+C30+C31</f>
        <v>44988</v>
      </c>
      <c r="D32" s="17">
        <f t="shared" si="7"/>
        <v>57653</v>
      </c>
      <c r="E32" s="17">
        <f t="shared" si="7"/>
        <v>73286</v>
      </c>
      <c r="F32" s="17">
        <f t="shared" si="7"/>
        <v>68531</v>
      </c>
      <c r="G32" s="17">
        <f t="shared" si="7"/>
        <v>89378</v>
      </c>
      <c r="H32" s="17">
        <f t="shared" si="7"/>
        <v>106869</v>
      </c>
      <c r="I32" s="17">
        <f t="shared" si="7"/>
        <v>128645</v>
      </c>
      <c r="J32" s="17">
        <f t="shared" si="7"/>
        <v>131339</v>
      </c>
      <c r="K32" s="17">
        <f t="shared" si="7"/>
        <v>162819</v>
      </c>
      <c r="L32" s="17">
        <f t="shared" si="7"/>
        <v>143713</v>
      </c>
      <c r="M32" s="17">
        <f t="shared" si="7"/>
        <v>134836</v>
      </c>
      <c r="N32" s="17">
        <f t="shared" si="7"/>
        <v>135405</v>
      </c>
      <c r="O32" s="17">
        <f t="shared" si="7"/>
        <v>143566</v>
      </c>
      <c r="P32" s="17">
        <f t="shared" si="7"/>
        <v>152987</v>
      </c>
      <c r="Q32" s="17">
        <f t="shared" si="7"/>
        <v>147957</v>
      </c>
    </row>
    <row r="33" spans="1:17">
      <c r="A33" s="30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</row>
    <row r="34" spans="1:17">
      <c r="A34" s="30" t="s">
        <v>24</v>
      </c>
      <c r="B34" s="7">
        <v>4768</v>
      </c>
      <c r="C34" s="7">
        <v>7777</v>
      </c>
      <c r="D34" s="7">
        <v>15452</v>
      </c>
      <c r="E34" s="7">
        <v>16597</v>
      </c>
      <c r="F34" s="7">
        <v>20624</v>
      </c>
      <c r="G34" s="7">
        <v>22471</v>
      </c>
      <c r="H34" s="7">
        <v>27010</v>
      </c>
      <c r="I34" s="7">
        <v>33783</v>
      </c>
      <c r="J34" s="7">
        <v>41304</v>
      </c>
      <c r="K34" s="7">
        <v>37378</v>
      </c>
      <c r="L34" s="7">
        <v>36766</v>
      </c>
      <c r="M34" s="7">
        <v>39440</v>
      </c>
      <c r="N34" s="7">
        <v>42117</v>
      </c>
      <c r="O34" s="7">
        <v>43715</v>
      </c>
      <c r="P34" s="7">
        <v>45680</v>
      </c>
      <c r="Q34" s="7">
        <v>49834</v>
      </c>
    </row>
    <row r="35" spans="1:17">
      <c r="A35" s="4" t="s">
        <v>25</v>
      </c>
      <c r="B35" s="7">
        <v>25391</v>
      </c>
      <c r="C35" s="7">
        <v>55618</v>
      </c>
      <c r="D35" s="7">
        <v>92122</v>
      </c>
      <c r="E35" s="7">
        <v>106215</v>
      </c>
      <c r="F35" s="8">
        <v>130162</v>
      </c>
      <c r="G35" s="8">
        <v>164065</v>
      </c>
      <c r="H35" s="8">
        <v>170430</v>
      </c>
      <c r="I35" s="8">
        <v>194714</v>
      </c>
      <c r="J35" s="8">
        <v>170799</v>
      </c>
      <c r="K35" s="8">
        <v>105341</v>
      </c>
      <c r="L35" s="8">
        <v>100887</v>
      </c>
      <c r="M35" s="8">
        <v>127877</v>
      </c>
      <c r="N35" s="8">
        <v>120805</v>
      </c>
      <c r="O35" s="8">
        <v>100544</v>
      </c>
      <c r="P35" s="8">
        <v>91479</v>
      </c>
      <c r="Q35" s="8">
        <v>77723</v>
      </c>
    </row>
    <row r="36" spans="1:17">
      <c r="A36" s="4" t="s">
        <v>26</v>
      </c>
      <c r="B36" s="7">
        <v>741</v>
      </c>
      <c r="C36" s="7">
        <v>896</v>
      </c>
      <c r="D36" s="7">
        <v>1135</v>
      </c>
      <c r="E36" s="7">
        <v>1577</v>
      </c>
      <c r="F36" s="8">
        <v>4616</v>
      </c>
      <c r="G36" s="8">
        <v>5116</v>
      </c>
      <c r="H36" s="8">
        <v>5414</v>
      </c>
      <c r="I36" s="8">
        <v>5717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</row>
    <row r="37" spans="1:17">
      <c r="A37" s="4" t="s">
        <v>27</v>
      </c>
      <c r="B37" s="7">
        <v>342</v>
      </c>
      <c r="C37" s="7">
        <v>3536</v>
      </c>
      <c r="D37" s="7">
        <v>4224</v>
      </c>
      <c r="E37" s="7">
        <v>4179</v>
      </c>
      <c r="F37" s="8">
        <v>4142</v>
      </c>
      <c r="G37" s="8">
        <v>3893</v>
      </c>
      <c r="H37" s="8">
        <v>3206</v>
      </c>
      <c r="I37" s="8">
        <v>2298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</row>
    <row r="38" spans="1:17">
      <c r="A38" s="4" t="s">
        <v>28</v>
      </c>
      <c r="B38" s="7">
        <v>2263</v>
      </c>
      <c r="C38" s="7">
        <v>3556</v>
      </c>
      <c r="D38" s="7">
        <v>5478</v>
      </c>
      <c r="E38" s="7">
        <v>5146</v>
      </c>
      <c r="F38" s="8">
        <v>3764</v>
      </c>
      <c r="G38" s="8">
        <v>5556</v>
      </c>
      <c r="H38" s="8">
        <v>8757</v>
      </c>
      <c r="I38" s="8">
        <v>10162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</row>
    <row r="39" spans="1:17">
      <c r="A39" s="4" t="s">
        <v>29</v>
      </c>
      <c r="B39" s="7">
        <v>0</v>
      </c>
      <c r="C39" s="7">
        <v>0</v>
      </c>
      <c r="D39" s="7">
        <v>0</v>
      </c>
      <c r="E39" s="7">
        <v>0</v>
      </c>
      <c r="F39" s="8">
        <v>0</v>
      </c>
      <c r="G39" s="8">
        <v>0</v>
      </c>
      <c r="H39" s="8">
        <v>0</v>
      </c>
      <c r="I39" s="8">
        <v>0</v>
      </c>
      <c r="J39" s="8">
        <v>22283</v>
      </c>
      <c r="K39" s="8">
        <v>32978</v>
      </c>
      <c r="L39" s="8">
        <v>42522</v>
      </c>
      <c r="M39" s="8">
        <v>48849</v>
      </c>
      <c r="N39" s="8">
        <v>54428</v>
      </c>
      <c r="O39" s="8">
        <v>64758</v>
      </c>
      <c r="P39" s="8">
        <v>74834</v>
      </c>
      <c r="Q39" s="8">
        <v>83727</v>
      </c>
    </row>
    <row r="40" spans="1:17">
      <c r="A40" s="16" t="s">
        <v>30</v>
      </c>
      <c r="B40" s="17">
        <f>B34+B35+B36+B37+B38+B39</f>
        <v>33505</v>
      </c>
      <c r="C40" s="17">
        <f t="shared" ref="C40:Q40" si="8">C34+C35+C36+C37+C38+C39</f>
        <v>71383</v>
      </c>
      <c r="D40" s="17">
        <f t="shared" si="8"/>
        <v>118411</v>
      </c>
      <c r="E40" s="17">
        <f t="shared" si="8"/>
        <v>133714</v>
      </c>
      <c r="F40" s="17">
        <f t="shared" si="8"/>
        <v>163308</v>
      </c>
      <c r="G40" s="17">
        <f t="shared" si="8"/>
        <v>201101</v>
      </c>
      <c r="H40" s="17">
        <f t="shared" si="8"/>
        <v>214817</v>
      </c>
      <c r="I40" s="17">
        <f t="shared" si="8"/>
        <v>246674</v>
      </c>
      <c r="J40" s="17">
        <f t="shared" si="8"/>
        <v>234386</v>
      </c>
      <c r="K40" s="17">
        <f t="shared" si="8"/>
        <v>175697</v>
      </c>
      <c r="L40" s="17">
        <f t="shared" si="8"/>
        <v>180175</v>
      </c>
      <c r="M40" s="17">
        <f t="shared" si="8"/>
        <v>216166</v>
      </c>
      <c r="N40" s="17">
        <f t="shared" si="8"/>
        <v>217350</v>
      </c>
      <c r="O40" s="17">
        <f t="shared" si="8"/>
        <v>209017</v>
      </c>
      <c r="P40" s="17">
        <f t="shared" si="8"/>
        <v>211993</v>
      </c>
      <c r="Q40" s="17">
        <f t="shared" si="8"/>
        <v>211284</v>
      </c>
    </row>
    <row r="41" spans="1:17">
      <c r="A41" s="16" t="s">
        <v>31</v>
      </c>
      <c r="B41" s="17">
        <f t="shared" ref="B41:Q41" si="9">B32+B40</f>
        <v>75183</v>
      </c>
      <c r="C41" s="17">
        <f t="shared" si="9"/>
        <v>116371</v>
      </c>
      <c r="D41" s="17">
        <f t="shared" si="9"/>
        <v>176064</v>
      </c>
      <c r="E41" s="17">
        <f t="shared" si="9"/>
        <v>207000</v>
      </c>
      <c r="F41" s="18">
        <f t="shared" si="9"/>
        <v>231839</v>
      </c>
      <c r="G41" s="18">
        <f t="shared" si="9"/>
        <v>290479</v>
      </c>
      <c r="H41" s="18">
        <f t="shared" si="9"/>
        <v>321686</v>
      </c>
      <c r="I41" s="18">
        <f t="shared" si="9"/>
        <v>375319</v>
      </c>
      <c r="J41" s="18">
        <f t="shared" si="9"/>
        <v>365725</v>
      </c>
      <c r="K41" s="18">
        <f t="shared" si="9"/>
        <v>338516</v>
      </c>
      <c r="L41" s="18">
        <f t="shared" si="9"/>
        <v>323888</v>
      </c>
      <c r="M41" s="18">
        <f t="shared" si="9"/>
        <v>351002</v>
      </c>
      <c r="N41" s="18">
        <f t="shared" si="9"/>
        <v>352755</v>
      </c>
      <c r="O41" s="18">
        <f t="shared" si="9"/>
        <v>352583</v>
      </c>
      <c r="P41" s="18">
        <f t="shared" si="9"/>
        <v>364980</v>
      </c>
      <c r="Q41" s="18">
        <f t="shared" si="9"/>
        <v>359241</v>
      </c>
    </row>
    <row r="42" spans="1:17">
      <c r="A42" s="30"/>
      <c r="B42" s="21"/>
      <c r="C42" s="21"/>
      <c r="D42" s="21"/>
      <c r="E42" s="2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</row>
    <row r="43" spans="1:17">
      <c r="A43" s="4" t="s">
        <v>32</v>
      </c>
      <c r="B43" s="7">
        <v>0</v>
      </c>
      <c r="C43" s="7">
        <v>0</v>
      </c>
      <c r="D43" s="7">
        <v>0</v>
      </c>
      <c r="E43" s="7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</row>
    <row r="44" spans="1:17">
      <c r="A44" s="4" t="s">
        <v>33</v>
      </c>
      <c r="B44" s="7">
        <v>12015</v>
      </c>
      <c r="C44" s="7">
        <v>14632</v>
      </c>
      <c r="D44" s="7">
        <v>21175</v>
      </c>
      <c r="E44" s="7">
        <v>22367</v>
      </c>
      <c r="F44" s="7">
        <v>30196</v>
      </c>
      <c r="G44" s="7">
        <v>35490</v>
      </c>
      <c r="H44" s="7">
        <v>37294</v>
      </c>
      <c r="I44" s="7">
        <v>49049</v>
      </c>
      <c r="J44" s="7">
        <v>55888</v>
      </c>
      <c r="K44" s="7">
        <v>46236</v>
      </c>
      <c r="L44" s="7">
        <v>42296</v>
      </c>
      <c r="M44" s="7">
        <v>54763</v>
      </c>
      <c r="N44" s="7">
        <v>64115</v>
      </c>
      <c r="O44" s="7">
        <v>62611</v>
      </c>
      <c r="P44" s="8">
        <v>68960</v>
      </c>
      <c r="Q44" s="8">
        <v>69860</v>
      </c>
    </row>
    <row r="45" spans="1:17">
      <c r="A45" s="4" t="s">
        <v>34</v>
      </c>
      <c r="B45" s="7">
        <v>5723</v>
      </c>
      <c r="C45" s="7">
        <v>9247</v>
      </c>
      <c r="D45" s="7">
        <v>11414</v>
      </c>
      <c r="E45" s="7">
        <v>13856</v>
      </c>
      <c r="F45" s="8">
        <v>18453</v>
      </c>
      <c r="G45" s="8">
        <v>25181</v>
      </c>
      <c r="H45" s="8">
        <v>22027</v>
      </c>
      <c r="I45" s="8">
        <v>25744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</row>
    <row r="46" spans="1:17">
      <c r="A46" s="4" t="s">
        <v>35</v>
      </c>
      <c r="B46" s="7">
        <v>2984</v>
      </c>
      <c r="C46" s="7">
        <v>4091</v>
      </c>
      <c r="D46" s="7">
        <v>5953</v>
      </c>
      <c r="E46" s="7">
        <v>7435</v>
      </c>
      <c r="F46" s="7">
        <v>8491</v>
      </c>
      <c r="G46" s="7">
        <v>8940</v>
      </c>
      <c r="H46" s="7">
        <v>8080</v>
      </c>
      <c r="I46" s="7">
        <v>7548</v>
      </c>
      <c r="J46" s="7">
        <v>7543</v>
      </c>
      <c r="K46" s="7">
        <v>5522</v>
      </c>
      <c r="L46" s="7">
        <v>6643</v>
      </c>
      <c r="M46" s="7">
        <v>7612</v>
      </c>
      <c r="N46" s="8">
        <v>7912</v>
      </c>
      <c r="O46" s="8">
        <v>8061</v>
      </c>
      <c r="P46" s="8">
        <v>8249</v>
      </c>
      <c r="Q46" s="8">
        <v>9055</v>
      </c>
    </row>
    <row r="47" spans="1:17">
      <c r="A47" s="4" t="s">
        <v>36</v>
      </c>
      <c r="B47" s="7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32687</v>
      </c>
      <c r="K47" s="7">
        <v>37720</v>
      </c>
      <c r="L47" s="7">
        <v>42684</v>
      </c>
      <c r="M47" s="7">
        <v>47493</v>
      </c>
      <c r="N47" s="8">
        <v>60845</v>
      </c>
      <c r="O47" s="8">
        <v>58829</v>
      </c>
      <c r="P47" s="8">
        <v>78304</v>
      </c>
      <c r="Q47" s="8">
        <v>66387</v>
      </c>
    </row>
    <row r="48" spans="1:17">
      <c r="A48" s="4" t="s">
        <v>37</v>
      </c>
      <c r="B48" s="7">
        <v>0</v>
      </c>
      <c r="C48" s="7">
        <v>0</v>
      </c>
      <c r="D48" s="7">
        <v>0</v>
      </c>
      <c r="E48" s="7">
        <v>0</v>
      </c>
      <c r="F48" s="8">
        <v>6308</v>
      </c>
      <c r="G48" s="8">
        <v>8499</v>
      </c>
      <c r="H48" s="8">
        <v>8105</v>
      </c>
      <c r="I48" s="8">
        <v>11977</v>
      </c>
      <c r="J48" s="8">
        <v>11964</v>
      </c>
      <c r="K48" s="8">
        <v>5980</v>
      </c>
      <c r="L48" s="8">
        <v>4996</v>
      </c>
      <c r="M48" s="8">
        <v>6000</v>
      </c>
      <c r="N48" s="8">
        <v>9982</v>
      </c>
      <c r="O48" s="8">
        <v>5985</v>
      </c>
      <c r="P48" s="8">
        <v>9967</v>
      </c>
      <c r="Q48" s="8">
        <v>7979</v>
      </c>
    </row>
    <row r="49" spans="1:17">
      <c r="A49" s="4" t="s">
        <v>38</v>
      </c>
      <c r="B49" s="7">
        <v>0</v>
      </c>
      <c r="C49" s="7">
        <v>0</v>
      </c>
      <c r="D49" s="7">
        <v>0</v>
      </c>
      <c r="E49" s="7">
        <v>0</v>
      </c>
      <c r="F49" s="8">
        <v>0</v>
      </c>
      <c r="G49" s="8">
        <v>2500</v>
      </c>
      <c r="H49" s="8">
        <v>3500</v>
      </c>
      <c r="I49" s="8">
        <v>6496</v>
      </c>
      <c r="J49" s="8">
        <v>8784</v>
      </c>
      <c r="K49" s="8">
        <v>10260</v>
      </c>
      <c r="L49" s="8">
        <v>8773</v>
      </c>
      <c r="M49" s="8">
        <v>9613</v>
      </c>
      <c r="N49" s="8">
        <v>11128</v>
      </c>
      <c r="O49" s="8">
        <v>9822</v>
      </c>
      <c r="P49" s="8">
        <v>10912</v>
      </c>
      <c r="Q49" s="8">
        <v>12350</v>
      </c>
    </row>
    <row r="50" spans="1:17">
      <c r="A50" s="16" t="s">
        <v>39</v>
      </c>
      <c r="B50" s="17">
        <f t="shared" ref="B50:Q50" si="10">SUM(B43:B49)</f>
        <v>20722</v>
      </c>
      <c r="C50" s="17">
        <f t="shared" si="10"/>
        <v>27970</v>
      </c>
      <c r="D50" s="17">
        <f t="shared" si="10"/>
        <v>38542</v>
      </c>
      <c r="E50" s="17">
        <f t="shared" si="10"/>
        <v>43658</v>
      </c>
      <c r="F50" s="18">
        <f t="shared" si="10"/>
        <v>63448</v>
      </c>
      <c r="G50" s="18">
        <f t="shared" si="10"/>
        <v>80610</v>
      </c>
      <c r="H50" s="18">
        <f t="shared" si="10"/>
        <v>79006</v>
      </c>
      <c r="I50" s="18">
        <f t="shared" si="10"/>
        <v>100814</v>
      </c>
      <c r="J50" s="18">
        <f t="shared" si="10"/>
        <v>116866</v>
      </c>
      <c r="K50" s="18">
        <f t="shared" si="10"/>
        <v>105718</v>
      </c>
      <c r="L50" s="18">
        <f t="shared" si="10"/>
        <v>105392</v>
      </c>
      <c r="M50" s="18">
        <f t="shared" si="10"/>
        <v>125481</v>
      </c>
      <c r="N50" s="18">
        <f t="shared" si="10"/>
        <v>153982</v>
      </c>
      <c r="O50" s="18">
        <f t="shared" si="10"/>
        <v>145308</v>
      </c>
      <c r="P50" s="18">
        <f t="shared" si="10"/>
        <v>176392</v>
      </c>
      <c r="Q50" s="18">
        <f t="shared" si="10"/>
        <v>165631</v>
      </c>
    </row>
    <row r="51" spans="1:17">
      <c r="A51" s="30"/>
      <c r="B51" s="21"/>
      <c r="C51" s="21"/>
      <c r="D51" s="21"/>
      <c r="E51" s="2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</row>
    <row r="52" spans="1:17">
      <c r="A52" s="4" t="s">
        <v>40</v>
      </c>
      <c r="B52" s="7">
        <v>0</v>
      </c>
      <c r="C52" s="7">
        <v>0</v>
      </c>
      <c r="D52" s="7">
        <v>0</v>
      </c>
      <c r="E52" s="7">
        <v>16960</v>
      </c>
      <c r="F52" s="8">
        <v>28987</v>
      </c>
      <c r="G52" s="8">
        <v>53463</v>
      </c>
      <c r="H52" s="8">
        <v>75427</v>
      </c>
      <c r="I52" s="8">
        <v>97207</v>
      </c>
      <c r="J52" s="8">
        <v>93735</v>
      </c>
      <c r="K52" s="8">
        <v>91807</v>
      </c>
      <c r="L52" s="8">
        <v>98667</v>
      </c>
      <c r="M52" s="8">
        <v>109106</v>
      </c>
      <c r="N52" s="8">
        <v>98959</v>
      </c>
      <c r="O52" s="8">
        <v>95281</v>
      </c>
      <c r="P52" s="8">
        <v>85750</v>
      </c>
      <c r="Q52" s="8">
        <v>78328</v>
      </c>
    </row>
    <row r="53" spans="1:17">
      <c r="A53" s="4" t="s">
        <v>41</v>
      </c>
      <c r="B53" s="7">
        <v>1139</v>
      </c>
      <c r="C53" s="7">
        <v>1686</v>
      </c>
      <c r="D53" s="7">
        <v>2648</v>
      </c>
      <c r="E53" s="7">
        <v>2625</v>
      </c>
      <c r="F53" s="7">
        <v>3031</v>
      </c>
      <c r="G53" s="7">
        <v>3624</v>
      </c>
      <c r="H53" s="7">
        <v>2930</v>
      </c>
      <c r="I53" s="7">
        <v>2836</v>
      </c>
      <c r="J53" s="7">
        <v>2797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</row>
    <row r="54" spans="1:17">
      <c r="A54" s="4" t="s">
        <v>42</v>
      </c>
      <c r="B54" s="7">
        <v>5531</v>
      </c>
      <c r="C54" s="7">
        <v>10100</v>
      </c>
      <c r="D54" s="7">
        <v>16664</v>
      </c>
      <c r="E54" s="7">
        <v>20208</v>
      </c>
      <c r="F54" s="7">
        <v>24826</v>
      </c>
      <c r="G54" s="7">
        <v>33427</v>
      </c>
      <c r="H54" s="7">
        <v>36074</v>
      </c>
      <c r="I54" s="7">
        <v>40415</v>
      </c>
      <c r="J54" s="7">
        <v>45180</v>
      </c>
      <c r="K54" s="7">
        <v>50503</v>
      </c>
      <c r="L54" s="7">
        <v>54490</v>
      </c>
      <c r="M54" s="7">
        <v>53325</v>
      </c>
      <c r="N54" s="7">
        <v>49142</v>
      </c>
      <c r="O54" s="7">
        <v>49848</v>
      </c>
      <c r="P54" s="7">
        <v>45888</v>
      </c>
      <c r="Q54" s="7">
        <v>41549</v>
      </c>
    </row>
    <row r="55" spans="1:17">
      <c r="A55" s="16" t="s">
        <v>43</v>
      </c>
      <c r="B55" s="32">
        <f t="shared" ref="B55:Q55" si="11">SUM(B52:B54)</f>
        <v>6670</v>
      </c>
      <c r="C55" s="32">
        <f t="shared" si="11"/>
        <v>11786</v>
      </c>
      <c r="D55" s="32">
        <f t="shared" si="11"/>
        <v>19312</v>
      </c>
      <c r="E55" s="32">
        <f t="shared" si="11"/>
        <v>39793</v>
      </c>
      <c r="F55" s="33">
        <f t="shared" si="11"/>
        <v>56844</v>
      </c>
      <c r="G55" s="33">
        <f t="shared" si="11"/>
        <v>90514</v>
      </c>
      <c r="H55" s="33">
        <f t="shared" si="11"/>
        <v>114431</v>
      </c>
      <c r="I55" s="33">
        <f t="shared" si="11"/>
        <v>140458</v>
      </c>
      <c r="J55" s="33">
        <f t="shared" si="11"/>
        <v>141712</v>
      </c>
      <c r="K55" s="33">
        <f t="shared" si="11"/>
        <v>142310</v>
      </c>
      <c r="L55" s="33">
        <f t="shared" si="11"/>
        <v>153157</v>
      </c>
      <c r="M55" s="33">
        <f t="shared" si="11"/>
        <v>162431</v>
      </c>
      <c r="N55" s="33">
        <f t="shared" si="11"/>
        <v>148101</v>
      </c>
      <c r="O55" s="33">
        <f t="shared" si="11"/>
        <v>145129</v>
      </c>
      <c r="P55" s="33">
        <f t="shared" si="11"/>
        <v>131638</v>
      </c>
      <c r="Q55" s="33">
        <f t="shared" si="11"/>
        <v>119877</v>
      </c>
    </row>
    <row r="56" spans="1:17">
      <c r="A56" s="16" t="s">
        <v>44</v>
      </c>
      <c r="B56" s="15">
        <f t="shared" ref="B56:Q56" si="12">B50+B55</f>
        <v>27392</v>
      </c>
      <c r="C56" s="15">
        <f t="shared" si="12"/>
        <v>39756</v>
      </c>
      <c r="D56" s="15">
        <f t="shared" si="12"/>
        <v>57854</v>
      </c>
      <c r="E56" s="15">
        <f t="shared" si="12"/>
        <v>83451</v>
      </c>
      <c r="F56" s="15">
        <f t="shared" si="12"/>
        <v>120292</v>
      </c>
      <c r="G56" s="15">
        <f t="shared" si="12"/>
        <v>171124</v>
      </c>
      <c r="H56" s="15">
        <f t="shared" si="12"/>
        <v>193437</v>
      </c>
      <c r="I56" s="15">
        <f t="shared" si="12"/>
        <v>241272</v>
      </c>
      <c r="J56" s="15">
        <f t="shared" si="12"/>
        <v>258578</v>
      </c>
      <c r="K56" s="15">
        <f t="shared" si="12"/>
        <v>248028</v>
      </c>
      <c r="L56" s="15">
        <f t="shared" si="12"/>
        <v>258549</v>
      </c>
      <c r="M56" s="15">
        <f t="shared" si="12"/>
        <v>287912</v>
      </c>
      <c r="N56" s="15">
        <f t="shared" si="12"/>
        <v>302083</v>
      </c>
      <c r="O56" s="15">
        <f t="shared" si="12"/>
        <v>290437</v>
      </c>
      <c r="P56" s="15">
        <f t="shared" si="12"/>
        <v>308030</v>
      </c>
      <c r="Q56" s="15">
        <f t="shared" si="12"/>
        <v>285508</v>
      </c>
    </row>
    <row r="57" spans="1:17">
      <c r="A57" s="4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</row>
    <row r="58" spans="1:17">
      <c r="A58" s="4" t="s">
        <v>45</v>
      </c>
      <c r="B58" s="8">
        <v>10668</v>
      </c>
      <c r="C58" s="8">
        <v>13331</v>
      </c>
      <c r="D58" s="8">
        <v>16422</v>
      </c>
      <c r="E58" s="8">
        <v>19764</v>
      </c>
      <c r="F58" s="8">
        <v>23313</v>
      </c>
      <c r="G58" s="8">
        <v>27416</v>
      </c>
      <c r="H58" s="8">
        <v>31251</v>
      </c>
      <c r="I58" s="8">
        <v>35867</v>
      </c>
      <c r="J58" s="8">
        <v>40201</v>
      </c>
      <c r="K58" s="8">
        <v>45174</v>
      </c>
      <c r="L58" s="8">
        <v>50779</v>
      </c>
      <c r="M58" s="8">
        <v>57365</v>
      </c>
      <c r="N58" s="8">
        <v>64849</v>
      </c>
      <c r="O58" s="8">
        <v>73812</v>
      </c>
      <c r="P58" s="8">
        <v>83276</v>
      </c>
      <c r="Q58" s="8">
        <v>93568</v>
      </c>
    </row>
    <row r="59" spans="1:17">
      <c r="A59" s="4" t="s">
        <v>46</v>
      </c>
      <c r="B59" s="8">
        <v>37169</v>
      </c>
      <c r="C59" s="8">
        <v>62841</v>
      </c>
      <c r="D59" s="8">
        <v>101289</v>
      </c>
      <c r="E59" s="8">
        <v>104256</v>
      </c>
      <c r="F59" s="8">
        <v>87152</v>
      </c>
      <c r="G59" s="8">
        <v>92284</v>
      </c>
      <c r="H59" s="8">
        <v>96364</v>
      </c>
      <c r="I59" s="8">
        <v>98330</v>
      </c>
      <c r="J59" s="8">
        <v>70400</v>
      </c>
      <c r="K59" s="8">
        <v>45898</v>
      </c>
      <c r="L59" s="8">
        <v>14966</v>
      </c>
      <c r="M59" s="8">
        <v>5562</v>
      </c>
      <c r="N59" s="8">
        <v>0</v>
      </c>
      <c r="O59" s="8">
        <v>0</v>
      </c>
      <c r="P59" s="8">
        <v>0</v>
      </c>
      <c r="Q59" s="8">
        <v>0</v>
      </c>
    </row>
    <row r="60" spans="1:17">
      <c r="A60" s="4" t="s">
        <v>47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34">
        <v>-3068</v>
      </c>
      <c r="O60" s="34">
        <v>-214</v>
      </c>
      <c r="P60" s="34">
        <v>-19154</v>
      </c>
      <c r="Q60" s="34">
        <v>-14264</v>
      </c>
    </row>
    <row r="61" spans="1:17">
      <c r="A61" s="4" t="s">
        <v>48</v>
      </c>
      <c r="B61" s="34">
        <v>-46</v>
      </c>
      <c r="C61" s="8">
        <v>443</v>
      </c>
      <c r="D61" s="8">
        <v>499</v>
      </c>
      <c r="E61" s="34">
        <v>-471</v>
      </c>
      <c r="F61" s="8">
        <v>1082</v>
      </c>
      <c r="G61" s="34">
        <v>-345</v>
      </c>
      <c r="H61" s="8">
        <v>634</v>
      </c>
      <c r="I61" s="34">
        <v>-150</v>
      </c>
      <c r="J61" s="34">
        <v>-3454</v>
      </c>
      <c r="K61" s="34">
        <v>-584</v>
      </c>
      <c r="L61" s="34">
        <v>-406</v>
      </c>
      <c r="M61" s="8">
        <v>163</v>
      </c>
      <c r="N61" s="34">
        <v>-11109</v>
      </c>
      <c r="O61" s="34">
        <v>-11452</v>
      </c>
      <c r="P61" s="34">
        <v>-7172</v>
      </c>
      <c r="Q61" s="34">
        <v>-5571</v>
      </c>
    </row>
    <row r="62" spans="1:17">
      <c r="A62" s="16" t="s">
        <v>49</v>
      </c>
      <c r="B62" s="35">
        <f t="shared" ref="B62:Q62" si="13">SUM(B58:B61)</f>
        <v>47791</v>
      </c>
      <c r="C62" s="35">
        <f t="shared" si="13"/>
        <v>76615</v>
      </c>
      <c r="D62" s="35">
        <f t="shared" si="13"/>
        <v>118210</v>
      </c>
      <c r="E62" s="35">
        <f t="shared" si="13"/>
        <v>123549</v>
      </c>
      <c r="F62" s="35">
        <f t="shared" si="13"/>
        <v>111547</v>
      </c>
      <c r="G62" s="35">
        <f t="shared" si="13"/>
        <v>119355</v>
      </c>
      <c r="H62" s="35">
        <f t="shared" si="13"/>
        <v>128249</v>
      </c>
      <c r="I62" s="35">
        <f t="shared" si="13"/>
        <v>134047</v>
      </c>
      <c r="J62" s="35">
        <f t="shared" si="13"/>
        <v>107147</v>
      </c>
      <c r="K62" s="35">
        <f t="shared" si="13"/>
        <v>90488</v>
      </c>
      <c r="L62" s="35">
        <f t="shared" si="13"/>
        <v>65339</v>
      </c>
      <c r="M62" s="35">
        <f t="shared" si="13"/>
        <v>63090</v>
      </c>
      <c r="N62" s="35">
        <f t="shared" si="13"/>
        <v>50672</v>
      </c>
      <c r="O62" s="35">
        <f t="shared" si="13"/>
        <v>62146</v>
      </c>
      <c r="P62" s="35">
        <f t="shared" si="13"/>
        <v>56950</v>
      </c>
      <c r="Q62" s="35">
        <f t="shared" si="13"/>
        <v>73733</v>
      </c>
    </row>
    <row r="63" spans="1:17">
      <c r="A63" s="16" t="s">
        <v>50</v>
      </c>
      <c r="B63" s="36">
        <f t="shared" ref="B63:Q63" si="14">B56+B62</f>
        <v>75183</v>
      </c>
      <c r="C63" s="36">
        <f t="shared" si="14"/>
        <v>116371</v>
      </c>
      <c r="D63" s="36">
        <f t="shared" si="14"/>
        <v>176064</v>
      </c>
      <c r="E63" s="36">
        <f t="shared" si="14"/>
        <v>207000</v>
      </c>
      <c r="F63" s="36">
        <f t="shared" si="14"/>
        <v>231839</v>
      </c>
      <c r="G63" s="36">
        <f t="shared" si="14"/>
        <v>290479</v>
      </c>
      <c r="H63" s="36">
        <f t="shared" si="14"/>
        <v>321686</v>
      </c>
      <c r="I63" s="36">
        <f t="shared" si="14"/>
        <v>375319</v>
      </c>
      <c r="J63" s="36">
        <f t="shared" si="14"/>
        <v>365725</v>
      </c>
      <c r="K63" s="36">
        <f t="shared" si="14"/>
        <v>338516</v>
      </c>
      <c r="L63" s="36">
        <f t="shared" si="14"/>
        <v>323888</v>
      </c>
      <c r="M63" s="36">
        <f t="shared" si="14"/>
        <v>351002</v>
      </c>
      <c r="N63" s="36">
        <f t="shared" si="14"/>
        <v>352755</v>
      </c>
      <c r="O63" s="36">
        <f t="shared" si="14"/>
        <v>352583</v>
      </c>
      <c r="P63" s="36">
        <f t="shared" si="14"/>
        <v>364980</v>
      </c>
      <c r="Q63" s="36">
        <f t="shared" si="14"/>
        <v>359241</v>
      </c>
    </row>
    <row r="67" spans="1:17" ht="19.95" customHeight="1">
      <c r="A67" s="39" t="s">
        <v>60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</row>
    <row r="68" spans="1:17">
      <c r="A68" t="s">
        <v>52</v>
      </c>
    </row>
    <row r="70" spans="1:17">
      <c r="A70" s="40" t="s">
        <v>53</v>
      </c>
      <c r="B70" s="40">
        <v>2010</v>
      </c>
      <c r="C70" s="40">
        <v>2011</v>
      </c>
      <c r="D70" s="40">
        <v>2012</v>
      </c>
      <c r="E70" s="40">
        <v>2013</v>
      </c>
      <c r="F70" s="40">
        <v>2014</v>
      </c>
      <c r="G70" s="40">
        <v>2015</v>
      </c>
      <c r="H70" s="40">
        <v>2016</v>
      </c>
      <c r="I70" s="40">
        <v>2017</v>
      </c>
      <c r="J70" s="40">
        <v>2018</v>
      </c>
      <c r="K70" s="40">
        <v>2019</v>
      </c>
      <c r="L70" s="40">
        <v>2020</v>
      </c>
      <c r="M70" s="40">
        <v>2021</v>
      </c>
      <c r="N70" s="40">
        <v>2022</v>
      </c>
      <c r="O70" s="40">
        <v>2023</v>
      </c>
      <c r="P70" s="40">
        <v>2024</v>
      </c>
      <c r="Q70" s="40">
        <v>2025</v>
      </c>
    </row>
    <row r="71" spans="1:17">
      <c r="A71" s="39" t="s">
        <v>1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</row>
    <row r="72" spans="1:17">
      <c r="A72" s="43" t="s">
        <v>2</v>
      </c>
      <c r="B72" s="44">
        <f t="shared" ref="B72:Q72" si="15">IFERROR(IF($B5=0,"",B5/$B5),"")</f>
        <v>1</v>
      </c>
      <c r="C72" s="44">
        <f t="shared" si="15"/>
        <v>1.6596243771559984</v>
      </c>
      <c r="D72" s="44">
        <f t="shared" si="15"/>
        <v>2.3995093905711</v>
      </c>
      <c r="E72" s="44">
        <f t="shared" si="15"/>
        <v>2.6203142966653892</v>
      </c>
      <c r="F72" s="44">
        <f t="shared" si="15"/>
        <v>2.8025297048677653</v>
      </c>
      <c r="G72" s="44">
        <f t="shared" si="15"/>
        <v>3.5832119586048292</v>
      </c>
      <c r="H72" s="44">
        <f t="shared" si="15"/>
        <v>3.3060789574549636</v>
      </c>
      <c r="I72" s="44">
        <f t="shared" si="15"/>
        <v>3.5145113070141818</v>
      </c>
      <c r="J72" s="44">
        <f t="shared" si="15"/>
        <v>4.0719816021464164</v>
      </c>
      <c r="K72" s="44">
        <f t="shared" si="15"/>
        <v>3.9888692985818319</v>
      </c>
      <c r="L72" s="44">
        <f t="shared" si="15"/>
        <v>4.2087389804522806</v>
      </c>
      <c r="M72" s="44">
        <f t="shared" si="15"/>
        <v>5.6085396703717896</v>
      </c>
      <c r="N72" s="44">
        <f t="shared" si="15"/>
        <v>6.0456573399770024</v>
      </c>
      <c r="O72" s="44">
        <f t="shared" si="15"/>
        <v>5.8763510923725564</v>
      </c>
      <c r="P72" s="44">
        <f t="shared" si="15"/>
        <v>5.9951705634342662</v>
      </c>
      <c r="Q72" s="44">
        <f t="shared" si="15"/>
        <v>6.3803909543886546</v>
      </c>
    </row>
    <row r="73" spans="1:17">
      <c r="A73" t="s">
        <v>3</v>
      </c>
      <c r="B73" s="41">
        <f t="shared" ref="B73:Q73" si="16">IFERROR(IF($B6=0,"",B6/$B6),"")</f>
        <v>1</v>
      </c>
      <c r="C73" s="41">
        <f t="shared" si="16"/>
        <v>1.6294732050276928</v>
      </c>
      <c r="D73" s="41">
        <f t="shared" si="16"/>
        <v>2.2216433575276295</v>
      </c>
      <c r="E73" s="41">
        <f t="shared" si="16"/>
        <v>2.6960876052704785</v>
      </c>
      <c r="F73" s="41">
        <f t="shared" si="16"/>
        <v>2.8390278445158192</v>
      </c>
      <c r="G73" s="41">
        <f t="shared" si="16"/>
        <v>3.5428795427530919</v>
      </c>
      <c r="H73" s="41">
        <f t="shared" si="16"/>
        <v>3.3225259856857439</v>
      </c>
      <c r="I73" s="41">
        <f t="shared" si="16"/>
        <v>3.5671328494474088</v>
      </c>
      <c r="J73" s="41">
        <f t="shared" si="16"/>
        <v>4.1414228269391264</v>
      </c>
      <c r="K73" s="41">
        <f t="shared" si="16"/>
        <v>4.0914999620646926</v>
      </c>
      <c r="L73" s="41">
        <f t="shared" si="16"/>
        <v>4.2881818871551047</v>
      </c>
      <c r="M73" s="41">
        <f t="shared" si="16"/>
        <v>5.3863331731620345</v>
      </c>
      <c r="N73" s="41">
        <f t="shared" si="16"/>
        <v>5.6535241900811819</v>
      </c>
      <c r="O73" s="41">
        <f t="shared" si="16"/>
        <v>5.4155686502617533</v>
      </c>
      <c r="P73" s="41">
        <f t="shared" si="16"/>
        <v>5.3198452239447658</v>
      </c>
      <c r="Q73" s="41">
        <f t="shared" si="16"/>
        <v>5.5881237196833666</v>
      </c>
    </row>
    <row r="74" spans="1:17">
      <c r="A74" s="43" t="s">
        <v>4</v>
      </c>
      <c r="B74" s="44">
        <f t="shared" ref="B74:Q74" si="17">IFERROR(IF($B7=0,"",B7/$B7),"")</f>
        <v>1</v>
      </c>
      <c r="C74" s="44">
        <f t="shared" si="17"/>
        <v>1.7060426724809219</v>
      </c>
      <c r="D74" s="44">
        <f t="shared" si="17"/>
        <v>2.673337486372839</v>
      </c>
      <c r="E74" s="44">
        <f t="shared" si="17"/>
        <v>2.503659866064476</v>
      </c>
      <c r="F74" s="44">
        <f t="shared" si="17"/>
        <v>2.746340133935524</v>
      </c>
      <c r="G74" s="44">
        <f t="shared" si="17"/>
        <v>3.6453044697087682</v>
      </c>
      <c r="H74" s="44">
        <f t="shared" si="17"/>
        <v>3.2807584488397445</v>
      </c>
      <c r="I74" s="44">
        <f t="shared" si="17"/>
        <v>3.4334994549135649</v>
      </c>
      <c r="J74" s="44">
        <f t="shared" si="17"/>
        <v>3.9650755334060115</v>
      </c>
      <c r="K74" s="44">
        <f t="shared" si="17"/>
        <v>3.8308674661267714</v>
      </c>
      <c r="L74" s="44">
        <f t="shared" si="17"/>
        <v>4.0864351347142192</v>
      </c>
      <c r="M74" s="44">
        <f t="shared" si="17"/>
        <v>5.9506307428749414</v>
      </c>
      <c r="N74" s="44">
        <f t="shared" si="17"/>
        <v>6.649353683226912</v>
      </c>
      <c r="O74" s="44">
        <f t="shared" si="17"/>
        <v>6.5857343092976173</v>
      </c>
      <c r="P74" s="44">
        <f t="shared" si="17"/>
        <v>7.0348465971032548</v>
      </c>
      <c r="Q74" s="44">
        <f t="shared" si="17"/>
        <v>7.6001012303379536</v>
      </c>
    </row>
    <row r="75" spans="1:17"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</row>
    <row r="76" spans="1:17">
      <c r="A76" t="s">
        <v>5</v>
      </c>
      <c r="B76" s="41">
        <f t="shared" ref="B76:Q76" si="18">IFERROR(IF($B9=0,"",B9/$B9),"")</f>
        <v>1</v>
      </c>
      <c r="C76" s="41">
        <f t="shared" si="18"/>
        <v>1.3630751964085297</v>
      </c>
      <c r="D76" s="41">
        <f t="shared" si="18"/>
        <v>1.8973063973063973</v>
      </c>
      <c r="E76" s="41">
        <f t="shared" si="18"/>
        <v>2.5112233445566781</v>
      </c>
      <c r="F76" s="41">
        <f t="shared" si="18"/>
        <v>3.3900112233445565</v>
      </c>
      <c r="G76" s="41">
        <f t="shared" si="18"/>
        <v>4.5269360269360268</v>
      </c>
      <c r="H76" s="41">
        <f t="shared" si="18"/>
        <v>5.6369248035914703</v>
      </c>
      <c r="I76" s="41">
        <f t="shared" si="18"/>
        <v>6.4988776655443319</v>
      </c>
      <c r="J76" s="41">
        <f t="shared" si="18"/>
        <v>7.9887766554433224</v>
      </c>
      <c r="K76" s="41">
        <f t="shared" si="18"/>
        <v>9.1004489337822676</v>
      </c>
      <c r="L76" s="41">
        <f t="shared" si="18"/>
        <v>10.52300785634119</v>
      </c>
      <c r="M76" s="41">
        <f t="shared" si="18"/>
        <v>12.297418630751965</v>
      </c>
      <c r="N76" s="41">
        <f t="shared" si="18"/>
        <v>14.731200897867565</v>
      </c>
      <c r="O76" s="41">
        <f t="shared" si="18"/>
        <v>16.787317620650953</v>
      </c>
      <c r="P76" s="41">
        <f t="shared" si="18"/>
        <v>17.603815937149271</v>
      </c>
      <c r="Q76" s="41">
        <f t="shared" si="18"/>
        <v>19.388327721661057</v>
      </c>
    </row>
    <row r="77" spans="1:17">
      <c r="A77" t="s">
        <v>6</v>
      </c>
      <c r="B77" s="41">
        <f t="shared" ref="B77:Q77" si="19">IFERROR(IF($B10=0,"",B10/$B10),"")</f>
        <v>1</v>
      </c>
      <c r="C77" s="41">
        <f t="shared" si="19"/>
        <v>1.3773790103317021</v>
      </c>
      <c r="D77" s="41">
        <f t="shared" si="19"/>
        <v>1.8198296175457676</v>
      </c>
      <c r="E77" s="41">
        <f t="shared" si="19"/>
        <v>1.9630233822729743</v>
      </c>
      <c r="F77" s="41">
        <f t="shared" si="19"/>
        <v>2.173826354903027</v>
      </c>
      <c r="G77" s="41">
        <f t="shared" si="19"/>
        <v>2.5972448794634766</v>
      </c>
      <c r="H77" s="41">
        <f t="shared" si="19"/>
        <v>2.5727750589088272</v>
      </c>
      <c r="I77" s="41">
        <f t="shared" si="19"/>
        <v>2.7661772702555738</v>
      </c>
      <c r="J77" s="41">
        <f t="shared" si="19"/>
        <v>3.0279137212253038</v>
      </c>
      <c r="K77" s="41">
        <f t="shared" si="19"/>
        <v>3.3070509334783398</v>
      </c>
      <c r="L77" s="41">
        <f t="shared" si="19"/>
        <v>3.609932934565887</v>
      </c>
      <c r="M77" s="41">
        <f t="shared" si="19"/>
        <v>3.9827804966467282</v>
      </c>
      <c r="N77" s="41">
        <f t="shared" si="19"/>
        <v>4.5484864962842124</v>
      </c>
      <c r="O77" s="41">
        <f t="shared" si="19"/>
        <v>4.5191227116186337</v>
      </c>
      <c r="P77" s="41">
        <f t="shared" si="19"/>
        <v>4.7302882001087552</v>
      </c>
      <c r="Q77" s="41">
        <f t="shared" si="19"/>
        <v>5.0029001268805509</v>
      </c>
    </row>
    <row r="78" spans="1:17">
      <c r="A78" s="43" t="s">
        <v>7</v>
      </c>
      <c r="B78" s="44">
        <f t="shared" ref="B78:Q78" si="20">IFERROR(IF($B11=0,"",B11/$B11),"")</f>
        <v>1</v>
      </c>
      <c r="C78" s="44">
        <f t="shared" si="20"/>
        <v>1.3738868338128511</v>
      </c>
      <c r="D78" s="44">
        <f t="shared" si="20"/>
        <v>1.8387450335662419</v>
      </c>
      <c r="E78" s="44">
        <f t="shared" si="20"/>
        <v>2.096862583915605</v>
      </c>
      <c r="F78" s="44">
        <f t="shared" si="20"/>
        <v>2.4707494177284559</v>
      </c>
      <c r="G78" s="44">
        <f t="shared" si="20"/>
        <v>3.0683655295245926</v>
      </c>
      <c r="H78" s="44">
        <f t="shared" si="20"/>
        <v>3.3208658720372655</v>
      </c>
      <c r="I78" s="44">
        <f t="shared" si="20"/>
        <v>3.6774900671324837</v>
      </c>
      <c r="J78" s="44">
        <f t="shared" si="20"/>
        <v>4.2390738457322925</v>
      </c>
      <c r="K78" s="44">
        <f t="shared" si="20"/>
        <v>4.7214686943416906</v>
      </c>
      <c r="L78" s="44">
        <f t="shared" si="20"/>
        <v>5.297712015344568</v>
      </c>
      <c r="M78" s="44">
        <f t="shared" si="20"/>
        <v>6.0127414714344427</v>
      </c>
      <c r="N78" s="44">
        <f t="shared" si="20"/>
        <v>7.0345252774352653</v>
      </c>
      <c r="O78" s="44">
        <f t="shared" si="20"/>
        <v>7.5143170297301003</v>
      </c>
      <c r="P78" s="44">
        <f t="shared" si="20"/>
        <v>7.873270311001507</v>
      </c>
      <c r="Q78" s="44">
        <f t="shared" si="20"/>
        <v>8.515002055076037</v>
      </c>
    </row>
    <row r="79" spans="1:17">
      <c r="A79" s="43" t="s">
        <v>8</v>
      </c>
      <c r="B79" s="44">
        <f t="shared" ref="B79:Q79" si="21">IFERROR(IF($B12=0,"",B12/$B12),"")</f>
        <v>1</v>
      </c>
      <c r="C79" s="44">
        <f t="shared" si="21"/>
        <v>1.8379113407669296</v>
      </c>
      <c r="D79" s="44">
        <f t="shared" si="21"/>
        <v>3.0046777264073974</v>
      </c>
      <c r="E79" s="44">
        <f t="shared" si="21"/>
        <v>2.6651618166983955</v>
      </c>
      <c r="F79" s="44">
        <f t="shared" si="21"/>
        <v>2.8557519717160731</v>
      </c>
      <c r="G79" s="44">
        <f t="shared" si="21"/>
        <v>3.8743540930106066</v>
      </c>
      <c r="H79" s="44">
        <f t="shared" si="21"/>
        <v>3.264835463693228</v>
      </c>
      <c r="I79" s="44">
        <f t="shared" si="21"/>
        <v>3.3366331248300245</v>
      </c>
      <c r="J79" s="44">
        <f t="shared" si="21"/>
        <v>3.8562958933913518</v>
      </c>
      <c r="K79" s="44">
        <f t="shared" si="21"/>
        <v>3.4772912700571119</v>
      </c>
      <c r="L79" s="44">
        <f t="shared" si="21"/>
        <v>3.6055480010878433</v>
      </c>
      <c r="M79" s="44">
        <f t="shared" si="21"/>
        <v>5.9259722599945608</v>
      </c>
      <c r="N79" s="44">
        <f t="shared" si="21"/>
        <v>6.4964373130269237</v>
      </c>
      <c r="O79" s="44">
        <f t="shared" si="21"/>
        <v>6.2170791406037527</v>
      </c>
      <c r="P79" s="44">
        <f t="shared" si="21"/>
        <v>6.7019853141147676</v>
      </c>
      <c r="Q79" s="44">
        <f t="shared" si="21"/>
        <v>7.2368778895838997</v>
      </c>
    </row>
    <row r="80" spans="1:17"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</row>
    <row r="81" spans="1:17"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</row>
    <row r="82" spans="1:17">
      <c r="A82" t="s">
        <v>10</v>
      </c>
      <c r="B82" s="41">
        <f t="shared" ref="B82:Q82" si="22">IFERROR(IF($B15=0,"",B15/$B15),"")</f>
        <v>1</v>
      </c>
      <c r="C82" s="41">
        <f t="shared" si="22"/>
        <v>2.6774193548387095</v>
      </c>
      <c r="D82" s="41">
        <f t="shared" si="22"/>
        <v>3.3677419354838709</v>
      </c>
      <c r="E82" s="41">
        <f t="shared" si="22"/>
        <v>7.4580645161290322</v>
      </c>
      <c r="F82" s="41">
        <f t="shared" si="22"/>
        <v>6.32258064516129</v>
      </c>
      <c r="G82" s="41">
        <f t="shared" si="22"/>
        <v>8.2903225806451619</v>
      </c>
      <c r="H82" s="41">
        <f t="shared" si="22"/>
        <v>8.6967741935483875</v>
      </c>
      <c r="I82" s="41">
        <f t="shared" si="22"/>
        <v>17.70967741935484</v>
      </c>
      <c r="J82" s="41">
        <f t="shared" si="22"/>
        <v>12.935483870967742</v>
      </c>
      <c r="K82" s="41">
        <f t="shared" si="22"/>
        <v>11.658064516129032</v>
      </c>
      <c r="L82" s="41">
        <f t="shared" si="22"/>
        <v>5.1806451612903226</v>
      </c>
      <c r="M82" s="41">
        <f t="shared" si="22"/>
        <v>1.6645161290322581</v>
      </c>
      <c r="N82" s="41">
        <f t="shared" si="22"/>
        <v>-2.1548387096774193</v>
      </c>
      <c r="O82" s="41">
        <f t="shared" si="22"/>
        <v>-3.6451612903225805</v>
      </c>
      <c r="P82" s="41">
        <f t="shared" si="22"/>
        <v>1.735483870967742</v>
      </c>
      <c r="Q82" s="41">
        <f t="shared" si="22"/>
        <v>-2.0709677419354837</v>
      </c>
    </row>
    <row r="83" spans="1:17">
      <c r="A83" t="s">
        <v>11</v>
      </c>
      <c r="B83" s="41">
        <f t="shared" ref="B83:Q83" si="23">IFERROR(IF($B16=0,"",B16/$B16),"")</f>
        <v>1</v>
      </c>
      <c r="C83" s="41">
        <f t="shared" si="23"/>
        <v>2.6774193548387095</v>
      </c>
      <c r="D83" s="41">
        <f t="shared" si="23"/>
        <v>3.3677419354838709</v>
      </c>
      <c r="E83" s="41">
        <f t="shared" si="23"/>
        <v>7.4580645161290322</v>
      </c>
      <c r="F83" s="41">
        <f t="shared" si="23"/>
        <v>6.32258064516129</v>
      </c>
      <c r="G83" s="41">
        <f t="shared" si="23"/>
        <v>8.2903225806451619</v>
      </c>
      <c r="H83" s="41">
        <f t="shared" si="23"/>
        <v>8.6967741935483875</v>
      </c>
      <c r="I83" s="41">
        <f t="shared" si="23"/>
        <v>17.70967741935484</v>
      </c>
      <c r="J83" s="41">
        <f t="shared" si="23"/>
        <v>12.935483870967742</v>
      </c>
      <c r="K83" s="41">
        <f t="shared" si="23"/>
        <v>11.658064516129032</v>
      </c>
      <c r="L83" s="41">
        <f t="shared" si="23"/>
        <v>5.1806451612903226</v>
      </c>
      <c r="M83" s="41">
        <f t="shared" si="23"/>
        <v>1.6645161290322581</v>
      </c>
      <c r="N83" s="41">
        <f t="shared" si="23"/>
        <v>-2.1548387096774193</v>
      </c>
      <c r="O83" s="41">
        <f t="shared" si="23"/>
        <v>-3.6451612903225805</v>
      </c>
      <c r="P83" s="41">
        <f t="shared" si="23"/>
        <v>1.735483870967742</v>
      </c>
      <c r="Q83" s="41">
        <f t="shared" si="23"/>
        <v>-2.0709677419354837</v>
      </c>
    </row>
    <row r="84" spans="1:17"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</row>
    <row r="85" spans="1:17"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</row>
    <row r="86" spans="1:17">
      <c r="A86" s="43" t="s">
        <v>12</v>
      </c>
      <c r="B86" s="44">
        <f t="shared" ref="B86:Q86" si="24">IFERROR(IF($B19=0,"",B19/$B19),"")</f>
        <v>1</v>
      </c>
      <c r="C86" s="44">
        <f t="shared" si="24"/>
        <v>1.8449298813376482</v>
      </c>
      <c r="D86" s="44">
        <f t="shared" si="24"/>
        <v>3.007713052858684</v>
      </c>
      <c r="E86" s="44">
        <f t="shared" si="24"/>
        <v>2.7052319309600863</v>
      </c>
      <c r="F86" s="44">
        <f t="shared" si="24"/>
        <v>2.8847357065803667</v>
      </c>
      <c r="G86" s="44">
        <f t="shared" si="24"/>
        <v>3.9112729234088457</v>
      </c>
      <c r="H86" s="44">
        <f t="shared" si="24"/>
        <v>3.3102481121898597</v>
      </c>
      <c r="I86" s="44">
        <f t="shared" si="24"/>
        <v>3.4567961165048544</v>
      </c>
      <c r="J86" s="44">
        <f t="shared" si="24"/>
        <v>3.9322006472491911</v>
      </c>
      <c r="K86" s="44">
        <f t="shared" si="24"/>
        <v>3.5456850053937434</v>
      </c>
      <c r="L86" s="44">
        <f t="shared" si="24"/>
        <v>3.6187162891046385</v>
      </c>
      <c r="M86" s="44">
        <f t="shared" si="24"/>
        <v>5.8903451995685003</v>
      </c>
      <c r="N86" s="44">
        <f t="shared" si="24"/>
        <v>6.4241100323624591</v>
      </c>
      <c r="O86" s="44">
        <f t="shared" si="24"/>
        <v>6.1346278317152105</v>
      </c>
      <c r="P86" s="44">
        <f t="shared" si="24"/>
        <v>6.6604638619201726</v>
      </c>
      <c r="Q86" s="44">
        <f t="shared" si="24"/>
        <v>7.1590614886731387</v>
      </c>
    </row>
    <row r="87" spans="1:17">
      <c r="A87" t="s">
        <v>13</v>
      </c>
      <c r="B87" s="41">
        <f t="shared" ref="B87:Q87" si="25">IFERROR(IF($B20=0,"",B20/$B20),"")</f>
        <v>1</v>
      </c>
      <c r="C87" s="41">
        <f t="shared" si="25"/>
        <v>1.8296885354539429</v>
      </c>
      <c r="D87" s="41">
        <f t="shared" si="25"/>
        <v>3.099182681687652</v>
      </c>
      <c r="E87" s="41">
        <f t="shared" si="25"/>
        <v>2.8977247625358959</v>
      </c>
      <c r="F87" s="41">
        <f t="shared" si="25"/>
        <v>3.0865915617406672</v>
      </c>
      <c r="G87" s="41">
        <f t="shared" si="25"/>
        <v>4.2237685001104488</v>
      </c>
      <c r="H87" s="41">
        <f t="shared" si="25"/>
        <v>3.4647669538325601</v>
      </c>
      <c r="I87" s="41">
        <f t="shared" si="25"/>
        <v>3.4764744864148445</v>
      </c>
      <c r="J87" s="41">
        <f t="shared" si="25"/>
        <v>2.9538325601943893</v>
      </c>
      <c r="K87" s="41">
        <f t="shared" si="25"/>
        <v>2.3152197923569693</v>
      </c>
      <c r="L87" s="41">
        <f t="shared" si="25"/>
        <v>2.1382814225756572</v>
      </c>
      <c r="M87" s="41">
        <f t="shared" si="25"/>
        <v>3.2089684117517119</v>
      </c>
      <c r="N87" s="41">
        <f t="shared" si="25"/>
        <v>4.2633090346808045</v>
      </c>
      <c r="O87" s="41">
        <f t="shared" si="25"/>
        <v>3.6980340181135412</v>
      </c>
      <c r="P87" s="41">
        <f t="shared" si="25"/>
        <v>6.5714601281201679</v>
      </c>
      <c r="Q87" s="41">
        <f t="shared" si="25"/>
        <v>4.5767616523083721</v>
      </c>
    </row>
    <row r="88" spans="1:17">
      <c r="A88" s="43" t="s">
        <v>14</v>
      </c>
      <c r="B88" s="44">
        <f t="shared" ref="B88:Q88" si="26">IFERROR(IF($B21=0,"",B21/$B21),"")</f>
        <v>1</v>
      </c>
      <c r="C88" s="44">
        <f t="shared" si="26"/>
        <v>1.8498537072718191</v>
      </c>
      <c r="D88" s="44">
        <f t="shared" si="26"/>
        <v>2.9781631342324983</v>
      </c>
      <c r="E88" s="44">
        <f t="shared" si="26"/>
        <v>2.6430457432384213</v>
      </c>
      <c r="F88" s="44">
        <f t="shared" si="26"/>
        <v>2.8195247270391781</v>
      </c>
      <c r="G88" s="44">
        <f t="shared" si="26"/>
        <v>3.8103189895097409</v>
      </c>
      <c r="H88" s="44">
        <f t="shared" si="26"/>
        <v>3.2603296938557054</v>
      </c>
      <c r="I88" s="44">
        <f t="shared" si="26"/>
        <v>3.450438878184543</v>
      </c>
      <c r="J88" s="44">
        <f t="shared" si="26"/>
        <v>4.2482694640690788</v>
      </c>
      <c r="K88" s="44">
        <f t="shared" si="26"/>
        <v>3.9431956040819238</v>
      </c>
      <c r="L88" s="44">
        <f t="shared" si="26"/>
        <v>4.0969813744380215</v>
      </c>
      <c r="M88" s="44">
        <f t="shared" si="26"/>
        <v>6.7565831727681438</v>
      </c>
      <c r="N88" s="44">
        <f t="shared" si="26"/>
        <v>7.1221722686077218</v>
      </c>
      <c r="O88" s="44">
        <f t="shared" si="26"/>
        <v>6.9217869121530011</v>
      </c>
      <c r="P88" s="44">
        <f t="shared" si="26"/>
        <v>6.6892171554984658</v>
      </c>
      <c r="Q88" s="44">
        <f t="shared" si="26"/>
        <v>7.9932919431956044</v>
      </c>
    </row>
    <row r="89" spans="1:17"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</row>
    <row r="90" spans="1:17"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</row>
    <row r="91" spans="1:17">
      <c r="A91" s="39" t="s">
        <v>15</v>
      </c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</row>
    <row r="92" spans="1:17">
      <c r="A92" t="s">
        <v>16</v>
      </c>
      <c r="B92" s="41">
        <f t="shared" ref="B92:Q92" si="27">IFERROR(IF($B25=0,"",B25/$B25),"")</f>
        <v>1</v>
      </c>
      <c r="C92" s="41">
        <f t="shared" si="27"/>
        <v>0.87159222093952582</v>
      </c>
      <c r="D92" s="41">
        <f t="shared" si="27"/>
        <v>0.95426693899298465</v>
      </c>
      <c r="E92" s="41">
        <f t="shared" si="27"/>
        <v>1.2662285765029748</v>
      </c>
      <c r="F92" s="41">
        <f t="shared" si="27"/>
        <v>1.2293757215167391</v>
      </c>
      <c r="G92" s="41">
        <f t="shared" si="27"/>
        <v>1.8754995115886688</v>
      </c>
      <c r="H92" s="41">
        <f t="shared" si="27"/>
        <v>1.81902140129651</v>
      </c>
      <c r="I92" s="41">
        <f t="shared" si="27"/>
        <v>1.8017049995559897</v>
      </c>
      <c r="J92" s="41">
        <f t="shared" si="27"/>
        <v>2.3011277861646389</v>
      </c>
      <c r="K92" s="41">
        <f t="shared" si="27"/>
        <v>4.3374478287896281</v>
      </c>
      <c r="L92" s="41">
        <f t="shared" si="27"/>
        <v>3.3758991208596041</v>
      </c>
      <c r="M92" s="41">
        <f t="shared" si="27"/>
        <v>3.1027439836604209</v>
      </c>
      <c r="N92" s="41">
        <f t="shared" si="27"/>
        <v>2.0998135156735636</v>
      </c>
      <c r="O92" s="41">
        <f t="shared" si="27"/>
        <v>2.6609537341266316</v>
      </c>
      <c r="P92" s="41">
        <f t="shared" si="27"/>
        <v>2.6590000888020602</v>
      </c>
      <c r="Q92" s="41">
        <f t="shared" si="27"/>
        <v>3.1910132315069708</v>
      </c>
    </row>
    <row r="93" spans="1:17">
      <c r="A93" t="s">
        <v>17</v>
      </c>
      <c r="B93" s="41">
        <f t="shared" ref="B93:Q93" si="28">IFERROR(IF($B26=0,"",B26/$B26),"")</f>
        <v>1</v>
      </c>
      <c r="C93" s="41">
        <f t="shared" si="28"/>
        <v>1.1238247788843234</v>
      </c>
      <c r="D93" s="41">
        <f t="shared" si="28"/>
        <v>1.2802423567100774</v>
      </c>
      <c r="E93" s="41">
        <f t="shared" si="28"/>
        <v>1.8306985166097918</v>
      </c>
      <c r="F93" s="41">
        <f t="shared" si="28"/>
        <v>0.78229681732711187</v>
      </c>
      <c r="G93" s="41">
        <f t="shared" si="28"/>
        <v>1.4263528100842677</v>
      </c>
      <c r="H93" s="41">
        <f t="shared" si="28"/>
        <v>3.2502959816143187</v>
      </c>
      <c r="I93" s="41">
        <f t="shared" si="28"/>
        <v>3.7531861550247232</v>
      </c>
      <c r="J93" s="41">
        <f t="shared" si="28"/>
        <v>2.8127306915523365</v>
      </c>
      <c r="K93" s="41">
        <f t="shared" si="28"/>
        <v>3.601434640295285</v>
      </c>
      <c r="L93" s="41">
        <f t="shared" si="28"/>
        <v>3.685980917891218</v>
      </c>
      <c r="M93" s="41">
        <f t="shared" si="28"/>
        <v>1.9290340552963299</v>
      </c>
      <c r="N93" s="41">
        <f t="shared" si="28"/>
        <v>1.7172505049098126</v>
      </c>
      <c r="O93" s="41">
        <f t="shared" si="28"/>
        <v>2.2000139285465563</v>
      </c>
      <c r="P93" s="41">
        <f t="shared" si="28"/>
        <v>2.4533741904032316</v>
      </c>
      <c r="Q93" s="41">
        <f t="shared" si="28"/>
        <v>1.3067065951667944</v>
      </c>
    </row>
    <row r="94" spans="1:17">
      <c r="A94" t="s">
        <v>18</v>
      </c>
      <c r="B94" s="41">
        <f t="shared" ref="B94:Q94" si="29">IFERROR(IF($B27=0,"",B27/$B27),"")</f>
        <v>1</v>
      </c>
      <c r="C94" s="41">
        <f t="shared" si="29"/>
        <v>0.97441016333938291</v>
      </c>
      <c r="D94" s="41">
        <f t="shared" si="29"/>
        <v>1.9836660617059891</v>
      </c>
      <c r="E94" s="41">
        <f t="shared" si="29"/>
        <v>2.3778584392014519</v>
      </c>
      <c r="F94" s="41">
        <f t="shared" si="29"/>
        <v>3.1687840290381124</v>
      </c>
      <c r="G94" s="41">
        <f t="shared" si="29"/>
        <v>3.0578947368421052</v>
      </c>
      <c r="H94" s="41">
        <f t="shared" si="29"/>
        <v>2.8591651542649728</v>
      </c>
      <c r="I94" s="41">
        <f t="shared" si="29"/>
        <v>3.2439201451905628</v>
      </c>
      <c r="J94" s="41">
        <f t="shared" si="29"/>
        <v>4.2079854809437389</v>
      </c>
      <c r="K94" s="41">
        <f t="shared" si="29"/>
        <v>4.1607985480943741</v>
      </c>
      <c r="L94" s="41">
        <f t="shared" si="29"/>
        <v>2.9255898366606172</v>
      </c>
      <c r="M94" s="41">
        <f t="shared" si="29"/>
        <v>4.7691470054446459</v>
      </c>
      <c r="N94" s="41">
        <f t="shared" si="29"/>
        <v>5.1150635208711437</v>
      </c>
      <c r="O94" s="41">
        <f t="shared" si="29"/>
        <v>5.3553539019963701</v>
      </c>
      <c r="P94" s="41">
        <f t="shared" si="29"/>
        <v>6.0635208711433757</v>
      </c>
      <c r="Q94" s="41">
        <f t="shared" si="29"/>
        <v>7.2190562613430131</v>
      </c>
    </row>
    <row r="95" spans="1:17">
      <c r="A95" t="s">
        <v>19</v>
      </c>
      <c r="B95" s="41">
        <f t="shared" ref="B95:Q95" si="30">IFERROR(IF($B28=0,"",B28/$B28),"")</f>
        <v>1</v>
      </c>
      <c r="C95" s="41">
        <f t="shared" si="30"/>
        <v>0.73834443387250237</v>
      </c>
      <c r="D95" s="41">
        <f t="shared" si="30"/>
        <v>0.75261655566127494</v>
      </c>
      <c r="E95" s="41">
        <f t="shared" si="30"/>
        <v>1.6784015223596576</v>
      </c>
      <c r="F95" s="41">
        <f t="shared" si="30"/>
        <v>2.0085632730732637</v>
      </c>
      <c r="G95" s="41">
        <f t="shared" si="30"/>
        <v>2.2350142721217887</v>
      </c>
      <c r="H95" s="41">
        <f t="shared" si="30"/>
        <v>2.0285442435775454</v>
      </c>
      <c r="I95" s="41">
        <f t="shared" si="30"/>
        <v>4.6194100856327305</v>
      </c>
      <c r="J95" s="41">
        <f t="shared" si="30"/>
        <v>3.764034253092293</v>
      </c>
      <c r="K95" s="41">
        <f t="shared" si="30"/>
        <v>3.906755470980019</v>
      </c>
      <c r="L95" s="41">
        <f t="shared" si="30"/>
        <v>3.8639391056137011</v>
      </c>
      <c r="M95" s="41">
        <f t="shared" si="30"/>
        <v>6.2607040913415792</v>
      </c>
      <c r="N95" s="41">
        <f t="shared" si="30"/>
        <v>4.7059942911512849</v>
      </c>
      <c r="O95" s="41">
        <f t="shared" si="30"/>
        <v>6.023786869647954</v>
      </c>
      <c r="P95" s="41">
        <f t="shared" si="30"/>
        <v>6.9324452901998095</v>
      </c>
      <c r="Q95" s="41">
        <f t="shared" si="30"/>
        <v>5.4405328258801138</v>
      </c>
    </row>
    <row r="96" spans="1:17">
      <c r="A96" t="s">
        <v>20</v>
      </c>
      <c r="B96" s="41">
        <f t="shared" ref="B96:Q96" si="31">IFERROR(IF($B29=0,"",B29/$B29),"")</f>
        <v>1</v>
      </c>
      <c r="C96" s="41">
        <f t="shared" si="31"/>
        <v>1.2310513447432763</v>
      </c>
      <c r="D96" s="41">
        <f t="shared" si="31"/>
        <v>1.5788508557457213</v>
      </c>
      <c r="E96" s="41">
        <f t="shared" si="31"/>
        <v>2.1106356968215159</v>
      </c>
      <c r="F96" s="41">
        <f t="shared" si="31"/>
        <v>2.6393643031784841</v>
      </c>
      <c r="G96" s="41">
        <f t="shared" si="31"/>
        <v>3.3899755501222493</v>
      </c>
      <c r="H96" s="41">
        <f t="shared" si="31"/>
        <v>0</v>
      </c>
      <c r="I96" s="41">
        <f t="shared" si="31"/>
        <v>0</v>
      </c>
      <c r="J96" s="41">
        <f t="shared" si="31"/>
        <v>0</v>
      </c>
      <c r="K96" s="41">
        <f t="shared" si="31"/>
        <v>0</v>
      </c>
      <c r="L96" s="41">
        <f t="shared" si="31"/>
        <v>0</v>
      </c>
      <c r="M96" s="41">
        <f t="shared" si="31"/>
        <v>0</v>
      </c>
      <c r="N96" s="41">
        <f t="shared" si="31"/>
        <v>0</v>
      </c>
      <c r="O96" s="41">
        <f t="shared" si="31"/>
        <v>0</v>
      </c>
      <c r="P96" s="41">
        <f t="shared" si="31"/>
        <v>0</v>
      </c>
      <c r="Q96" s="41">
        <f t="shared" si="31"/>
        <v>0</v>
      </c>
    </row>
    <row r="97" spans="1:17">
      <c r="A97" t="s">
        <v>21</v>
      </c>
      <c r="B97" s="41">
        <f t="shared" ref="B97:Q97" si="32">IFERROR(IF($B30=0,"",B30/$B30),"")</f>
        <v>1</v>
      </c>
      <c r="C97" s="41">
        <f t="shared" si="32"/>
        <v>1.4381513366560943</v>
      </c>
      <c r="D97" s="41">
        <f t="shared" si="32"/>
        <v>1.7584956955142728</v>
      </c>
      <c r="E97" s="41">
        <f t="shared" si="32"/>
        <v>1.7079746261893973</v>
      </c>
      <c r="F97" s="41">
        <f t="shared" si="32"/>
        <v>2.2109198006343451</v>
      </c>
      <c r="G97" s="41">
        <f t="shared" si="32"/>
        <v>3.0570910738559132</v>
      </c>
      <c r="H97" s="41">
        <f t="shared" si="32"/>
        <v>3.0686452197553238</v>
      </c>
      <c r="I97" s="41">
        <f t="shared" si="32"/>
        <v>4.0323969188944266</v>
      </c>
      <c r="J97" s="41">
        <f t="shared" si="32"/>
        <v>5.8470774807430903</v>
      </c>
      <c r="K97" s="41">
        <f t="shared" si="32"/>
        <v>5.1830539193475307</v>
      </c>
      <c r="L97" s="41">
        <f t="shared" si="32"/>
        <v>4.8312188491164481</v>
      </c>
      <c r="M97" s="41">
        <f t="shared" si="32"/>
        <v>5.7154508382419573</v>
      </c>
      <c r="N97" s="41">
        <f t="shared" si="32"/>
        <v>7.4191209787041235</v>
      </c>
      <c r="O97" s="41">
        <f t="shared" si="32"/>
        <v>7.1311735387403719</v>
      </c>
      <c r="P97" s="41">
        <f t="shared" si="32"/>
        <v>7.4383778885364746</v>
      </c>
      <c r="Q97" s="41">
        <f t="shared" si="32"/>
        <v>7.5169913910285455</v>
      </c>
    </row>
    <row r="98" spans="1:17">
      <c r="A98" t="s">
        <v>22</v>
      </c>
      <c r="B98" s="41">
        <f t="shared" ref="B98:Q98" si="33">IFERROR(IF($B31=0,"",B31/$B31),"")</f>
        <v>1</v>
      </c>
      <c r="C98" s="41">
        <f t="shared" si="33"/>
        <v>1.3138961415723818</v>
      </c>
      <c r="D98" s="41">
        <f t="shared" si="33"/>
        <v>1.8735131998839571</v>
      </c>
      <c r="E98" s="41">
        <f t="shared" si="33"/>
        <v>1.9965187119234116</v>
      </c>
      <c r="F98" s="41">
        <f t="shared" si="33"/>
        <v>2.8447925732521031</v>
      </c>
      <c r="G98" s="41">
        <f t="shared" si="33"/>
        <v>2.7673339135480126</v>
      </c>
      <c r="H98" s="41">
        <f t="shared" si="33"/>
        <v>2.4029590948651003</v>
      </c>
      <c r="I98" s="41">
        <f t="shared" si="33"/>
        <v>4.042935886277923</v>
      </c>
      <c r="J98" s="41">
        <f t="shared" si="33"/>
        <v>3.5065274151436032</v>
      </c>
      <c r="K98" s="41">
        <f t="shared" si="33"/>
        <v>3.5834058601682623</v>
      </c>
      <c r="L98" s="41">
        <f t="shared" si="33"/>
        <v>3.2677690745575863</v>
      </c>
      <c r="M98" s="41">
        <f t="shared" si="33"/>
        <v>4.0937046707281697</v>
      </c>
      <c r="N98" s="41">
        <f t="shared" si="33"/>
        <v>6.156948070786191</v>
      </c>
      <c r="O98" s="41">
        <f t="shared" si="33"/>
        <v>4.2631273571221353</v>
      </c>
      <c r="P98" s="41">
        <f t="shared" si="33"/>
        <v>4.1447635625181318</v>
      </c>
      <c r="Q98" s="41">
        <f t="shared" si="33"/>
        <v>4.2312155497534087</v>
      </c>
    </row>
    <row r="99" spans="1:17">
      <c r="A99" s="43" t="s">
        <v>23</v>
      </c>
      <c r="B99" s="44">
        <f t="shared" ref="B99:Q99" si="34">IFERROR(IF($B32=0,"",B32/$B32),"")</f>
        <v>1</v>
      </c>
      <c r="C99" s="44">
        <f t="shared" si="34"/>
        <v>1.0794183981956909</v>
      </c>
      <c r="D99" s="44">
        <f t="shared" si="34"/>
        <v>1.3832957435577522</v>
      </c>
      <c r="E99" s="44">
        <f t="shared" si="34"/>
        <v>1.758385719084409</v>
      </c>
      <c r="F99" s="44">
        <f t="shared" si="34"/>
        <v>1.6442967512836508</v>
      </c>
      <c r="G99" s="44">
        <f t="shared" si="34"/>
        <v>2.1444886990738521</v>
      </c>
      <c r="H99" s="44">
        <f t="shared" si="34"/>
        <v>2.5641585488747061</v>
      </c>
      <c r="I99" s="44">
        <f t="shared" si="34"/>
        <v>3.0866404338020059</v>
      </c>
      <c r="J99" s="44">
        <f t="shared" si="34"/>
        <v>3.1512788521522146</v>
      </c>
      <c r="K99" s="44">
        <f t="shared" si="34"/>
        <v>3.9065934065934065</v>
      </c>
      <c r="L99" s="44">
        <f t="shared" si="34"/>
        <v>3.4481740966457122</v>
      </c>
      <c r="M99" s="44">
        <f t="shared" si="34"/>
        <v>3.2351840299438552</v>
      </c>
      <c r="N99" s="44">
        <f t="shared" si="34"/>
        <v>3.2488363165219059</v>
      </c>
      <c r="O99" s="44">
        <f t="shared" si="34"/>
        <v>3.4446470560007678</v>
      </c>
      <c r="P99" s="44">
        <f t="shared" si="34"/>
        <v>3.6706895724362973</v>
      </c>
      <c r="Q99" s="44">
        <f t="shared" si="34"/>
        <v>3.5500023993473775</v>
      </c>
    </row>
    <row r="100" spans="1:17"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</row>
    <row r="101" spans="1:17">
      <c r="A101" t="s">
        <v>24</v>
      </c>
      <c r="B101" s="41">
        <f t="shared" ref="B101:Q101" si="35">IFERROR(IF($B34=0,"",B34/$B34),"")</f>
        <v>1</v>
      </c>
      <c r="C101" s="41">
        <f t="shared" si="35"/>
        <v>1.6310822147651007</v>
      </c>
      <c r="D101" s="41">
        <f t="shared" si="35"/>
        <v>3.2407718120805371</v>
      </c>
      <c r="E101" s="41">
        <f t="shared" si="35"/>
        <v>3.4809144295302015</v>
      </c>
      <c r="F101" s="41">
        <f t="shared" si="35"/>
        <v>4.325503355704698</v>
      </c>
      <c r="G101" s="41">
        <f t="shared" si="35"/>
        <v>4.7128775167785237</v>
      </c>
      <c r="H101" s="41">
        <f t="shared" si="35"/>
        <v>5.664848993288591</v>
      </c>
      <c r="I101" s="41">
        <f t="shared" si="35"/>
        <v>7.0853607382550337</v>
      </c>
      <c r="J101" s="41">
        <f t="shared" si="35"/>
        <v>8.6627516778523486</v>
      </c>
      <c r="K101" s="41">
        <f t="shared" si="35"/>
        <v>7.839345637583893</v>
      </c>
      <c r="L101" s="41">
        <f t="shared" si="35"/>
        <v>7.710989932885906</v>
      </c>
      <c r="M101" s="41">
        <f t="shared" si="35"/>
        <v>8.2718120805369129</v>
      </c>
      <c r="N101" s="41">
        <f t="shared" si="35"/>
        <v>8.8332634228187921</v>
      </c>
      <c r="O101" s="41">
        <f t="shared" si="35"/>
        <v>9.1684144295302019</v>
      </c>
      <c r="P101" s="41">
        <f t="shared" si="35"/>
        <v>9.5805369127516773</v>
      </c>
      <c r="Q101" s="41">
        <f t="shared" si="35"/>
        <v>10.451761744966444</v>
      </c>
    </row>
    <row r="102" spans="1:17">
      <c r="A102" t="s">
        <v>25</v>
      </c>
      <c r="B102" s="41">
        <f t="shared" ref="B102:Q102" si="36">IFERROR(IF($B35=0,"",B35/$B35),"")</f>
        <v>1</v>
      </c>
      <c r="C102" s="41">
        <f t="shared" si="36"/>
        <v>2.1904611870347761</v>
      </c>
      <c r="D102" s="41">
        <f t="shared" si="36"/>
        <v>3.6281359536843762</v>
      </c>
      <c r="E102" s="41">
        <f t="shared" si="36"/>
        <v>4.1831751407979203</v>
      </c>
      <c r="F102" s="41">
        <f t="shared" si="36"/>
        <v>5.1263045961167339</v>
      </c>
      <c r="G102" s="41">
        <f t="shared" si="36"/>
        <v>6.4615414910795161</v>
      </c>
      <c r="H102" s="41">
        <f t="shared" si="36"/>
        <v>6.7122208656610614</v>
      </c>
      <c r="I102" s="41">
        <f t="shared" si="36"/>
        <v>7.6686227403410658</v>
      </c>
      <c r="J102" s="41">
        <f t="shared" si="36"/>
        <v>6.7267535741010596</v>
      </c>
      <c r="K102" s="41">
        <f t="shared" si="36"/>
        <v>4.1487534953329916</v>
      </c>
      <c r="L102" s="41">
        <f t="shared" si="36"/>
        <v>3.9733370091764799</v>
      </c>
      <c r="M102" s="41">
        <f t="shared" si="36"/>
        <v>5.0363120790831397</v>
      </c>
      <c r="N102" s="41">
        <f t="shared" si="36"/>
        <v>4.757788192666693</v>
      </c>
      <c r="O102" s="41">
        <f t="shared" si="36"/>
        <v>3.9598282856130127</v>
      </c>
      <c r="P102" s="41">
        <f t="shared" si="36"/>
        <v>3.602812020007089</v>
      </c>
      <c r="Q102" s="41">
        <f t="shared" si="36"/>
        <v>3.0610452522547358</v>
      </c>
    </row>
    <row r="103" spans="1:17">
      <c r="A103" t="s">
        <v>26</v>
      </c>
      <c r="B103" s="41">
        <f t="shared" ref="B103:Q103" si="37">IFERROR(IF($B36=0,"",B36/$B36),"")</f>
        <v>1</v>
      </c>
      <c r="C103" s="41">
        <f t="shared" si="37"/>
        <v>1.2091767881241566</v>
      </c>
      <c r="D103" s="41">
        <f t="shared" si="37"/>
        <v>1.5317139001349527</v>
      </c>
      <c r="E103" s="41">
        <f t="shared" si="37"/>
        <v>2.1282051282051282</v>
      </c>
      <c r="F103" s="41">
        <f t="shared" si="37"/>
        <v>6.2294197031039138</v>
      </c>
      <c r="G103" s="41">
        <f t="shared" si="37"/>
        <v>6.904183535762483</v>
      </c>
      <c r="H103" s="41">
        <f t="shared" si="37"/>
        <v>7.3063427800269904</v>
      </c>
      <c r="I103" s="41">
        <f t="shared" si="37"/>
        <v>7.715249662618084</v>
      </c>
      <c r="J103" s="41">
        <f t="shared" si="37"/>
        <v>0</v>
      </c>
      <c r="K103" s="41">
        <f t="shared" si="37"/>
        <v>0</v>
      </c>
      <c r="L103" s="41">
        <f t="shared" si="37"/>
        <v>0</v>
      </c>
      <c r="M103" s="41">
        <f t="shared" si="37"/>
        <v>0</v>
      </c>
      <c r="N103" s="41">
        <f t="shared" si="37"/>
        <v>0</v>
      </c>
      <c r="O103" s="41">
        <f t="shared" si="37"/>
        <v>0</v>
      </c>
      <c r="P103" s="41">
        <f t="shared" si="37"/>
        <v>0</v>
      </c>
      <c r="Q103" s="41">
        <f t="shared" si="37"/>
        <v>0</v>
      </c>
    </row>
    <row r="104" spans="1:17">
      <c r="A104" t="s">
        <v>27</v>
      </c>
      <c r="B104" s="41">
        <f t="shared" ref="B104:Q104" si="38">IFERROR(IF($B37=0,"",B37/$B37),"")</f>
        <v>1</v>
      </c>
      <c r="C104" s="41">
        <f t="shared" si="38"/>
        <v>10.339181286549708</v>
      </c>
      <c r="D104" s="41">
        <f t="shared" si="38"/>
        <v>12.350877192982455</v>
      </c>
      <c r="E104" s="41">
        <f t="shared" si="38"/>
        <v>12.219298245614034</v>
      </c>
      <c r="F104" s="41">
        <f t="shared" si="38"/>
        <v>12.111111111111111</v>
      </c>
      <c r="G104" s="41">
        <f t="shared" si="38"/>
        <v>11.383040935672515</v>
      </c>
      <c r="H104" s="41">
        <f t="shared" si="38"/>
        <v>9.3742690058479532</v>
      </c>
      <c r="I104" s="41">
        <f t="shared" si="38"/>
        <v>6.7192982456140351</v>
      </c>
      <c r="J104" s="41">
        <f t="shared" si="38"/>
        <v>0</v>
      </c>
      <c r="K104" s="41">
        <f t="shared" si="38"/>
        <v>0</v>
      </c>
      <c r="L104" s="41">
        <f t="shared" si="38"/>
        <v>0</v>
      </c>
      <c r="M104" s="41">
        <f t="shared" si="38"/>
        <v>0</v>
      </c>
      <c r="N104" s="41">
        <f t="shared" si="38"/>
        <v>0</v>
      </c>
      <c r="O104" s="41">
        <f t="shared" si="38"/>
        <v>0</v>
      </c>
      <c r="P104" s="41">
        <f t="shared" si="38"/>
        <v>0</v>
      </c>
      <c r="Q104" s="41">
        <f t="shared" si="38"/>
        <v>0</v>
      </c>
    </row>
    <row r="105" spans="1:17">
      <c r="A105" t="s">
        <v>28</v>
      </c>
      <c r="B105" s="41">
        <f t="shared" ref="B105:Q105" si="39">IFERROR(IF($B38=0,"",B38/$B38),"")</f>
        <v>1</v>
      </c>
      <c r="C105" s="41">
        <f t="shared" si="39"/>
        <v>1.5713654441007512</v>
      </c>
      <c r="D105" s="41">
        <f t="shared" si="39"/>
        <v>2.4206805125939019</v>
      </c>
      <c r="E105" s="41">
        <f t="shared" si="39"/>
        <v>2.2739726027397262</v>
      </c>
      <c r="F105" s="41">
        <f t="shared" si="39"/>
        <v>1.6632788334069819</v>
      </c>
      <c r="G105" s="41">
        <f t="shared" si="39"/>
        <v>2.4551480335837383</v>
      </c>
      <c r="H105" s="41">
        <f t="shared" si="39"/>
        <v>3.8696420680512595</v>
      </c>
      <c r="I105" s="41">
        <f t="shared" si="39"/>
        <v>4.4904993371630582</v>
      </c>
      <c r="J105" s="41">
        <f t="shared" si="39"/>
        <v>0</v>
      </c>
      <c r="K105" s="41">
        <f t="shared" si="39"/>
        <v>0</v>
      </c>
      <c r="L105" s="41">
        <f t="shared" si="39"/>
        <v>0</v>
      </c>
      <c r="M105" s="41">
        <f t="shared" si="39"/>
        <v>0</v>
      </c>
      <c r="N105" s="41">
        <f t="shared" si="39"/>
        <v>0</v>
      </c>
      <c r="O105" s="41">
        <f t="shared" si="39"/>
        <v>0</v>
      </c>
      <c r="P105" s="41">
        <f t="shared" si="39"/>
        <v>0</v>
      </c>
      <c r="Q105" s="41">
        <f t="shared" si="39"/>
        <v>0</v>
      </c>
    </row>
    <row r="106" spans="1:17">
      <c r="A106" t="s">
        <v>29</v>
      </c>
      <c r="B106" s="41" t="str">
        <f t="shared" ref="B106:Q106" si="40">IFERROR(IF($B39=0,"",B39/$B39),"")</f>
        <v/>
      </c>
      <c r="C106" s="41" t="str">
        <f t="shared" si="40"/>
        <v/>
      </c>
      <c r="D106" s="41" t="str">
        <f t="shared" si="40"/>
        <v/>
      </c>
      <c r="E106" s="41" t="str">
        <f t="shared" si="40"/>
        <v/>
      </c>
      <c r="F106" s="41" t="str">
        <f t="shared" si="40"/>
        <v/>
      </c>
      <c r="G106" s="41" t="str">
        <f t="shared" si="40"/>
        <v/>
      </c>
      <c r="H106" s="41" t="str">
        <f t="shared" si="40"/>
        <v/>
      </c>
      <c r="I106" s="41" t="str">
        <f t="shared" si="40"/>
        <v/>
      </c>
      <c r="J106" s="41" t="str">
        <f t="shared" si="40"/>
        <v/>
      </c>
      <c r="K106" s="41" t="str">
        <f t="shared" si="40"/>
        <v/>
      </c>
      <c r="L106" s="41" t="str">
        <f t="shared" si="40"/>
        <v/>
      </c>
      <c r="M106" s="41" t="str">
        <f t="shared" si="40"/>
        <v/>
      </c>
      <c r="N106" s="41" t="str">
        <f t="shared" si="40"/>
        <v/>
      </c>
      <c r="O106" s="41" t="str">
        <f t="shared" si="40"/>
        <v/>
      </c>
      <c r="P106" s="41" t="str">
        <f t="shared" si="40"/>
        <v/>
      </c>
      <c r="Q106" s="41" t="str">
        <f t="shared" si="40"/>
        <v/>
      </c>
    </row>
    <row r="107" spans="1:17">
      <c r="A107" s="43" t="s">
        <v>30</v>
      </c>
      <c r="B107" s="44">
        <f t="shared" ref="B107:Q107" si="41">IFERROR(IF($B40=0,"",B40/$B40),"")</f>
        <v>1</v>
      </c>
      <c r="C107" s="44">
        <f t="shared" si="41"/>
        <v>2.1305178331592298</v>
      </c>
      <c r="D107" s="44">
        <f t="shared" si="41"/>
        <v>3.5341292344426205</v>
      </c>
      <c r="E107" s="44">
        <f t="shared" si="41"/>
        <v>3.9908670347709299</v>
      </c>
      <c r="F107" s="44">
        <f t="shared" si="41"/>
        <v>4.8741381883301003</v>
      </c>
      <c r="G107" s="44">
        <f t="shared" si="41"/>
        <v>6.0021190867034768</v>
      </c>
      <c r="H107" s="44">
        <f t="shared" si="41"/>
        <v>6.4114908222653337</v>
      </c>
      <c r="I107" s="44">
        <f t="shared" si="41"/>
        <v>7.3623041337113859</v>
      </c>
      <c r="J107" s="44">
        <f t="shared" si="41"/>
        <v>6.9955529025518581</v>
      </c>
      <c r="K107" s="44">
        <f t="shared" si="41"/>
        <v>5.2439038949410532</v>
      </c>
      <c r="L107" s="44">
        <f t="shared" si="41"/>
        <v>5.3775555887181019</v>
      </c>
      <c r="M107" s="44">
        <f t="shared" si="41"/>
        <v>6.4517534696313987</v>
      </c>
      <c r="N107" s="44">
        <f t="shared" si="41"/>
        <v>6.487091478883749</v>
      </c>
      <c r="O107" s="44">
        <f t="shared" si="41"/>
        <v>6.2383823309953739</v>
      </c>
      <c r="P107" s="44">
        <f t="shared" si="41"/>
        <v>6.327204894791822</v>
      </c>
      <c r="Q107" s="44">
        <f t="shared" si="41"/>
        <v>6.3060438740486493</v>
      </c>
    </row>
    <row r="108" spans="1:17">
      <c r="A108" s="43" t="s">
        <v>31</v>
      </c>
      <c r="B108" s="44">
        <f t="shared" ref="B108:Q108" si="42">IFERROR(IF($B41=0,"",B41/$B41),"")</f>
        <v>1</v>
      </c>
      <c r="C108" s="44">
        <f t="shared" si="42"/>
        <v>1.5478366120000533</v>
      </c>
      <c r="D108" s="44">
        <f t="shared" si="42"/>
        <v>2.3418059933761621</v>
      </c>
      <c r="E108" s="44">
        <f t="shared" si="42"/>
        <v>2.7532819919396672</v>
      </c>
      <c r="F108" s="44">
        <f t="shared" si="42"/>
        <v>3.083662530093239</v>
      </c>
      <c r="G108" s="44">
        <f t="shared" si="42"/>
        <v>3.8636260856842637</v>
      </c>
      <c r="H108" s="44">
        <f t="shared" si="42"/>
        <v>4.2787066225077481</v>
      </c>
      <c r="I108" s="44">
        <f t="shared" si="42"/>
        <v>4.9920726760038843</v>
      </c>
      <c r="J108" s="44">
        <f t="shared" si="42"/>
        <v>4.8644640410731146</v>
      </c>
      <c r="K108" s="44">
        <f t="shared" si="42"/>
        <v>4.5025604192437116</v>
      </c>
      <c r="L108" s="44">
        <f t="shared" si="42"/>
        <v>4.3079951584799758</v>
      </c>
      <c r="M108" s="44">
        <f t="shared" si="42"/>
        <v>4.6686351967865072</v>
      </c>
      <c r="N108" s="44">
        <f t="shared" si="42"/>
        <v>4.691951638003272</v>
      </c>
      <c r="O108" s="44">
        <f t="shared" si="42"/>
        <v>4.6896638867829168</v>
      </c>
      <c r="P108" s="44">
        <f t="shared" si="42"/>
        <v>4.8545548860779695</v>
      </c>
      <c r="Q108" s="44">
        <f t="shared" si="42"/>
        <v>4.778221140417382</v>
      </c>
    </row>
    <row r="109" spans="1:17"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</row>
    <row r="110" spans="1:17">
      <c r="A110" t="s">
        <v>32</v>
      </c>
      <c r="B110" s="41" t="str">
        <f t="shared" ref="B110:Q110" si="43">IFERROR(IF($B43=0,"",B43/$B43),"")</f>
        <v/>
      </c>
      <c r="C110" s="41" t="str">
        <f t="shared" si="43"/>
        <v/>
      </c>
      <c r="D110" s="41" t="str">
        <f t="shared" si="43"/>
        <v/>
      </c>
      <c r="E110" s="41" t="str">
        <f t="shared" si="43"/>
        <v/>
      </c>
      <c r="F110" s="41" t="str">
        <f t="shared" si="43"/>
        <v/>
      </c>
      <c r="G110" s="41" t="str">
        <f t="shared" si="43"/>
        <v/>
      </c>
      <c r="H110" s="41" t="str">
        <f t="shared" si="43"/>
        <v/>
      </c>
      <c r="I110" s="41" t="str">
        <f t="shared" si="43"/>
        <v/>
      </c>
      <c r="J110" s="41" t="str">
        <f t="shared" si="43"/>
        <v/>
      </c>
      <c r="K110" s="41" t="str">
        <f t="shared" si="43"/>
        <v/>
      </c>
      <c r="L110" s="41" t="str">
        <f t="shared" si="43"/>
        <v/>
      </c>
      <c r="M110" s="41" t="str">
        <f t="shared" si="43"/>
        <v/>
      </c>
      <c r="N110" s="41" t="str">
        <f t="shared" si="43"/>
        <v/>
      </c>
      <c r="O110" s="41" t="str">
        <f t="shared" si="43"/>
        <v/>
      </c>
      <c r="P110" s="41" t="str">
        <f t="shared" si="43"/>
        <v/>
      </c>
      <c r="Q110" s="41" t="str">
        <f t="shared" si="43"/>
        <v/>
      </c>
    </row>
    <row r="111" spans="1:17">
      <c r="A111" t="s">
        <v>33</v>
      </c>
      <c r="B111" s="41">
        <f t="shared" ref="B111:Q111" si="44">IFERROR(IF($B44=0,"",B44/$B44),"")</f>
        <v>1</v>
      </c>
      <c r="C111" s="41">
        <f t="shared" si="44"/>
        <v>1.2178110694964628</v>
      </c>
      <c r="D111" s="41">
        <f t="shared" si="44"/>
        <v>1.7623803578859758</v>
      </c>
      <c r="E111" s="41">
        <f t="shared" si="44"/>
        <v>1.8615896795672076</v>
      </c>
      <c r="F111" s="41">
        <f t="shared" si="44"/>
        <v>2.5131918435289222</v>
      </c>
      <c r="G111" s="41">
        <f t="shared" si="44"/>
        <v>2.9538077403245944</v>
      </c>
      <c r="H111" s="41">
        <f t="shared" si="44"/>
        <v>3.1039533915938411</v>
      </c>
      <c r="I111" s="41">
        <f t="shared" si="44"/>
        <v>4.0823137744486058</v>
      </c>
      <c r="J111" s="41">
        <f t="shared" si="44"/>
        <v>4.6515189346650017</v>
      </c>
      <c r="K111" s="41">
        <f t="shared" si="44"/>
        <v>3.8481897627965043</v>
      </c>
      <c r="L111" s="41">
        <f t="shared" si="44"/>
        <v>3.5202663337494799</v>
      </c>
      <c r="M111" s="41">
        <f t="shared" si="44"/>
        <v>4.5578859758635035</v>
      </c>
      <c r="N111" s="41">
        <f t="shared" si="44"/>
        <v>5.3362463587182685</v>
      </c>
      <c r="O111" s="41">
        <f t="shared" si="44"/>
        <v>5.2110694964627546</v>
      </c>
      <c r="P111" s="41">
        <f t="shared" si="44"/>
        <v>5.7394923012900545</v>
      </c>
      <c r="Q111" s="41">
        <f t="shared" si="44"/>
        <v>5.8143986683312523</v>
      </c>
    </row>
    <row r="112" spans="1:17">
      <c r="A112" t="s">
        <v>34</v>
      </c>
      <c r="B112" s="41">
        <f t="shared" ref="B112:Q112" si="45">IFERROR(IF($B45=0,"",B45/$B45),"")</f>
        <v>1</v>
      </c>
      <c r="C112" s="41">
        <f t="shared" si="45"/>
        <v>1.6157609645290931</v>
      </c>
      <c r="D112" s="41">
        <f t="shared" si="45"/>
        <v>1.9944085269963305</v>
      </c>
      <c r="E112" s="41">
        <f t="shared" si="45"/>
        <v>2.4211078105888522</v>
      </c>
      <c r="F112" s="41">
        <f t="shared" si="45"/>
        <v>3.2243578542722346</v>
      </c>
      <c r="G112" s="41">
        <f t="shared" si="45"/>
        <v>4.3999650532937267</v>
      </c>
      <c r="H112" s="41">
        <f t="shared" si="45"/>
        <v>3.8488554953695613</v>
      </c>
      <c r="I112" s="41">
        <f t="shared" si="45"/>
        <v>4.4983400314520354</v>
      </c>
      <c r="J112" s="41">
        <f t="shared" si="45"/>
        <v>0</v>
      </c>
      <c r="K112" s="41">
        <f t="shared" si="45"/>
        <v>0</v>
      </c>
      <c r="L112" s="41">
        <f t="shared" si="45"/>
        <v>0</v>
      </c>
      <c r="M112" s="41">
        <f t="shared" si="45"/>
        <v>0</v>
      </c>
      <c r="N112" s="41">
        <f t="shared" si="45"/>
        <v>0</v>
      </c>
      <c r="O112" s="41">
        <f t="shared" si="45"/>
        <v>0</v>
      </c>
      <c r="P112" s="41">
        <f t="shared" si="45"/>
        <v>0</v>
      </c>
      <c r="Q112" s="41">
        <f t="shared" si="45"/>
        <v>0</v>
      </c>
    </row>
    <row r="113" spans="1:17">
      <c r="A113" t="s">
        <v>35</v>
      </c>
      <c r="B113" s="41">
        <f t="shared" ref="B113:Q113" si="46">IFERROR(IF($B46=0,"",B46/$B46),"")</f>
        <v>1</v>
      </c>
      <c r="C113" s="41">
        <f t="shared" si="46"/>
        <v>1.3709785522788205</v>
      </c>
      <c r="D113" s="41">
        <f t="shared" si="46"/>
        <v>1.9949731903485255</v>
      </c>
      <c r="E113" s="41">
        <f t="shared" si="46"/>
        <v>2.4916219839142091</v>
      </c>
      <c r="F113" s="41">
        <f t="shared" si="46"/>
        <v>2.8455093833780163</v>
      </c>
      <c r="G113" s="41">
        <f t="shared" si="46"/>
        <v>2.9959785522788205</v>
      </c>
      <c r="H113" s="41">
        <f t="shared" si="46"/>
        <v>2.707774798927614</v>
      </c>
      <c r="I113" s="41">
        <f t="shared" si="46"/>
        <v>2.5294906166219837</v>
      </c>
      <c r="J113" s="41">
        <f t="shared" si="46"/>
        <v>2.5278150134048256</v>
      </c>
      <c r="K113" s="41">
        <f t="shared" si="46"/>
        <v>1.8505361930294906</v>
      </c>
      <c r="L113" s="41">
        <f t="shared" si="46"/>
        <v>2.2262064343163539</v>
      </c>
      <c r="M113" s="41">
        <f t="shared" si="46"/>
        <v>2.5509383378016084</v>
      </c>
      <c r="N113" s="41">
        <f t="shared" si="46"/>
        <v>2.6514745308310994</v>
      </c>
      <c r="O113" s="41">
        <f t="shared" si="46"/>
        <v>2.701407506702413</v>
      </c>
      <c r="P113" s="41">
        <f t="shared" si="46"/>
        <v>2.7644101876675604</v>
      </c>
      <c r="Q113" s="41">
        <f t="shared" si="46"/>
        <v>3.0345174262734584</v>
      </c>
    </row>
    <row r="114" spans="1:17">
      <c r="A114" t="s">
        <v>36</v>
      </c>
      <c r="B114" s="41" t="str">
        <f t="shared" ref="B114:Q114" si="47">IFERROR(IF($B47=0,"",B47/$B47),"")</f>
        <v/>
      </c>
      <c r="C114" s="41" t="str">
        <f t="shared" si="47"/>
        <v/>
      </c>
      <c r="D114" s="41" t="str">
        <f t="shared" si="47"/>
        <v/>
      </c>
      <c r="E114" s="41" t="str">
        <f t="shared" si="47"/>
        <v/>
      </c>
      <c r="F114" s="41" t="str">
        <f t="shared" si="47"/>
        <v/>
      </c>
      <c r="G114" s="41" t="str">
        <f t="shared" si="47"/>
        <v/>
      </c>
      <c r="H114" s="41" t="str">
        <f t="shared" si="47"/>
        <v/>
      </c>
      <c r="I114" s="41" t="str">
        <f t="shared" si="47"/>
        <v/>
      </c>
      <c r="J114" s="41" t="str">
        <f t="shared" si="47"/>
        <v/>
      </c>
      <c r="K114" s="41" t="str">
        <f t="shared" si="47"/>
        <v/>
      </c>
      <c r="L114" s="41" t="str">
        <f t="shared" si="47"/>
        <v/>
      </c>
      <c r="M114" s="41" t="str">
        <f t="shared" si="47"/>
        <v/>
      </c>
      <c r="N114" s="41" t="str">
        <f t="shared" si="47"/>
        <v/>
      </c>
      <c r="O114" s="41" t="str">
        <f t="shared" si="47"/>
        <v/>
      </c>
      <c r="P114" s="41" t="str">
        <f t="shared" si="47"/>
        <v/>
      </c>
      <c r="Q114" s="41" t="str">
        <f t="shared" si="47"/>
        <v/>
      </c>
    </row>
    <row r="115" spans="1:17">
      <c r="A115" t="s">
        <v>37</v>
      </c>
      <c r="B115" s="41" t="str">
        <f t="shared" ref="B115:Q115" si="48">IFERROR(IF($B48=0,"",B48/$B48),"")</f>
        <v/>
      </c>
      <c r="C115" s="41" t="str">
        <f t="shared" si="48"/>
        <v/>
      </c>
      <c r="D115" s="41" t="str">
        <f t="shared" si="48"/>
        <v/>
      </c>
      <c r="E115" s="41" t="str">
        <f t="shared" si="48"/>
        <v/>
      </c>
      <c r="F115" s="41" t="str">
        <f t="shared" si="48"/>
        <v/>
      </c>
      <c r="G115" s="41" t="str">
        <f t="shared" si="48"/>
        <v/>
      </c>
      <c r="H115" s="41" t="str">
        <f t="shared" si="48"/>
        <v/>
      </c>
      <c r="I115" s="41" t="str">
        <f t="shared" si="48"/>
        <v/>
      </c>
      <c r="J115" s="41" t="str">
        <f t="shared" si="48"/>
        <v/>
      </c>
      <c r="K115" s="41" t="str">
        <f t="shared" si="48"/>
        <v/>
      </c>
      <c r="L115" s="41" t="str">
        <f t="shared" si="48"/>
        <v/>
      </c>
      <c r="M115" s="41" t="str">
        <f t="shared" si="48"/>
        <v/>
      </c>
      <c r="N115" s="41" t="str">
        <f t="shared" si="48"/>
        <v/>
      </c>
      <c r="O115" s="41" t="str">
        <f t="shared" si="48"/>
        <v/>
      </c>
      <c r="P115" s="41" t="str">
        <f t="shared" si="48"/>
        <v/>
      </c>
      <c r="Q115" s="41" t="str">
        <f t="shared" si="48"/>
        <v/>
      </c>
    </row>
    <row r="116" spans="1:17">
      <c r="A116" t="s">
        <v>38</v>
      </c>
      <c r="B116" s="41" t="str">
        <f t="shared" ref="B116:Q116" si="49">IFERROR(IF($B49=0,"",B49/$B49),"")</f>
        <v/>
      </c>
      <c r="C116" s="41" t="str">
        <f t="shared" si="49"/>
        <v/>
      </c>
      <c r="D116" s="41" t="str">
        <f t="shared" si="49"/>
        <v/>
      </c>
      <c r="E116" s="41" t="str">
        <f t="shared" si="49"/>
        <v/>
      </c>
      <c r="F116" s="41" t="str">
        <f t="shared" si="49"/>
        <v/>
      </c>
      <c r="G116" s="41" t="str">
        <f t="shared" si="49"/>
        <v/>
      </c>
      <c r="H116" s="41" t="str">
        <f t="shared" si="49"/>
        <v/>
      </c>
      <c r="I116" s="41" t="str">
        <f t="shared" si="49"/>
        <v/>
      </c>
      <c r="J116" s="41" t="str">
        <f t="shared" si="49"/>
        <v/>
      </c>
      <c r="K116" s="41" t="str">
        <f t="shared" si="49"/>
        <v/>
      </c>
      <c r="L116" s="41" t="str">
        <f t="shared" si="49"/>
        <v/>
      </c>
      <c r="M116" s="41" t="str">
        <f t="shared" si="49"/>
        <v/>
      </c>
      <c r="N116" s="41" t="str">
        <f t="shared" si="49"/>
        <v/>
      </c>
      <c r="O116" s="41" t="str">
        <f t="shared" si="49"/>
        <v/>
      </c>
      <c r="P116" s="41" t="str">
        <f t="shared" si="49"/>
        <v/>
      </c>
      <c r="Q116" s="41" t="str">
        <f t="shared" si="49"/>
        <v/>
      </c>
    </row>
    <row r="117" spans="1:17">
      <c r="A117" s="43" t="s">
        <v>39</v>
      </c>
      <c r="B117" s="44">
        <f t="shared" ref="B117:Q117" si="50">IFERROR(IF($B50=0,"",B50/$B50),"")</f>
        <v>1</v>
      </c>
      <c r="C117" s="44">
        <f t="shared" si="50"/>
        <v>1.3497731879162242</v>
      </c>
      <c r="D117" s="44">
        <f t="shared" si="50"/>
        <v>1.8599556027410482</v>
      </c>
      <c r="E117" s="44">
        <f t="shared" si="50"/>
        <v>2.1068429688254029</v>
      </c>
      <c r="F117" s="44">
        <f t="shared" si="50"/>
        <v>3.0618666151915837</v>
      </c>
      <c r="G117" s="44">
        <f t="shared" si="50"/>
        <v>3.8900685262040344</v>
      </c>
      <c r="H117" s="44">
        <f t="shared" si="50"/>
        <v>3.8126628703793068</v>
      </c>
      <c r="I117" s="44">
        <f t="shared" si="50"/>
        <v>4.8650709390985423</v>
      </c>
      <c r="J117" s="44">
        <f t="shared" si="50"/>
        <v>5.6397065920277969</v>
      </c>
      <c r="K117" s="44">
        <f t="shared" si="50"/>
        <v>5.1017276324679086</v>
      </c>
      <c r="L117" s="44">
        <f t="shared" si="50"/>
        <v>5.0859955602741049</v>
      </c>
      <c r="M117" s="44">
        <f t="shared" si="50"/>
        <v>6.0554483157996328</v>
      </c>
      <c r="N117" s="44">
        <f t="shared" si="50"/>
        <v>7.4308464433934951</v>
      </c>
      <c r="O117" s="44">
        <f t="shared" si="50"/>
        <v>7.0122575041019211</v>
      </c>
      <c r="P117" s="44">
        <f t="shared" si="50"/>
        <v>8.512305761992085</v>
      </c>
      <c r="Q117" s="44">
        <f t="shared" si="50"/>
        <v>7.993002605926069</v>
      </c>
    </row>
    <row r="118" spans="1:17"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</row>
    <row r="119" spans="1:17">
      <c r="A119" t="s">
        <v>40</v>
      </c>
      <c r="B119" s="41" t="str">
        <f t="shared" ref="B119:Q119" si="51">IFERROR(IF($B52=0,"",B52/$B52),"")</f>
        <v/>
      </c>
      <c r="C119" s="41" t="str">
        <f t="shared" si="51"/>
        <v/>
      </c>
      <c r="D119" s="41" t="str">
        <f t="shared" si="51"/>
        <v/>
      </c>
      <c r="E119" s="41" t="str">
        <f t="shared" si="51"/>
        <v/>
      </c>
      <c r="F119" s="41" t="str">
        <f t="shared" si="51"/>
        <v/>
      </c>
      <c r="G119" s="41" t="str">
        <f t="shared" si="51"/>
        <v/>
      </c>
      <c r="H119" s="41" t="str">
        <f t="shared" si="51"/>
        <v/>
      </c>
      <c r="I119" s="41" t="str">
        <f t="shared" si="51"/>
        <v/>
      </c>
      <c r="J119" s="41" t="str">
        <f t="shared" si="51"/>
        <v/>
      </c>
      <c r="K119" s="41" t="str">
        <f t="shared" si="51"/>
        <v/>
      </c>
      <c r="L119" s="41" t="str">
        <f t="shared" si="51"/>
        <v/>
      </c>
      <c r="M119" s="41" t="str">
        <f t="shared" si="51"/>
        <v/>
      </c>
      <c r="N119" s="41" t="str">
        <f t="shared" si="51"/>
        <v/>
      </c>
      <c r="O119" s="41" t="str">
        <f t="shared" si="51"/>
        <v/>
      </c>
      <c r="P119" s="41" t="str">
        <f t="shared" si="51"/>
        <v/>
      </c>
      <c r="Q119" s="41" t="str">
        <f t="shared" si="51"/>
        <v/>
      </c>
    </row>
    <row r="120" spans="1:17">
      <c r="A120" t="s">
        <v>41</v>
      </c>
      <c r="B120" s="41">
        <f t="shared" ref="B120:Q120" si="52">IFERROR(IF($B53=0,"",B53/$B53),"")</f>
        <v>1</v>
      </c>
      <c r="C120" s="41">
        <f t="shared" si="52"/>
        <v>1.4802458296751537</v>
      </c>
      <c r="D120" s="41">
        <f t="shared" si="52"/>
        <v>2.3248463564530288</v>
      </c>
      <c r="E120" s="41">
        <f t="shared" si="52"/>
        <v>2.3046532045654082</v>
      </c>
      <c r="F120" s="41">
        <f t="shared" si="52"/>
        <v>2.6611062335381912</v>
      </c>
      <c r="G120" s="41">
        <f t="shared" si="52"/>
        <v>3.1817383669885864</v>
      </c>
      <c r="H120" s="41">
        <f t="shared" si="52"/>
        <v>2.5724319578577699</v>
      </c>
      <c r="I120" s="41">
        <f t="shared" si="52"/>
        <v>2.4899034240561897</v>
      </c>
      <c r="J120" s="41">
        <f t="shared" si="52"/>
        <v>2.4556628621597891</v>
      </c>
      <c r="K120" s="41">
        <f t="shared" si="52"/>
        <v>0</v>
      </c>
      <c r="L120" s="41">
        <f t="shared" si="52"/>
        <v>0</v>
      </c>
      <c r="M120" s="41">
        <f t="shared" si="52"/>
        <v>0</v>
      </c>
      <c r="N120" s="41">
        <f t="shared" si="52"/>
        <v>0</v>
      </c>
      <c r="O120" s="41">
        <f t="shared" si="52"/>
        <v>0</v>
      </c>
      <c r="P120" s="41">
        <f t="shared" si="52"/>
        <v>0</v>
      </c>
      <c r="Q120" s="41">
        <f t="shared" si="52"/>
        <v>0</v>
      </c>
    </row>
    <row r="121" spans="1:17">
      <c r="A121" t="s">
        <v>42</v>
      </c>
      <c r="B121" s="41">
        <f t="shared" ref="B121:Q121" si="53">IFERROR(IF($B54=0,"",B54/$B54),"")</f>
        <v>1</v>
      </c>
      <c r="C121" s="41">
        <f t="shared" si="53"/>
        <v>1.8260712348580728</v>
      </c>
      <c r="D121" s="41">
        <f t="shared" si="53"/>
        <v>3.0128367383836556</v>
      </c>
      <c r="E121" s="41">
        <f t="shared" si="53"/>
        <v>3.6535888627734585</v>
      </c>
      <c r="F121" s="41">
        <f t="shared" si="53"/>
        <v>4.4885192551075752</v>
      </c>
      <c r="G121" s="41">
        <f t="shared" si="53"/>
        <v>6.0435725908515643</v>
      </c>
      <c r="H121" s="41">
        <f t="shared" si="53"/>
        <v>6.5221478936901107</v>
      </c>
      <c r="I121" s="41">
        <f t="shared" si="53"/>
        <v>7.3069969264147536</v>
      </c>
      <c r="J121" s="41">
        <f t="shared" si="53"/>
        <v>8.1685047911770017</v>
      </c>
      <c r="K121" s="41">
        <f t="shared" si="53"/>
        <v>9.1308985716868563</v>
      </c>
      <c r="L121" s="41">
        <f t="shared" si="53"/>
        <v>9.8517447116253845</v>
      </c>
      <c r="M121" s="41">
        <f t="shared" si="53"/>
        <v>9.641113722654131</v>
      </c>
      <c r="N121" s="41">
        <f t="shared" si="53"/>
        <v>8.8848309528114271</v>
      </c>
      <c r="O121" s="41">
        <f t="shared" si="53"/>
        <v>9.0124751401193279</v>
      </c>
      <c r="P121" s="41">
        <f t="shared" si="53"/>
        <v>8.2965105767492311</v>
      </c>
      <c r="Q121" s="41">
        <f t="shared" si="53"/>
        <v>7.5120231422889168</v>
      </c>
    </row>
    <row r="122" spans="1:17">
      <c r="A122" s="43" t="s">
        <v>43</v>
      </c>
      <c r="B122" s="44">
        <f t="shared" ref="B122:Q122" si="54">IFERROR(IF($B55=0,"",B55/$B55),"")</f>
        <v>1</v>
      </c>
      <c r="C122" s="44">
        <f t="shared" si="54"/>
        <v>1.7670164917541229</v>
      </c>
      <c r="D122" s="44">
        <f t="shared" si="54"/>
        <v>2.8953523238380812</v>
      </c>
      <c r="E122" s="44">
        <f t="shared" si="54"/>
        <v>5.9659670164917538</v>
      </c>
      <c r="F122" s="44">
        <f t="shared" si="54"/>
        <v>8.5223388305847081</v>
      </c>
      <c r="G122" s="44">
        <f t="shared" si="54"/>
        <v>13.570314842578711</v>
      </c>
      <c r="H122" s="44">
        <f t="shared" si="54"/>
        <v>17.15607196401799</v>
      </c>
      <c r="I122" s="44">
        <f t="shared" si="54"/>
        <v>21.058170914542728</v>
      </c>
      <c r="J122" s="44">
        <f t="shared" si="54"/>
        <v>21.246176911544229</v>
      </c>
      <c r="K122" s="44">
        <f t="shared" si="54"/>
        <v>21.335832083958021</v>
      </c>
      <c r="L122" s="44">
        <f t="shared" si="54"/>
        <v>22.96206896551724</v>
      </c>
      <c r="M122" s="44">
        <f t="shared" si="54"/>
        <v>24.352473763118439</v>
      </c>
      <c r="N122" s="44">
        <f t="shared" si="54"/>
        <v>22.204047976011996</v>
      </c>
      <c r="O122" s="44">
        <f t="shared" si="54"/>
        <v>21.758470764617691</v>
      </c>
      <c r="P122" s="44">
        <f t="shared" si="54"/>
        <v>19.735832083958019</v>
      </c>
      <c r="Q122" s="44">
        <f t="shared" si="54"/>
        <v>17.972563718140929</v>
      </c>
    </row>
    <row r="123" spans="1:17">
      <c r="A123" s="43" t="s">
        <v>44</v>
      </c>
      <c r="B123" s="44">
        <f t="shared" ref="B123:Q123" si="55">IFERROR(IF($B56=0,"",B56/$B56),"")</f>
        <v>1</v>
      </c>
      <c r="C123" s="44">
        <f t="shared" si="55"/>
        <v>1.4513726635514019</v>
      </c>
      <c r="D123" s="44">
        <f t="shared" si="55"/>
        <v>2.1120765186915889</v>
      </c>
      <c r="E123" s="44">
        <f t="shared" si="55"/>
        <v>3.0465464369158877</v>
      </c>
      <c r="F123" s="44">
        <f t="shared" si="55"/>
        <v>4.3915011682242993</v>
      </c>
      <c r="G123" s="44">
        <f t="shared" si="55"/>
        <v>6.2472254672897201</v>
      </c>
      <c r="H123" s="44">
        <f t="shared" si="55"/>
        <v>7.06180636682243</v>
      </c>
      <c r="I123" s="44">
        <f t="shared" si="55"/>
        <v>8.8081191588785046</v>
      </c>
      <c r="J123" s="44">
        <f t="shared" si="55"/>
        <v>9.4399094626168232</v>
      </c>
      <c r="K123" s="44">
        <f t="shared" si="55"/>
        <v>9.0547605140186924</v>
      </c>
      <c r="L123" s="44">
        <f t="shared" si="55"/>
        <v>9.4388507593457938</v>
      </c>
      <c r="M123" s="44">
        <f t="shared" si="55"/>
        <v>10.510806074766355</v>
      </c>
      <c r="N123" s="44">
        <f t="shared" si="55"/>
        <v>11.028146904205608</v>
      </c>
      <c r="O123" s="44">
        <f t="shared" si="55"/>
        <v>10.602986273364486</v>
      </c>
      <c r="P123" s="44">
        <f t="shared" si="55"/>
        <v>11.245254088785046</v>
      </c>
      <c r="Q123" s="44">
        <f t="shared" si="55"/>
        <v>10.423043224299066</v>
      </c>
    </row>
    <row r="124" spans="1:17"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</row>
    <row r="125" spans="1:17">
      <c r="A125" t="s">
        <v>45</v>
      </c>
      <c r="B125" s="41">
        <f t="shared" ref="B125:Q125" si="56">IFERROR(IF($B58=0,"",B58/$B58),"")</f>
        <v>1</v>
      </c>
      <c r="C125" s="41">
        <f t="shared" si="56"/>
        <v>1.2496250468691414</v>
      </c>
      <c r="D125" s="41">
        <f t="shared" si="56"/>
        <v>1.5393700787401574</v>
      </c>
      <c r="E125" s="41">
        <f t="shared" si="56"/>
        <v>1.8526434195725534</v>
      </c>
      <c r="F125" s="41">
        <f t="shared" si="56"/>
        <v>2.1853205849268842</v>
      </c>
      <c r="G125" s="41">
        <f t="shared" si="56"/>
        <v>2.5699287589051369</v>
      </c>
      <c r="H125" s="41">
        <f t="shared" si="56"/>
        <v>2.9294150731158606</v>
      </c>
      <c r="I125" s="41">
        <f t="shared" si="56"/>
        <v>3.362110986126734</v>
      </c>
      <c r="J125" s="41">
        <f t="shared" si="56"/>
        <v>3.7683727034120733</v>
      </c>
      <c r="K125" s="41">
        <f t="shared" si="56"/>
        <v>4.234533183352081</v>
      </c>
      <c r="L125" s="41">
        <f t="shared" si="56"/>
        <v>4.7599362579677544</v>
      </c>
      <c r="M125" s="41">
        <f t="shared" si="56"/>
        <v>5.3772965879265096</v>
      </c>
      <c r="N125" s="41">
        <f t="shared" si="56"/>
        <v>6.0788338957630295</v>
      </c>
      <c r="O125" s="41">
        <f t="shared" si="56"/>
        <v>6.9190101237345329</v>
      </c>
      <c r="P125" s="41">
        <f t="shared" si="56"/>
        <v>7.8061492313460814</v>
      </c>
      <c r="Q125" s="41">
        <f t="shared" si="56"/>
        <v>8.7709036370453699</v>
      </c>
    </row>
    <row r="126" spans="1:17">
      <c r="A126" t="s">
        <v>46</v>
      </c>
      <c r="B126" s="41">
        <f t="shared" ref="B126:Q126" si="57">IFERROR(IF($B59=0,"",B59/$B59),"")</f>
        <v>1</v>
      </c>
      <c r="C126" s="41">
        <f t="shared" si="57"/>
        <v>1.6906830961284942</v>
      </c>
      <c r="D126" s="41">
        <f t="shared" si="57"/>
        <v>2.7250934918884018</v>
      </c>
      <c r="E126" s="41">
        <f t="shared" si="57"/>
        <v>2.8049180768920339</v>
      </c>
      <c r="F126" s="41">
        <f t="shared" si="57"/>
        <v>2.3447496569722079</v>
      </c>
      <c r="G126" s="41">
        <f t="shared" si="57"/>
        <v>2.4828217062605935</v>
      </c>
      <c r="H126" s="41">
        <f t="shared" si="57"/>
        <v>2.5925905996932928</v>
      </c>
      <c r="I126" s="41">
        <f t="shared" si="57"/>
        <v>2.6454841400091476</v>
      </c>
      <c r="J126" s="41">
        <f t="shared" si="57"/>
        <v>1.8940514945250073</v>
      </c>
      <c r="K126" s="41">
        <f t="shared" si="57"/>
        <v>1.2348462428367726</v>
      </c>
      <c r="L126" s="41">
        <f t="shared" si="57"/>
        <v>0.40264736742984747</v>
      </c>
      <c r="M126" s="41">
        <f t="shared" si="57"/>
        <v>0.14964082972369447</v>
      </c>
      <c r="N126" s="41">
        <f t="shared" si="57"/>
        <v>0</v>
      </c>
      <c r="O126" s="41">
        <f t="shared" si="57"/>
        <v>0</v>
      </c>
      <c r="P126" s="41">
        <f t="shared" si="57"/>
        <v>0</v>
      </c>
      <c r="Q126" s="41">
        <f t="shared" si="57"/>
        <v>0</v>
      </c>
    </row>
    <row r="127" spans="1:17">
      <c r="A127" t="s">
        <v>47</v>
      </c>
      <c r="B127" s="41" t="str">
        <f t="shared" ref="B127:Q127" si="58">IFERROR(IF($B60=0,"",B60/$B60),"")</f>
        <v/>
      </c>
      <c r="C127" s="41" t="str">
        <f t="shared" si="58"/>
        <v/>
      </c>
      <c r="D127" s="41" t="str">
        <f t="shared" si="58"/>
        <v/>
      </c>
      <c r="E127" s="41" t="str">
        <f t="shared" si="58"/>
        <v/>
      </c>
      <c r="F127" s="41" t="str">
        <f t="shared" si="58"/>
        <v/>
      </c>
      <c r="G127" s="41" t="str">
        <f t="shared" si="58"/>
        <v/>
      </c>
      <c r="H127" s="41" t="str">
        <f t="shared" si="58"/>
        <v/>
      </c>
      <c r="I127" s="41" t="str">
        <f t="shared" si="58"/>
        <v/>
      </c>
      <c r="J127" s="41" t="str">
        <f t="shared" si="58"/>
        <v/>
      </c>
      <c r="K127" s="41" t="str">
        <f t="shared" si="58"/>
        <v/>
      </c>
      <c r="L127" s="41" t="str">
        <f t="shared" si="58"/>
        <v/>
      </c>
      <c r="M127" s="41" t="str">
        <f t="shared" si="58"/>
        <v/>
      </c>
      <c r="N127" s="41" t="str">
        <f t="shared" si="58"/>
        <v/>
      </c>
      <c r="O127" s="41" t="str">
        <f t="shared" si="58"/>
        <v/>
      </c>
      <c r="P127" s="41" t="str">
        <f t="shared" si="58"/>
        <v/>
      </c>
      <c r="Q127" s="41" t="str">
        <f t="shared" si="58"/>
        <v/>
      </c>
    </row>
    <row r="128" spans="1:17">
      <c r="A128" t="s">
        <v>48</v>
      </c>
      <c r="B128" s="41">
        <f t="shared" ref="B128:Q128" si="59">IFERROR(IF($B61=0,"",B61/$B61),"")</f>
        <v>1</v>
      </c>
      <c r="C128" s="41">
        <f t="shared" si="59"/>
        <v>-9.6304347826086953</v>
      </c>
      <c r="D128" s="41">
        <f t="shared" si="59"/>
        <v>-10.847826086956522</v>
      </c>
      <c r="E128" s="41">
        <f t="shared" si="59"/>
        <v>10.239130434782609</v>
      </c>
      <c r="F128" s="41">
        <f t="shared" si="59"/>
        <v>-23.521739130434781</v>
      </c>
      <c r="G128" s="41">
        <f t="shared" si="59"/>
        <v>7.5</v>
      </c>
      <c r="H128" s="41">
        <f t="shared" si="59"/>
        <v>-13.782608695652174</v>
      </c>
      <c r="I128" s="41">
        <f t="shared" si="59"/>
        <v>3.2608695652173911</v>
      </c>
      <c r="J128" s="41">
        <f t="shared" si="59"/>
        <v>75.086956521739125</v>
      </c>
      <c r="K128" s="41">
        <f t="shared" si="59"/>
        <v>12.695652173913043</v>
      </c>
      <c r="L128" s="41">
        <f t="shared" si="59"/>
        <v>8.8260869565217384</v>
      </c>
      <c r="M128" s="41">
        <f t="shared" si="59"/>
        <v>-3.5434782608695654</v>
      </c>
      <c r="N128" s="41">
        <f t="shared" si="59"/>
        <v>241.5</v>
      </c>
      <c r="O128" s="41">
        <f t="shared" si="59"/>
        <v>248.95652173913044</v>
      </c>
      <c r="P128" s="41">
        <f t="shared" si="59"/>
        <v>155.91304347826087</v>
      </c>
      <c r="Q128" s="41">
        <f t="shared" si="59"/>
        <v>121.10869565217391</v>
      </c>
    </row>
    <row r="129" spans="1:17">
      <c r="A129" s="43" t="s">
        <v>49</v>
      </c>
      <c r="B129" s="44">
        <f t="shared" ref="B129:Q129" si="60">IFERROR(IF($B62=0,"",B62/$B62),"")</f>
        <v>1</v>
      </c>
      <c r="C129" s="44">
        <f t="shared" si="60"/>
        <v>1.6031261116109727</v>
      </c>
      <c r="D129" s="44">
        <f t="shared" si="60"/>
        <v>2.4734782699671487</v>
      </c>
      <c r="E129" s="44">
        <f t="shared" si="60"/>
        <v>2.5851938649536526</v>
      </c>
      <c r="F129" s="44">
        <f t="shared" si="60"/>
        <v>2.3340587139838043</v>
      </c>
      <c r="G129" s="44">
        <f t="shared" si="60"/>
        <v>2.4974367558745372</v>
      </c>
      <c r="H129" s="44">
        <f t="shared" si="60"/>
        <v>2.6835387416040679</v>
      </c>
      <c r="I129" s="44">
        <f t="shared" si="60"/>
        <v>2.8048586553953672</v>
      </c>
      <c r="J129" s="44">
        <f t="shared" si="60"/>
        <v>2.2419911698855435</v>
      </c>
      <c r="K129" s="44">
        <f t="shared" si="60"/>
        <v>1.8934108932644222</v>
      </c>
      <c r="L129" s="44">
        <f t="shared" si="60"/>
        <v>1.3671821054173381</v>
      </c>
      <c r="M129" s="44">
        <f t="shared" si="60"/>
        <v>1.3201230357180223</v>
      </c>
      <c r="N129" s="44">
        <f t="shared" si="60"/>
        <v>1.0602833169425205</v>
      </c>
      <c r="O129" s="44">
        <f t="shared" si="60"/>
        <v>1.3003703626205771</v>
      </c>
      <c r="P129" s="44">
        <f t="shared" si="60"/>
        <v>1.1916469628172668</v>
      </c>
      <c r="Q129" s="44">
        <f t="shared" si="60"/>
        <v>1.5428218702266117</v>
      </c>
    </row>
    <row r="130" spans="1:17">
      <c r="A130" s="43" t="s">
        <v>50</v>
      </c>
      <c r="B130" s="44">
        <f t="shared" ref="B130:Q130" si="61">IFERROR(IF($B63=0,"",B63/$B63),"")</f>
        <v>1</v>
      </c>
      <c r="C130" s="44">
        <f t="shared" si="61"/>
        <v>1.5478366120000533</v>
      </c>
      <c r="D130" s="44">
        <f t="shared" si="61"/>
        <v>2.3418059933761621</v>
      </c>
      <c r="E130" s="44">
        <f t="shared" si="61"/>
        <v>2.7532819919396672</v>
      </c>
      <c r="F130" s="44">
        <f t="shared" si="61"/>
        <v>3.083662530093239</v>
      </c>
      <c r="G130" s="44">
        <f t="shared" si="61"/>
        <v>3.8636260856842637</v>
      </c>
      <c r="H130" s="44">
        <f t="shared" si="61"/>
        <v>4.2787066225077481</v>
      </c>
      <c r="I130" s="44">
        <f t="shared" si="61"/>
        <v>4.9920726760038843</v>
      </c>
      <c r="J130" s="44">
        <f t="shared" si="61"/>
        <v>4.8644640410731146</v>
      </c>
      <c r="K130" s="44">
        <f t="shared" si="61"/>
        <v>4.5025604192437116</v>
      </c>
      <c r="L130" s="44">
        <f t="shared" si="61"/>
        <v>4.3079951584799758</v>
      </c>
      <c r="M130" s="44">
        <f t="shared" si="61"/>
        <v>4.6686351967865072</v>
      </c>
      <c r="N130" s="44">
        <f t="shared" si="61"/>
        <v>4.691951638003272</v>
      </c>
      <c r="O130" s="44">
        <f t="shared" si="61"/>
        <v>4.6896638867829168</v>
      </c>
      <c r="P130" s="44">
        <f t="shared" si="61"/>
        <v>4.8545548860779695</v>
      </c>
      <c r="Q130" s="44">
        <f t="shared" si="61"/>
        <v>4.778221140417382</v>
      </c>
    </row>
    <row r="131" spans="1:17"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</row>
    <row r="132" spans="1:17">
      <c r="A132" t="s">
        <v>54</v>
      </c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</row>
    <row r="133" spans="1:17">
      <c r="A133" t="s">
        <v>61</v>
      </c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</row>
  </sheetData>
  <mergeCells count="1">
    <mergeCell ref="A4:Q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BA8B2-0887-41F6-8CE6-7328921F8BBF}">
  <dimension ref="A1:Q135"/>
  <sheetViews>
    <sheetView zoomScale="80" zoomScaleNormal="80" workbookViewId="0"/>
  </sheetViews>
  <sheetFormatPr defaultRowHeight="14.4"/>
  <cols>
    <col min="1" max="1" width="61" style="50" customWidth="1"/>
    <col min="2" max="17" width="14" style="50" customWidth="1"/>
    <col min="18" max="16384" width="8.88671875" style="50"/>
  </cols>
  <sheetData>
    <row r="1" spans="1:17">
      <c r="A1" s="47" t="s">
        <v>0</v>
      </c>
      <c r="B1" s="48">
        <v>2010</v>
      </c>
      <c r="C1" s="48">
        <v>2011</v>
      </c>
      <c r="D1" s="48">
        <v>2012</v>
      </c>
      <c r="E1" s="48">
        <v>2013</v>
      </c>
      <c r="F1" s="49">
        <v>2014</v>
      </c>
      <c r="G1" s="49">
        <v>2015</v>
      </c>
      <c r="H1" s="49">
        <v>2016</v>
      </c>
      <c r="I1" s="49">
        <v>2017</v>
      </c>
      <c r="J1" s="49">
        <v>2018</v>
      </c>
      <c r="K1" s="49">
        <v>2019</v>
      </c>
      <c r="L1" s="49">
        <v>2020</v>
      </c>
      <c r="M1" s="49">
        <v>2021</v>
      </c>
      <c r="N1" s="49">
        <v>2022</v>
      </c>
      <c r="O1" s="49">
        <v>2023</v>
      </c>
      <c r="P1" s="49">
        <v>2024</v>
      </c>
      <c r="Q1" s="49">
        <v>2025</v>
      </c>
    </row>
    <row r="2" spans="1:17">
      <c r="A2" s="51"/>
      <c r="B2" s="52"/>
      <c r="C2" s="52"/>
      <c r="D2" s="52"/>
      <c r="E2" s="52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</row>
    <row r="3" spans="1:17">
      <c r="A3" s="54" t="s">
        <v>1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</row>
    <row r="4" spans="1:17">
      <c r="A4" s="56" t="s">
        <v>2</v>
      </c>
      <c r="B4" s="57">
        <v>65225</v>
      </c>
      <c r="C4" s="57">
        <v>108249</v>
      </c>
      <c r="D4" s="57">
        <v>156508</v>
      </c>
      <c r="E4" s="58">
        <v>170910</v>
      </c>
      <c r="F4" s="59">
        <v>182795</v>
      </c>
      <c r="G4" s="59">
        <v>233715</v>
      </c>
      <c r="H4" s="59">
        <v>215639</v>
      </c>
      <c r="I4" s="59">
        <v>229234</v>
      </c>
      <c r="J4" s="59">
        <v>265595</v>
      </c>
      <c r="K4" s="60">
        <v>260174</v>
      </c>
      <c r="L4" s="60">
        <v>274515</v>
      </c>
      <c r="M4" s="60">
        <v>365817</v>
      </c>
      <c r="N4" s="60">
        <v>394328</v>
      </c>
      <c r="O4" s="60">
        <v>383285</v>
      </c>
      <c r="P4" s="60">
        <v>391035</v>
      </c>
      <c r="Q4" s="60">
        <v>416161</v>
      </c>
    </row>
    <row r="5" spans="1:17">
      <c r="A5" s="61" t="s">
        <v>3</v>
      </c>
      <c r="B5" s="62">
        <v>39541</v>
      </c>
      <c r="C5" s="62">
        <v>64431</v>
      </c>
      <c r="D5" s="62">
        <v>87846</v>
      </c>
      <c r="E5" s="62">
        <v>106606</v>
      </c>
      <c r="F5" s="62">
        <v>112258</v>
      </c>
      <c r="G5" s="62">
        <v>140089</v>
      </c>
      <c r="H5" s="62">
        <v>131376</v>
      </c>
      <c r="I5" s="62">
        <v>141048</v>
      </c>
      <c r="J5" s="62">
        <v>163756</v>
      </c>
      <c r="K5" s="62">
        <v>161782</v>
      </c>
      <c r="L5" s="62">
        <v>169559</v>
      </c>
      <c r="M5" s="62">
        <v>212981</v>
      </c>
      <c r="N5" s="62">
        <v>223546</v>
      </c>
      <c r="O5" s="62">
        <v>214137</v>
      </c>
      <c r="P5" s="62">
        <v>210352</v>
      </c>
      <c r="Q5" s="62">
        <v>220960</v>
      </c>
    </row>
    <row r="6" spans="1:17">
      <c r="A6" s="63" t="s">
        <v>4</v>
      </c>
      <c r="B6" s="64">
        <f>B4-B5</f>
        <v>25684</v>
      </c>
      <c r="C6" s="64">
        <f t="shared" ref="C6:Q6" si="0">C4-C5</f>
        <v>43818</v>
      </c>
      <c r="D6" s="64">
        <f t="shared" si="0"/>
        <v>68662</v>
      </c>
      <c r="E6" s="64">
        <f t="shared" si="0"/>
        <v>64304</v>
      </c>
      <c r="F6" s="64">
        <f t="shared" si="0"/>
        <v>70537</v>
      </c>
      <c r="G6" s="64">
        <f t="shared" si="0"/>
        <v>93626</v>
      </c>
      <c r="H6" s="64">
        <f t="shared" si="0"/>
        <v>84263</v>
      </c>
      <c r="I6" s="64">
        <f t="shared" si="0"/>
        <v>88186</v>
      </c>
      <c r="J6" s="64">
        <f t="shared" si="0"/>
        <v>101839</v>
      </c>
      <c r="K6" s="64">
        <f t="shared" si="0"/>
        <v>98392</v>
      </c>
      <c r="L6" s="64">
        <f t="shared" si="0"/>
        <v>104956</v>
      </c>
      <c r="M6" s="64">
        <f t="shared" si="0"/>
        <v>152836</v>
      </c>
      <c r="N6" s="64">
        <f t="shared" si="0"/>
        <v>170782</v>
      </c>
      <c r="O6" s="64">
        <f t="shared" si="0"/>
        <v>169148</v>
      </c>
      <c r="P6" s="64">
        <f t="shared" si="0"/>
        <v>180683</v>
      </c>
      <c r="Q6" s="64">
        <f t="shared" si="0"/>
        <v>195201</v>
      </c>
    </row>
    <row r="7" spans="1:17">
      <c r="L7" s="65"/>
    </row>
    <row r="8" spans="1:17">
      <c r="A8" s="50" t="s">
        <v>5</v>
      </c>
      <c r="B8" s="66">
        <v>1782</v>
      </c>
      <c r="C8" s="66">
        <v>2429</v>
      </c>
      <c r="D8" s="66">
        <v>3381</v>
      </c>
      <c r="E8" s="66">
        <v>4475</v>
      </c>
      <c r="F8" s="66">
        <v>6041</v>
      </c>
      <c r="G8" s="66">
        <v>8067</v>
      </c>
      <c r="H8" s="66">
        <v>10045</v>
      </c>
      <c r="I8" s="66">
        <v>11581</v>
      </c>
      <c r="J8" s="66">
        <v>14236</v>
      </c>
      <c r="K8" s="66">
        <v>16217</v>
      </c>
      <c r="L8" s="66">
        <v>18752</v>
      </c>
      <c r="M8" s="66">
        <v>21914</v>
      </c>
      <c r="N8" s="66">
        <v>26251</v>
      </c>
      <c r="O8" s="66">
        <v>29915</v>
      </c>
      <c r="P8" s="66">
        <v>31370</v>
      </c>
      <c r="Q8" s="66">
        <v>34550</v>
      </c>
    </row>
    <row r="9" spans="1:17">
      <c r="A9" s="50" t="s">
        <v>6</v>
      </c>
      <c r="B9" s="66">
        <v>5517</v>
      </c>
      <c r="C9" s="66">
        <v>7599</v>
      </c>
      <c r="D9" s="66">
        <v>10040</v>
      </c>
      <c r="E9" s="66">
        <v>10830</v>
      </c>
      <c r="F9" s="66">
        <v>11993</v>
      </c>
      <c r="G9" s="66">
        <v>14329</v>
      </c>
      <c r="H9" s="66">
        <v>14194</v>
      </c>
      <c r="I9" s="66">
        <v>15261</v>
      </c>
      <c r="J9" s="66">
        <v>16705</v>
      </c>
      <c r="K9" s="66">
        <v>18245</v>
      </c>
      <c r="L9" s="66">
        <v>19916</v>
      </c>
      <c r="M9" s="66">
        <v>21973</v>
      </c>
      <c r="N9" s="66">
        <v>25094</v>
      </c>
      <c r="O9" s="66">
        <v>24932</v>
      </c>
      <c r="P9" s="66">
        <v>26097</v>
      </c>
      <c r="Q9" s="66">
        <v>27601</v>
      </c>
    </row>
    <row r="10" spans="1:17">
      <c r="A10" s="63" t="s">
        <v>7</v>
      </c>
      <c r="B10" s="64">
        <f t="shared" ref="B10:Q10" si="1">B8+B9</f>
        <v>7299</v>
      </c>
      <c r="C10" s="64">
        <f t="shared" si="1"/>
        <v>10028</v>
      </c>
      <c r="D10" s="64">
        <f t="shared" si="1"/>
        <v>13421</v>
      </c>
      <c r="E10" s="64">
        <f t="shared" si="1"/>
        <v>15305</v>
      </c>
      <c r="F10" s="64">
        <f t="shared" si="1"/>
        <v>18034</v>
      </c>
      <c r="G10" s="64">
        <f t="shared" si="1"/>
        <v>22396</v>
      </c>
      <c r="H10" s="64">
        <f t="shared" si="1"/>
        <v>24239</v>
      </c>
      <c r="I10" s="64">
        <f t="shared" si="1"/>
        <v>26842</v>
      </c>
      <c r="J10" s="64">
        <f t="shared" si="1"/>
        <v>30941</v>
      </c>
      <c r="K10" s="64">
        <f t="shared" si="1"/>
        <v>34462</v>
      </c>
      <c r="L10" s="64">
        <f t="shared" si="1"/>
        <v>38668</v>
      </c>
      <c r="M10" s="64">
        <f t="shared" si="1"/>
        <v>43887</v>
      </c>
      <c r="N10" s="64">
        <f t="shared" si="1"/>
        <v>51345</v>
      </c>
      <c r="O10" s="64">
        <f t="shared" si="1"/>
        <v>54847</v>
      </c>
      <c r="P10" s="64">
        <f t="shared" si="1"/>
        <v>57467</v>
      </c>
      <c r="Q10" s="64">
        <f t="shared" si="1"/>
        <v>62151</v>
      </c>
    </row>
    <row r="11" spans="1:17">
      <c r="A11" s="63" t="s">
        <v>8</v>
      </c>
      <c r="B11" s="64">
        <f t="shared" ref="B11:Q11" si="2">B6-B10</f>
        <v>18385</v>
      </c>
      <c r="C11" s="64">
        <f t="shared" si="2"/>
        <v>33790</v>
      </c>
      <c r="D11" s="64">
        <f t="shared" si="2"/>
        <v>55241</v>
      </c>
      <c r="E11" s="64">
        <f t="shared" si="2"/>
        <v>48999</v>
      </c>
      <c r="F11" s="67">
        <f t="shared" si="2"/>
        <v>52503</v>
      </c>
      <c r="G11" s="67">
        <f t="shared" si="2"/>
        <v>71230</v>
      </c>
      <c r="H11" s="67">
        <f t="shared" si="2"/>
        <v>60024</v>
      </c>
      <c r="I11" s="67">
        <f t="shared" si="2"/>
        <v>61344</v>
      </c>
      <c r="J11" s="67">
        <f t="shared" si="2"/>
        <v>70898</v>
      </c>
      <c r="K11" s="67">
        <f t="shared" si="2"/>
        <v>63930</v>
      </c>
      <c r="L11" s="67">
        <f t="shared" si="2"/>
        <v>66288</v>
      </c>
      <c r="M11" s="67">
        <f t="shared" si="2"/>
        <v>108949</v>
      </c>
      <c r="N11" s="67">
        <f t="shared" si="2"/>
        <v>119437</v>
      </c>
      <c r="O11" s="67">
        <f t="shared" si="2"/>
        <v>114301</v>
      </c>
      <c r="P11" s="67">
        <f t="shared" si="2"/>
        <v>123216</v>
      </c>
      <c r="Q11" s="67">
        <f t="shared" si="2"/>
        <v>133050</v>
      </c>
    </row>
    <row r="12" spans="1:17">
      <c r="A12" s="68" t="s">
        <v>9</v>
      </c>
      <c r="B12" s="69" t="str">
        <f>IFERROR(B11/#REF!-1,"")</f>
        <v/>
      </c>
      <c r="C12" s="69">
        <f t="shared" ref="C12:Q12" si="3">IFERROR(C11/B11-1,"")</f>
        <v>0.83791134076692964</v>
      </c>
      <c r="D12" s="69">
        <f t="shared" si="3"/>
        <v>0.63483279076649901</v>
      </c>
      <c r="E12" s="69">
        <f t="shared" si="3"/>
        <v>-0.11299578211835415</v>
      </c>
      <c r="F12" s="69">
        <f t="shared" si="3"/>
        <v>7.151166350333682E-2</v>
      </c>
      <c r="G12" s="69">
        <f t="shared" si="3"/>
        <v>0.35668437994019397</v>
      </c>
      <c r="H12" s="69">
        <f t="shared" si="3"/>
        <v>-0.15732135336234732</v>
      </c>
      <c r="I12" s="69">
        <f t="shared" si="3"/>
        <v>2.1991203518592517E-2</v>
      </c>
      <c r="J12" s="69">
        <f t="shared" si="3"/>
        <v>0.15574465310380803</v>
      </c>
      <c r="K12" s="69">
        <f t="shared" si="3"/>
        <v>-9.8282038985584963E-2</v>
      </c>
      <c r="L12" s="69">
        <f t="shared" si="3"/>
        <v>3.6884091975598388E-2</v>
      </c>
      <c r="M12" s="69">
        <f t="shared" si="3"/>
        <v>0.64357048032826447</v>
      </c>
      <c r="N12" s="69">
        <f t="shared" si="3"/>
        <v>9.6265225013538513E-2</v>
      </c>
      <c r="O12" s="69">
        <f t="shared" si="3"/>
        <v>-4.3001749876503959E-2</v>
      </c>
      <c r="P12" s="69">
        <f t="shared" si="3"/>
        <v>7.7995818059334532E-2</v>
      </c>
      <c r="Q12" s="69">
        <f t="shared" si="3"/>
        <v>7.9811063498246959E-2</v>
      </c>
    </row>
    <row r="14" spans="1:17">
      <c r="A14" s="50" t="s">
        <v>10</v>
      </c>
      <c r="B14" s="70">
        <v>155</v>
      </c>
      <c r="C14" s="70">
        <v>415</v>
      </c>
      <c r="D14" s="70">
        <v>522</v>
      </c>
      <c r="E14" s="70">
        <v>1156</v>
      </c>
      <c r="F14" s="70">
        <v>980</v>
      </c>
      <c r="G14" s="70">
        <v>1285</v>
      </c>
      <c r="H14" s="70">
        <v>1348</v>
      </c>
      <c r="I14" s="70">
        <v>2745</v>
      </c>
      <c r="J14" s="70">
        <v>2005</v>
      </c>
      <c r="K14" s="70">
        <v>1807</v>
      </c>
      <c r="L14" s="70">
        <v>803</v>
      </c>
      <c r="M14" s="71">
        <v>258</v>
      </c>
      <c r="N14" s="71">
        <v>-334</v>
      </c>
      <c r="O14" s="71">
        <v>-565</v>
      </c>
      <c r="P14" s="71">
        <v>269</v>
      </c>
      <c r="Q14" s="71">
        <v>-321</v>
      </c>
    </row>
    <row r="15" spans="1:17">
      <c r="A15" s="72" t="s">
        <v>11</v>
      </c>
      <c r="B15" s="73">
        <f>B14</f>
        <v>155</v>
      </c>
      <c r="C15" s="73">
        <f t="shared" ref="C15:Q15" si="4">C14</f>
        <v>415</v>
      </c>
      <c r="D15" s="73">
        <f t="shared" si="4"/>
        <v>522</v>
      </c>
      <c r="E15" s="73">
        <f t="shared" si="4"/>
        <v>1156</v>
      </c>
      <c r="F15" s="73">
        <f t="shared" si="4"/>
        <v>980</v>
      </c>
      <c r="G15" s="73">
        <f t="shared" si="4"/>
        <v>1285</v>
      </c>
      <c r="H15" s="73">
        <f t="shared" si="4"/>
        <v>1348</v>
      </c>
      <c r="I15" s="73">
        <f t="shared" si="4"/>
        <v>2745</v>
      </c>
      <c r="J15" s="73">
        <f t="shared" si="4"/>
        <v>2005</v>
      </c>
      <c r="K15" s="73">
        <f t="shared" si="4"/>
        <v>1807</v>
      </c>
      <c r="L15" s="73">
        <f t="shared" si="4"/>
        <v>803</v>
      </c>
      <c r="M15" s="73">
        <f t="shared" si="4"/>
        <v>258</v>
      </c>
      <c r="N15" s="73">
        <f t="shared" si="4"/>
        <v>-334</v>
      </c>
      <c r="O15" s="73">
        <f t="shared" si="4"/>
        <v>-565</v>
      </c>
      <c r="P15" s="73">
        <f t="shared" si="4"/>
        <v>269</v>
      </c>
      <c r="Q15" s="73">
        <f t="shared" si="4"/>
        <v>-321</v>
      </c>
    </row>
    <row r="16" spans="1:17">
      <c r="A16" s="74"/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</row>
    <row r="17" spans="1:17">
      <c r="B17" s="70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</row>
    <row r="18" spans="1:17">
      <c r="A18" s="50" t="s">
        <v>12</v>
      </c>
      <c r="B18" s="70">
        <f t="shared" ref="B18:Q18" si="5">B11+B15</f>
        <v>18540</v>
      </c>
      <c r="C18" s="70">
        <f t="shared" si="5"/>
        <v>34205</v>
      </c>
      <c r="D18" s="70">
        <f t="shared" si="5"/>
        <v>55763</v>
      </c>
      <c r="E18" s="70">
        <f t="shared" si="5"/>
        <v>50155</v>
      </c>
      <c r="F18" s="70">
        <f t="shared" si="5"/>
        <v>53483</v>
      </c>
      <c r="G18" s="70">
        <f t="shared" si="5"/>
        <v>72515</v>
      </c>
      <c r="H18" s="70">
        <f t="shared" si="5"/>
        <v>61372</v>
      </c>
      <c r="I18" s="70">
        <f t="shared" si="5"/>
        <v>64089</v>
      </c>
      <c r="J18" s="70">
        <f t="shared" si="5"/>
        <v>72903</v>
      </c>
      <c r="K18" s="70">
        <f t="shared" si="5"/>
        <v>65737</v>
      </c>
      <c r="L18" s="70">
        <f t="shared" si="5"/>
        <v>67091</v>
      </c>
      <c r="M18" s="70">
        <f t="shared" si="5"/>
        <v>109207</v>
      </c>
      <c r="N18" s="70">
        <f t="shared" si="5"/>
        <v>119103</v>
      </c>
      <c r="O18" s="70">
        <f t="shared" si="5"/>
        <v>113736</v>
      </c>
      <c r="P18" s="70">
        <f t="shared" si="5"/>
        <v>123485</v>
      </c>
      <c r="Q18" s="70">
        <f t="shared" si="5"/>
        <v>132729</v>
      </c>
    </row>
    <row r="19" spans="1:17">
      <c r="A19" s="50" t="s">
        <v>13</v>
      </c>
      <c r="B19" s="70">
        <v>4527</v>
      </c>
      <c r="C19" s="70">
        <v>8283</v>
      </c>
      <c r="D19" s="70">
        <v>14030</v>
      </c>
      <c r="E19" s="70">
        <v>13118</v>
      </c>
      <c r="F19" s="70">
        <v>13973</v>
      </c>
      <c r="G19" s="70">
        <v>19121</v>
      </c>
      <c r="H19" s="70">
        <v>15685</v>
      </c>
      <c r="I19" s="70">
        <v>15738</v>
      </c>
      <c r="J19" s="70">
        <v>13372</v>
      </c>
      <c r="K19" s="70">
        <v>10481</v>
      </c>
      <c r="L19" s="70">
        <v>9680</v>
      </c>
      <c r="M19" s="70">
        <v>14527</v>
      </c>
      <c r="N19" s="70">
        <v>19300</v>
      </c>
      <c r="O19" s="70">
        <v>16741</v>
      </c>
      <c r="P19" s="70">
        <v>29749</v>
      </c>
      <c r="Q19" s="70">
        <v>20719</v>
      </c>
    </row>
    <row r="20" spans="1:17">
      <c r="A20" s="72" t="s">
        <v>14</v>
      </c>
      <c r="B20" s="64">
        <f t="shared" ref="B20:Q20" si="6">B18-B19</f>
        <v>14013</v>
      </c>
      <c r="C20" s="64">
        <f t="shared" si="6"/>
        <v>25922</v>
      </c>
      <c r="D20" s="64">
        <f t="shared" si="6"/>
        <v>41733</v>
      </c>
      <c r="E20" s="64">
        <f t="shared" si="6"/>
        <v>37037</v>
      </c>
      <c r="F20" s="64">
        <f t="shared" si="6"/>
        <v>39510</v>
      </c>
      <c r="G20" s="64">
        <f t="shared" si="6"/>
        <v>53394</v>
      </c>
      <c r="H20" s="64">
        <f t="shared" si="6"/>
        <v>45687</v>
      </c>
      <c r="I20" s="64">
        <f t="shared" si="6"/>
        <v>48351</v>
      </c>
      <c r="J20" s="64">
        <f t="shared" si="6"/>
        <v>59531</v>
      </c>
      <c r="K20" s="64">
        <f t="shared" si="6"/>
        <v>55256</v>
      </c>
      <c r="L20" s="64">
        <f t="shared" si="6"/>
        <v>57411</v>
      </c>
      <c r="M20" s="64">
        <f t="shared" si="6"/>
        <v>94680</v>
      </c>
      <c r="N20" s="64">
        <f t="shared" si="6"/>
        <v>99803</v>
      </c>
      <c r="O20" s="64">
        <f t="shared" si="6"/>
        <v>96995</v>
      </c>
      <c r="P20" s="64">
        <f t="shared" si="6"/>
        <v>93736</v>
      </c>
      <c r="Q20" s="64">
        <f t="shared" si="6"/>
        <v>112010</v>
      </c>
    </row>
    <row r="21" spans="1:17">
      <c r="B21" s="76"/>
      <c r="C21" s="76"/>
      <c r="D21" s="76"/>
      <c r="E21" s="76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</row>
    <row r="22" spans="1:17">
      <c r="B22" s="76"/>
      <c r="C22" s="76"/>
      <c r="D22" s="76"/>
      <c r="E22" s="76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</row>
    <row r="23" spans="1:17">
      <c r="A23" s="51" t="s">
        <v>62</v>
      </c>
      <c r="B23" s="70">
        <v>909461</v>
      </c>
      <c r="C23" s="70">
        <v>924258</v>
      </c>
      <c r="D23" s="70">
        <v>934818</v>
      </c>
      <c r="E23" s="70">
        <v>925331</v>
      </c>
      <c r="F23" s="66">
        <v>6085572</v>
      </c>
      <c r="G23" s="66">
        <v>5753421</v>
      </c>
      <c r="H23" s="66">
        <v>5470820</v>
      </c>
      <c r="I23" s="66">
        <v>5217242</v>
      </c>
      <c r="J23" s="66">
        <v>4955377</v>
      </c>
      <c r="K23" s="66">
        <v>4617834</v>
      </c>
      <c r="L23" s="66">
        <v>17352119</v>
      </c>
      <c r="M23" s="66">
        <v>16701272</v>
      </c>
      <c r="N23" s="66">
        <v>16215963</v>
      </c>
      <c r="O23" s="66">
        <v>15744231</v>
      </c>
      <c r="P23" s="66">
        <v>15343783</v>
      </c>
      <c r="Q23" s="66">
        <v>14948500</v>
      </c>
    </row>
    <row r="24" spans="1:17">
      <c r="A24" s="51" t="s">
        <v>63</v>
      </c>
      <c r="B24" s="70">
        <v>924712</v>
      </c>
      <c r="C24" s="70">
        <v>936645</v>
      </c>
      <c r="D24" s="70">
        <v>945355</v>
      </c>
      <c r="E24" s="70">
        <v>931662</v>
      </c>
      <c r="F24" s="66">
        <v>6122663</v>
      </c>
      <c r="G24" s="66">
        <v>5793069</v>
      </c>
      <c r="H24" s="66">
        <v>5500281</v>
      </c>
      <c r="I24" s="66">
        <v>5251692</v>
      </c>
      <c r="J24" s="66">
        <v>5000109</v>
      </c>
      <c r="K24" s="66">
        <v>4648913</v>
      </c>
      <c r="L24" s="66">
        <v>17528214</v>
      </c>
      <c r="M24" s="66">
        <v>16864919</v>
      </c>
      <c r="N24" s="66">
        <v>16325819</v>
      </c>
      <c r="O24" s="66">
        <v>15812547</v>
      </c>
      <c r="P24" s="66">
        <v>15408095</v>
      </c>
      <c r="Q24" s="66">
        <v>15004697</v>
      </c>
    </row>
    <row r="25" spans="1:17">
      <c r="A25" s="51" t="s">
        <v>64</v>
      </c>
      <c r="B25" s="76">
        <v>0</v>
      </c>
      <c r="C25" s="76">
        <v>0</v>
      </c>
      <c r="D25" s="76">
        <v>0.38</v>
      </c>
      <c r="E25" s="76">
        <v>1.64</v>
      </c>
      <c r="F25" s="77">
        <v>1.82</v>
      </c>
      <c r="G25" s="77">
        <v>1.98</v>
      </c>
      <c r="H25" s="77">
        <v>2.1800000000000002</v>
      </c>
      <c r="I25" s="77">
        <v>2.4</v>
      </c>
      <c r="J25" s="77">
        <v>0</v>
      </c>
      <c r="K25" s="77">
        <v>0</v>
      </c>
      <c r="L25" s="77">
        <v>0</v>
      </c>
      <c r="M25" s="77">
        <v>0</v>
      </c>
      <c r="N25" s="77">
        <v>0</v>
      </c>
      <c r="O25" s="77">
        <v>0</v>
      </c>
      <c r="P25" s="77">
        <v>0</v>
      </c>
      <c r="Q25" s="77">
        <v>0</v>
      </c>
    </row>
    <row r="26" spans="1:17">
      <c r="B26" s="76"/>
      <c r="C26" s="76"/>
      <c r="D26" s="76"/>
      <c r="E26" s="76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</row>
    <row r="27" spans="1:17">
      <c r="A27" s="51"/>
      <c r="B27" s="70"/>
      <c r="C27" s="70"/>
      <c r="D27" s="70"/>
      <c r="E27" s="70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</row>
    <row r="28" spans="1:17">
      <c r="A28" s="78" t="s">
        <v>15</v>
      </c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</row>
    <row r="29" spans="1:17">
      <c r="A29" s="51" t="s">
        <v>16</v>
      </c>
      <c r="B29" s="70">
        <v>11261</v>
      </c>
      <c r="C29" s="70">
        <v>9815</v>
      </c>
      <c r="D29" s="70">
        <v>10746</v>
      </c>
      <c r="E29" s="70">
        <v>14259</v>
      </c>
      <c r="F29" s="66">
        <v>13844</v>
      </c>
      <c r="G29" s="66">
        <v>21120</v>
      </c>
      <c r="H29" s="66">
        <v>20484</v>
      </c>
      <c r="I29" s="66">
        <v>20289</v>
      </c>
      <c r="J29" s="66">
        <v>25913</v>
      </c>
      <c r="K29" s="66">
        <v>48844</v>
      </c>
      <c r="L29" s="66">
        <v>38016</v>
      </c>
      <c r="M29" s="66">
        <v>34940</v>
      </c>
      <c r="N29" s="66">
        <v>23646</v>
      </c>
      <c r="O29" s="66">
        <v>29965</v>
      </c>
      <c r="P29" s="66">
        <v>29943</v>
      </c>
      <c r="Q29" s="66">
        <v>35934</v>
      </c>
    </row>
    <row r="30" spans="1:17">
      <c r="A30" s="51" t="s">
        <v>17</v>
      </c>
      <c r="B30" s="70">
        <v>14359</v>
      </c>
      <c r="C30" s="70">
        <v>16137</v>
      </c>
      <c r="D30" s="70">
        <v>18383</v>
      </c>
      <c r="E30" s="70">
        <v>26287</v>
      </c>
      <c r="F30" s="70">
        <v>11233</v>
      </c>
      <c r="G30" s="70">
        <v>20481</v>
      </c>
      <c r="H30" s="70">
        <v>46671</v>
      </c>
      <c r="I30" s="70">
        <v>53892</v>
      </c>
      <c r="J30" s="66">
        <v>40388</v>
      </c>
      <c r="K30" s="66">
        <v>51713</v>
      </c>
      <c r="L30" s="66">
        <v>52927</v>
      </c>
      <c r="M30" s="66">
        <v>27699</v>
      </c>
      <c r="N30" s="66">
        <v>24658</v>
      </c>
      <c r="O30" s="66">
        <v>31590</v>
      </c>
      <c r="P30" s="66">
        <v>35228</v>
      </c>
      <c r="Q30" s="66">
        <v>18763</v>
      </c>
    </row>
    <row r="31" spans="1:17">
      <c r="A31" s="51" t="s">
        <v>18</v>
      </c>
      <c r="B31" s="70">
        <v>5510</v>
      </c>
      <c r="C31" s="70">
        <v>5369</v>
      </c>
      <c r="D31" s="70">
        <v>10930</v>
      </c>
      <c r="E31" s="70">
        <v>13102</v>
      </c>
      <c r="F31" s="70">
        <v>17460</v>
      </c>
      <c r="G31" s="70">
        <v>16849</v>
      </c>
      <c r="H31" s="70">
        <v>15754</v>
      </c>
      <c r="I31" s="70">
        <v>17874</v>
      </c>
      <c r="J31" s="66">
        <v>23186</v>
      </c>
      <c r="K31" s="66">
        <v>22926</v>
      </c>
      <c r="L31" s="66">
        <v>16120</v>
      </c>
      <c r="M31" s="66">
        <v>26278</v>
      </c>
      <c r="N31" s="66">
        <v>28184</v>
      </c>
      <c r="O31" s="66">
        <v>29508</v>
      </c>
      <c r="P31" s="66">
        <v>33410</v>
      </c>
      <c r="Q31" s="66">
        <v>39777</v>
      </c>
    </row>
    <row r="32" spans="1:17">
      <c r="A32" s="51" t="s">
        <v>19</v>
      </c>
      <c r="B32" s="70">
        <v>1051</v>
      </c>
      <c r="C32" s="70">
        <v>776</v>
      </c>
      <c r="D32" s="70">
        <v>791</v>
      </c>
      <c r="E32" s="70">
        <v>1764</v>
      </c>
      <c r="F32" s="66">
        <v>2111</v>
      </c>
      <c r="G32" s="66">
        <v>2349</v>
      </c>
      <c r="H32" s="66">
        <v>2132</v>
      </c>
      <c r="I32" s="66">
        <v>4855</v>
      </c>
      <c r="J32" s="66">
        <v>3956</v>
      </c>
      <c r="K32" s="66">
        <v>4106</v>
      </c>
      <c r="L32" s="66">
        <v>4061</v>
      </c>
      <c r="M32" s="66">
        <v>6580</v>
      </c>
      <c r="N32" s="66">
        <v>4946</v>
      </c>
      <c r="O32" s="66">
        <v>6331</v>
      </c>
      <c r="P32" s="66">
        <v>7286</v>
      </c>
      <c r="Q32" s="66">
        <v>5718</v>
      </c>
    </row>
    <row r="33" spans="1:17">
      <c r="A33" s="51" t="s">
        <v>20</v>
      </c>
      <c r="B33" s="70">
        <v>1636</v>
      </c>
      <c r="C33" s="70">
        <v>2014</v>
      </c>
      <c r="D33" s="70">
        <v>2583</v>
      </c>
      <c r="E33" s="70">
        <v>3453</v>
      </c>
      <c r="F33" s="66">
        <v>4318</v>
      </c>
      <c r="G33" s="66">
        <v>5546</v>
      </c>
      <c r="H33" s="66">
        <v>0</v>
      </c>
      <c r="I33" s="66">
        <v>0</v>
      </c>
      <c r="J33" s="66">
        <v>0</v>
      </c>
      <c r="K33" s="66">
        <v>0</v>
      </c>
      <c r="L33" s="66">
        <v>0</v>
      </c>
      <c r="M33" s="66">
        <v>0</v>
      </c>
      <c r="N33" s="66">
        <v>0</v>
      </c>
      <c r="O33" s="66">
        <v>0</v>
      </c>
      <c r="P33" s="66">
        <v>0</v>
      </c>
      <c r="Q33" s="66">
        <v>0</v>
      </c>
    </row>
    <row r="34" spans="1:17">
      <c r="A34" s="51" t="s">
        <v>21</v>
      </c>
      <c r="B34" s="70">
        <v>4414</v>
      </c>
      <c r="C34" s="70">
        <v>6348</v>
      </c>
      <c r="D34" s="70">
        <v>7762</v>
      </c>
      <c r="E34" s="70">
        <v>7539</v>
      </c>
      <c r="F34" s="66">
        <v>9759</v>
      </c>
      <c r="G34" s="66">
        <v>13494</v>
      </c>
      <c r="H34" s="66">
        <v>13545</v>
      </c>
      <c r="I34" s="66">
        <v>17799</v>
      </c>
      <c r="J34" s="66">
        <v>25809</v>
      </c>
      <c r="K34" s="66">
        <v>22878</v>
      </c>
      <c r="L34" s="66">
        <v>21325</v>
      </c>
      <c r="M34" s="66">
        <v>25228</v>
      </c>
      <c r="N34" s="66">
        <v>32748</v>
      </c>
      <c r="O34" s="66">
        <v>31477</v>
      </c>
      <c r="P34" s="66">
        <v>32833</v>
      </c>
      <c r="Q34" s="66">
        <v>33180</v>
      </c>
    </row>
    <row r="35" spans="1:17">
      <c r="A35" s="51" t="s">
        <v>22</v>
      </c>
      <c r="B35" s="70">
        <v>3447</v>
      </c>
      <c r="C35" s="70">
        <v>4529</v>
      </c>
      <c r="D35" s="70">
        <v>6458</v>
      </c>
      <c r="E35" s="70">
        <v>6882</v>
      </c>
      <c r="F35" s="66">
        <v>9806</v>
      </c>
      <c r="G35" s="66">
        <v>9539</v>
      </c>
      <c r="H35" s="66">
        <v>8283</v>
      </c>
      <c r="I35" s="66">
        <v>13936</v>
      </c>
      <c r="J35" s="66">
        <v>12087</v>
      </c>
      <c r="K35" s="66">
        <v>12352</v>
      </c>
      <c r="L35" s="66">
        <v>11264</v>
      </c>
      <c r="M35" s="66">
        <v>14111</v>
      </c>
      <c r="N35" s="66">
        <v>21223</v>
      </c>
      <c r="O35" s="66">
        <v>14695</v>
      </c>
      <c r="P35" s="66">
        <v>14287</v>
      </c>
      <c r="Q35" s="66">
        <v>14585</v>
      </c>
    </row>
    <row r="36" spans="1:17">
      <c r="A36" s="63" t="s">
        <v>23</v>
      </c>
      <c r="B36" s="64">
        <f>B29+B30+B31+B32+B33+B34+B35</f>
        <v>41678</v>
      </c>
      <c r="C36" s="64">
        <f t="shared" ref="C36:Q36" si="7">C29+C30+C31+C32+C33+C34+C35</f>
        <v>44988</v>
      </c>
      <c r="D36" s="64">
        <f t="shared" si="7"/>
        <v>57653</v>
      </c>
      <c r="E36" s="64">
        <f t="shared" si="7"/>
        <v>73286</v>
      </c>
      <c r="F36" s="64">
        <f t="shared" si="7"/>
        <v>68531</v>
      </c>
      <c r="G36" s="64">
        <f t="shared" si="7"/>
        <v>89378</v>
      </c>
      <c r="H36" s="64">
        <f t="shared" si="7"/>
        <v>106869</v>
      </c>
      <c r="I36" s="64">
        <f t="shared" si="7"/>
        <v>128645</v>
      </c>
      <c r="J36" s="64">
        <f t="shared" si="7"/>
        <v>131339</v>
      </c>
      <c r="K36" s="64">
        <f t="shared" si="7"/>
        <v>162819</v>
      </c>
      <c r="L36" s="64">
        <f t="shared" si="7"/>
        <v>143713</v>
      </c>
      <c r="M36" s="64">
        <f t="shared" si="7"/>
        <v>134836</v>
      </c>
      <c r="N36" s="64">
        <f t="shared" si="7"/>
        <v>135405</v>
      </c>
      <c r="O36" s="64">
        <f t="shared" si="7"/>
        <v>143566</v>
      </c>
      <c r="P36" s="64">
        <f t="shared" si="7"/>
        <v>152987</v>
      </c>
      <c r="Q36" s="64">
        <f t="shared" si="7"/>
        <v>147957</v>
      </c>
    </row>
    <row r="37" spans="1:17">
      <c r="A37" s="80"/>
      <c r="B37" s="81"/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</row>
    <row r="38" spans="1:17">
      <c r="A38" s="80" t="s">
        <v>24</v>
      </c>
      <c r="B38" s="70">
        <v>4768</v>
      </c>
      <c r="C38" s="70">
        <v>7777</v>
      </c>
      <c r="D38" s="70">
        <v>15452</v>
      </c>
      <c r="E38" s="70">
        <v>16597</v>
      </c>
      <c r="F38" s="70">
        <v>20624</v>
      </c>
      <c r="G38" s="70">
        <v>22471</v>
      </c>
      <c r="H38" s="70">
        <v>27010</v>
      </c>
      <c r="I38" s="70">
        <v>33783</v>
      </c>
      <c r="J38" s="70">
        <v>41304</v>
      </c>
      <c r="K38" s="70">
        <v>37378</v>
      </c>
      <c r="L38" s="70">
        <v>36766</v>
      </c>
      <c r="M38" s="70">
        <v>39440</v>
      </c>
      <c r="N38" s="70">
        <v>42117</v>
      </c>
      <c r="O38" s="70">
        <v>43715</v>
      </c>
      <c r="P38" s="70">
        <v>45680</v>
      </c>
      <c r="Q38" s="70">
        <v>49834</v>
      </c>
    </row>
    <row r="39" spans="1:17">
      <c r="A39" s="51" t="s">
        <v>25</v>
      </c>
      <c r="B39" s="70">
        <v>25391</v>
      </c>
      <c r="C39" s="70">
        <v>55618</v>
      </c>
      <c r="D39" s="70">
        <v>92122</v>
      </c>
      <c r="E39" s="70">
        <v>106215</v>
      </c>
      <c r="F39" s="66">
        <v>130162</v>
      </c>
      <c r="G39" s="66">
        <v>164065</v>
      </c>
      <c r="H39" s="66">
        <v>170430</v>
      </c>
      <c r="I39" s="66">
        <v>194714</v>
      </c>
      <c r="J39" s="66">
        <v>170799</v>
      </c>
      <c r="K39" s="66">
        <v>105341</v>
      </c>
      <c r="L39" s="66">
        <v>100887</v>
      </c>
      <c r="M39" s="66">
        <v>127877</v>
      </c>
      <c r="N39" s="66">
        <v>120805</v>
      </c>
      <c r="O39" s="66">
        <v>100544</v>
      </c>
      <c r="P39" s="66">
        <v>91479</v>
      </c>
      <c r="Q39" s="66">
        <v>77723</v>
      </c>
    </row>
    <row r="40" spans="1:17">
      <c r="A40" s="51" t="s">
        <v>26</v>
      </c>
      <c r="B40" s="70">
        <v>741</v>
      </c>
      <c r="C40" s="70">
        <v>896</v>
      </c>
      <c r="D40" s="70">
        <v>1135</v>
      </c>
      <c r="E40" s="70">
        <v>1577</v>
      </c>
      <c r="F40" s="66">
        <v>4616</v>
      </c>
      <c r="G40" s="66">
        <v>5116</v>
      </c>
      <c r="H40" s="66">
        <v>5414</v>
      </c>
      <c r="I40" s="66">
        <v>5717</v>
      </c>
      <c r="J40" s="66">
        <v>0</v>
      </c>
      <c r="K40" s="66">
        <v>0</v>
      </c>
      <c r="L40" s="66">
        <v>0</v>
      </c>
      <c r="M40" s="66">
        <v>0</v>
      </c>
      <c r="N40" s="66">
        <v>0</v>
      </c>
      <c r="O40" s="66">
        <v>0</v>
      </c>
      <c r="P40" s="66">
        <v>0</v>
      </c>
      <c r="Q40" s="66">
        <v>0</v>
      </c>
    </row>
    <row r="41" spans="1:17">
      <c r="A41" s="51" t="s">
        <v>27</v>
      </c>
      <c r="B41" s="70">
        <v>342</v>
      </c>
      <c r="C41" s="70">
        <v>3536</v>
      </c>
      <c r="D41" s="70">
        <v>4224</v>
      </c>
      <c r="E41" s="70">
        <v>4179</v>
      </c>
      <c r="F41" s="66">
        <v>4142</v>
      </c>
      <c r="G41" s="66">
        <v>3893</v>
      </c>
      <c r="H41" s="66">
        <v>3206</v>
      </c>
      <c r="I41" s="66">
        <v>2298</v>
      </c>
      <c r="J41" s="66">
        <v>0</v>
      </c>
      <c r="K41" s="66">
        <v>0</v>
      </c>
      <c r="L41" s="66">
        <v>0</v>
      </c>
      <c r="M41" s="66">
        <v>0</v>
      </c>
      <c r="N41" s="66">
        <v>0</v>
      </c>
      <c r="O41" s="66">
        <v>0</v>
      </c>
      <c r="P41" s="66">
        <v>0</v>
      </c>
      <c r="Q41" s="66">
        <v>0</v>
      </c>
    </row>
    <row r="42" spans="1:17">
      <c r="A42" s="51" t="s">
        <v>28</v>
      </c>
      <c r="B42" s="70">
        <v>2263</v>
      </c>
      <c r="C42" s="70">
        <v>3556</v>
      </c>
      <c r="D42" s="70">
        <v>5478</v>
      </c>
      <c r="E42" s="70">
        <v>5146</v>
      </c>
      <c r="F42" s="66">
        <v>3764</v>
      </c>
      <c r="G42" s="66">
        <v>5556</v>
      </c>
      <c r="H42" s="66">
        <v>8757</v>
      </c>
      <c r="I42" s="66">
        <v>10162</v>
      </c>
      <c r="J42" s="66">
        <v>0</v>
      </c>
      <c r="K42" s="66">
        <v>0</v>
      </c>
      <c r="L42" s="66">
        <v>0</v>
      </c>
      <c r="M42" s="66">
        <v>0</v>
      </c>
      <c r="N42" s="66">
        <v>0</v>
      </c>
      <c r="O42" s="66">
        <v>0</v>
      </c>
      <c r="P42" s="66">
        <v>0</v>
      </c>
      <c r="Q42" s="66">
        <v>0</v>
      </c>
    </row>
    <row r="43" spans="1:17">
      <c r="A43" s="51" t="s">
        <v>29</v>
      </c>
      <c r="B43" s="70">
        <v>0</v>
      </c>
      <c r="C43" s="70">
        <v>0</v>
      </c>
      <c r="D43" s="70">
        <v>0</v>
      </c>
      <c r="E43" s="70">
        <v>0</v>
      </c>
      <c r="F43" s="66">
        <v>0</v>
      </c>
      <c r="G43" s="66">
        <v>0</v>
      </c>
      <c r="H43" s="66">
        <v>0</v>
      </c>
      <c r="I43" s="66">
        <v>0</v>
      </c>
      <c r="J43" s="66">
        <v>22283</v>
      </c>
      <c r="K43" s="66">
        <v>32978</v>
      </c>
      <c r="L43" s="66">
        <v>42522</v>
      </c>
      <c r="M43" s="66">
        <v>48849</v>
      </c>
      <c r="N43" s="66">
        <v>54428</v>
      </c>
      <c r="O43" s="66">
        <v>64758</v>
      </c>
      <c r="P43" s="66">
        <v>74834</v>
      </c>
      <c r="Q43" s="66">
        <v>83727</v>
      </c>
    </row>
    <row r="44" spans="1:17">
      <c r="A44" s="63" t="s">
        <v>30</v>
      </c>
      <c r="B44" s="64">
        <f>B38+B39+B40+B41+B42+B43</f>
        <v>33505</v>
      </c>
      <c r="C44" s="64">
        <f t="shared" ref="C44:Q44" si="8">C38+C39+C40+C41+C42+C43</f>
        <v>71383</v>
      </c>
      <c r="D44" s="64">
        <f t="shared" si="8"/>
        <v>118411</v>
      </c>
      <c r="E44" s="64">
        <f t="shared" si="8"/>
        <v>133714</v>
      </c>
      <c r="F44" s="64">
        <f t="shared" si="8"/>
        <v>163308</v>
      </c>
      <c r="G44" s="64">
        <f t="shared" si="8"/>
        <v>201101</v>
      </c>
      <c r="H44" s="64">
        <f t="shared" si="8"/>
        <v>214817</v>
      </c>
      <c r="I44" s="64">
        <f t="shared" si="8"/>
        <v>246674</v>
      </c>
      <c r="J44" s="64">
        <f t="shared" si="8"/>
        <v>234386</v>
      </c>
      <c r="K44" s="64">
        <f t="shared" si="8"/>
        <v>175697</v>
      </c>
      <c r="L44" s="64">
        <f t="shared" si="8"/>
        <v>180175</v>
      </c>
      <c r="M44" s="64">
        <f t="shared" si="8"/>
        <v>216166</v>
      </c>
      <c r="N44" s="64">
        <f t="shared" si="8"/>
        <v>217350</v>
      </c>
      <c r="O44" s="64">
        <f t="shared" si="8"/>
        <v>209017</v>
      </c>
      <c r="P44" s="64">
        <f t="shared" si="8"/>
        <v>211993</v>
      </c>
      <c r="Q44" s="64">
        <f t="shared" si="8"/>
        <v>211284</v>
      </c>
    </row>
    <row r="45" spans="1:17">
      <c r="A45" s="63" t="s">
        <v>31</v>
      </c>
      <c r="B45" s="64">
        <f t="shared" ref="B45:Q45" si="9">B36+B44</f>
        <v>75183</v>
      </c>
      <c r="C45" s="64">
        <f t="shared" si="9"/>
        <v>116371</v>
      </c>
      <c r="D45" s="64">
        <f t="shared" si="9"/>
        <v>176064</v>
      </c>
      <c r="E45" s="64">
        <f t="shared" si="9"/>
        <v>207000</v>
      </c>
      <c r="F45" s="67">
        <f t="shared" si="9"/>
        <v>231839</v>
      </c>
      <c r="G45" s="67">
        <f t="shared" si="9"/>
        <v>290479</v>
      </c>
      <c r="H45" s="67">
        <f t="shared" si="9"/>
        <v>321686</v>
      </c>
      <c r="I45" s="67">
        <f t="shared" si="9"/>
        <v>375319</v>
      </c>
      <c r="J45" s="67">
        <f t="shared" si="9"/>
        <v>365725</v>
      </c>
      <c r="K45" s="67">
        <f t="shared" si="9"/>
        <v>338516</v>
      </c>
      <c r="L45" s="67">
        <f t="shared" si="9"/>
        <v>323888</v>
      </c>
      <c r="M45" s="67">
        <f t="shared" si="9"/>
        <v>351002</v>
      </c>
      <c r="N45" s="67">
        <f t="shared" si="9"/>
        <v>352755</v>
      </c>
      <c r="O45" s="67">
        <f t="shared" si="9"/>
        <v>352583</v>
      </c>
      <c r="P45" s="67">
        <f t="shared" si="9"/>
        <v>364980</v>
      </c>
      <c r="Q45" s="67">
        <f t="shared" si="9"/>
        <v>359241</v>
      </c>
    </row>
    <row r="46" spans="1:17">
      <c r="A46" s="80"/>
      <c r="B46" s="81"/>
      <c r="C46" s="81"/>
      <c r="D46" s="81"/>
      <c r="E46" s="81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</row>
    <row r="47" spans="1:17">
      <c r="A47" s="51" t="s">
        <v>32</v>
      </c>
      <c r="B47" s="70">
        <v>0</v>
      </c>
      <c r="C47" s="70">
        <v>0</v>
      </c>
      <c r="D47" s="70">
        <v>0</v>
      </c>
      <c r="E47" s="70">
        <v>0</v>
      </c>
      <c r="F47" s="66">
        <v>0</v>
      </c>
      <c r="G47" s="66">
        <v>0</v>
      </c>
      <c r="H47" s="66">
        <v>0</v>
      </c>
      <c r="I47" s="66">
        <v>0</v>
      </c>
      <c r="J47" s="66">
        <v>0</v>
      </c>
      <c r="K47" s="66">
        <v>0</v>
      </c>
      <c r="L47" s="66">
        <v>0</v>
      </c>
      <c r="M47" s="66">
        <v>0</v>
      </c>
      <c r="N47" s="66">
        <v>0</v>
      </c>
      <c r="O47" s="66">
        <v>0</v>
      </c>
      <c r="P47" s="66">
        <v>0</v>
      </c>
      <c r="Q47" s="66">
        <v>0</v>
      </c>
    </row>
    <row r="48" spans="1:17">
      <c r="A48" s="51" t="s">
        <v>33</v>
      </c>
      <c r="B48" s="70">
        <v>12015</v>
      </c>
      <c r="C48" s="70">
        <v>14632</v>
      </c>
      <c r="D48" s="70">
        <v>21175</v>
      </c>
      <c r="E48" s="70">
        <v>22367</v>
      </c>
      <c r="F48" s="70">
        <v>30196</v>
      </c>
      <c r="G48" s="70">
        <v>35490</v>
      </c>
      <c r="H48" s="70">
        <v>37294</v>
      </c>
      <c r="I48" s="70">
        <v>49049</v>
      </c>
      <c r="J48" s="70">
        <v>55888</v>
      </c>
      <c r="K48" s="70">
        <v>46236</v>
      </c>
      <c r="L48" s="70">
        <v>42296</v>
      </c>
      <c r="M48" s="70">
        <v>54763</v>
      </c>
      <c r="N48" s="70">
        <v>64115</v>
      </c>
      <c r="O48" s="70">
        <v>62611</v>
      </c>
      <c r="P48" s="66">
        <v>68960</v>
      </c>
      <c r="Q48" s="66">
        <v>69860</v>
      </c>
    </row>
    <row r="49" spans="1:17">
      <c r="A49" s="51" t="s">
        <v>34</v>
      </c>
      <c r="B49" s="70">
        <v>5723</v>
      </c>
      <c r="C49" s="70">
        <v>9247</v>
      </c>
      <c r="D49" s="70">
        <v>11414</v>
      </c>
      <c r="E49" s="70">
        <v>13856</v>
      </c>
      <c r="F49" s="66">
        <v>18453</v>
      </c>
      <c r="G49" s="66">
        <v>25181</v>
      </c>
      <c r="H49" s="66">
        <v>22027</v>
      </c>
      <c r="I49" s="66">
        <v>25744</v>
      </c>
      <c r="J49" s="66">
        <v>0</v>
      </c>
      <c r="K49" s="66">
        <v>0</v>
      </c>
      <c r="L49" s="66">
        <v>0</v>
      </c>
      <c r="M49" s="66">
        <v>0</v>
      </c>
      <c r="N49" s="66">
        <v>0</v>
      </c>
      <c r="O49" s="66">
        <v>0</v>
      </c>
      <c r="P49" s="66">
        <v>0</v>
      </c>
      <c r="Q49" s="66">
        <v>0</v>
      </c>
    </row>
    <row r="50" spans="1:17">
      <c r="A50" s="51" t="s">
        <v>35</v>
      </c>
      <c r="B50" s="70">
        <v>2984</v>
      </c>
      <c r="C50" s="70">
        <v>4091</v>
      </c>
      <c r="D50" s="70">
        <v>5953</v>
      </c>
      <c r="E50" s="70">
        <v>7435</v>
      </c>
      <c r="F50" s="70">
        <v>8491</v>
      </c>
      <c r="G50" s="70">
        <v>8940</v>
      </c>
      <c r="H50" s="70">
        <v>8080</v>
      </c>
      <c r="I50" s="70">
        <v>7548</v>
      </c>
      <c r="J50" s="70">
        <v>7543</v>
      </c>
      <c r="K50" s="70">
        <v>5522</v>
      </c>
      <c r="L50" s="70">
        <v>6643</v>
      </c>
      <c r="M50" s="70">
        <v>7612</v>
      </c>
      <c r="N50" s="66">
        <v>7912</v>
      </c>
      <c r="O50" s="66">
        <v>8061</v>
      </c>
      <c r="P50" s="66">
        <v>8249</v>
      </c>
      <c r="Q50" s="66">
        <v>9055</v>
      </c>
    </row>
    <row r="51" spans="1:17">
      <c r="A51" s="51" t="s">
        <v>36</v>
      </c>
      <c r="B51" s="70">
        <v>0</v>
      </c>
      <c r="C51" s="70">
        <v>0</v>
      </c>
      <c r="D51" s="70">
        <v>0</v>
      </c>
      <c r="E51" s="70">
        <v>0</v>
      </c>
      <c r="F51" s="70">
        <v>0</v>
      </c>
      <c r="G51" s="70">
        <v>0</v>
      </c>
      <c r="H51" s="70">
        <v>0</v>
      </c>
      <c r="I51" s="70">
        <v>0</v>
      </c>
      <c r="J51" s="70">
        <v>32687</v>
      </c>
      <c r="K51" s="70">
        <v>37720</v>
      </c>
      <c r="L51" s="70">
        <v>42684</v>
      </c>
      <c r="M51" s="70">
        <v>47493</v>
      </c>
      <c r="N51" s="66">
        <v>60845</v>
      </c>
      <c r="O51" s="66">
        <v>58829</v>
      </c>
      <c r="P51" s="66">
        <v>78304</v>
      </c>
      <c r="Q51" s="66">
        <v>66387</v>
      </c>
    </row>
    <row r="52" spans="1:17">
      <c r="A52" s="51" t="s">
        <v>37</v>
      </c>
      <c r="B52" s="70">
        <v>0</v>
      </c>
      <c r="C52" s="70">
        <v>0</v>
      </c>
      <c r="D52" s="70">
        <v>0</v>
      </c>
      <c r="E52" s="70">
        <v>0</v>
      </c>
      <c r="F52" s="66">
        <v>6308</v>
      </c>
      <c r="G52" s="66">
        <v>8499</v>
      </c>
      <c r="H52" s="66">
        <v>8105</v>
      </c>
      <c r="I52" s="66">
        <v>11977</v>
      </c>
      <c r="J52" s="66">
        <v>11964</v>
      </c>
      <c r="K52" s="66">
        <v>5980</v>
      </c>
      <c r="L52" s="66">
        <v>4996</v>
      </c>
      <c r="M52" s="66">
        <v>6000</v>
      </c>
      <c r="N52" s="66">
        <v>9982</v>
      </c>
      <c r="O52" s="66">
        <v>5985</v>
      </c>
      <c r="P52" s="66">
        <v>9967</v>
      </c>
      <c r="Q52" s="66">
        <v>7979</v>
      </c>
    </row>
    <row r="53" spans="1:17">
      <c r="A53" s="51" t="s">
        <v>38</v>
      </c>
      <c r="B53" s="70">
        <v>0</v>
      </c>
      <c r="C53" s="70">
        <v>0</v>
      </c>
      <c r="D53" s="70">
        <v>0</v>
      </c>
      <c r="E53" s="70">
        <v>0</v>
      </c>
      <c r="F53" s="66">
        <v>0</v>
      </c>
      <c r="G53" s="66">
        <v>2500</v>
      </c>
      <c r="H53" s="66">
        <v>3500</v>
      </c>
      <c r="I53" s="66">
        <v>6496</v>
      </c>
      <c r="J53" s="66">
        <v>8784</v>
      </c>
      <c r="K53" s="66">
        <v>10260</v>
      </c>
      <c r="L53" s="66">
        <v>8773</v>
      </c>
      <c r="M53" s="66">
        <v>9613</v>
      </c>
      <c r="N53" s="66">
        <v>11128</v>
      </c>
      <c r="O53" s="66">
        <v>9822</v>
      </c>
      <c r="P53" s="66">
        <v>10912</v>
      </c>
      <c r="Q53" s="66">
        <v>12350</v>
      </c>
    </row>
    <row r="54" spans="1:17">
      <c r="A54" s="63" t="s">
        <v>39</v>
      </c>
      <c r="B54" s="64">
        <f t="shared" ref="B54:Q54" si="10">SUM(B47:B53)</f>
        <v>20722</v>
      </c>
      <c r="C54" s="64">
        <f t="shared" si="10"/>
        <v>27970</v>
      </c>
      <c r="D54" s="64">
        <f t="shared" si="10"/>
        <v>38542</v>
      </c>
      <c r="E54" s="64">
        <f t="shared" si="10"/>
        <v>43658</v>
      </c>
      <c r="F54" s="67">
        <f t="shared" si="10"/>
        <v>63448</v>
      </c>
      <c r="G54" s="67">
        <f t="shared" si="10"/>
        <v>80610</v>
      </c>
      <c r="H54" s="67">
        <f t="shared" si="10"/>
        <v>79006</v>
      </c>
      <c r="I54" s="67">
        <f t="shared" si="10"/>
        <v>100814</v>
      </c>
      <c r="J54" s="67">
        <f t="shared" si="10"/>
        <v>116866</v>
      </c>
      <c r="K54" s="67">
        <f t="shared" si="10"/>
        <v>105718</v>
      </c>
      <c r="L54" s="67">
        <f t="shared" si="10"/>
        <v>105392</v>
      </c>
      <c r="M54" s="67">
        <f t="shared" si="10"/>
        <v>125481</v>
      </c>
      <c r="N54" s="67">
        <f t="shared" si="10"/>
        <v>153982</v>
      </c>
      <c r="O54" s="67">
        <f t="shared" si="10"/>
        <v>145308</v>
      </c>
      <c r="P54" s="67">
        <f t="shared" si="10"/>
        <v>176392</v>
      </c>
      <c r="Q54" s="67">
        <f t="shared" si="10"/>
        <v>165631</v>
      </c>
    </row>
    <row r="55" spans="1:17">
      <c r="A55" s="80"/>
      <c r="B55" s="81"/>
      <c r="C55" s="81"/>
      <c r="D55" s="81"/>
      <c r="E55" s="81"/>
      <c r="F55" s="82"/>
      <c r="G55" s="82"/>
      <c r="H55" s="82"/>
      <c r="I55" s="82"/>
      <c r="J55" s="82"/>
      <c r="K55" s="82"/>
      <c r="L55" s="82"/>
      <c r="M55" s="82"/>
      <c r="N55" s="82"/>
      <c r="O55" s="82"/>
      <c r="P55" s="82"/>
      <c r="Q55" s="82"/>
    </row>
    <row r="56" spans="1:17">
      <c r="A56" s="51" t="s">
        <v>40</v>
      </c>
      <c r="B56" s="70">
        <v>0</v>
      </c>
      <c r="C56" s="70">
        <v>0</v>
      </c>
      <c r="D56" s="70">
        <v>0</v>
      </c>
      <c r="E56" s="70">
        <v>16960</v>
      </c>
      <c r="F56" s="66">
        <v>28987</v>
      </c>
      <c r="G56" s="66">
        <v>53463</v>
      </c>
      <c r="H56" s="66">
        <v>75427</v>
      </c>
      <c r="I56" s="66">
        <v>97207</v>
      </c>
      <c r="J56" s="66">
        <v>93735</v>
      </c>
      <c r="K56" s="66">
        <v>91807</v>
      </c>
      <c r="L56" s="66">
        <v>98667</v>
      </c>
      <c r="M56" s="66">
        <v>109106</v>
      </c>
      <c r="N56" s="66">
        <v>98959</v>
      </c>
      <c r="O56" s="66">
        <v>95281</v>
      </c>
      <c r="P56" s="66">
        <v>85750</v>
      </c>
      <c r="Q56" s="66">
        <v>78328</v>
      </c>
    </row>
    <row r="57" spans="1:17">
      <c r="A57" s="51" t="s">
        <v>41</v>
      </c>
      <c r="B57" s="70">
        <v>1139</v>
      </c>
      <c r="C57" s="70">
        <v>1686</v>
      </c>
      <c r="D57" s="70">
        <v>2648</v>
      </c>
      <c r="E57" s="70">
        <v>2625</v>
      </c>
      <c r="F57" s="70">
        <v>3031</v>
      </c>
      <c r="G57" s="70">
        <v>3624</v>
      </c>
      <c r="H57" s="70">
        <v>2930</v>
      </c>
      <c r="I57" s="70">
        <v>2836</v>
      </c>
      <c r="J57" s="70">
        <v>2797</v>
      </c>
      <c r="K57" s="70">
        <v>0</v>
      </c>
      <c r="L57" s="70">
        <v>0</v>
      </c>
      <c r="M57" s="70">
        <v>0</v>
      </c>
      <c r="N57" s="70">
        <v>0</v>
      </c>
      <c r="O57" s="70">
        <v>0</v>
      </c>
      <c r="P57" s="70">
        <v>0</v>
      </c>
      <c r="Q57" s="70">
        <v>0</v>
      </c>
    </row>
    <row r="58" spans="1:17">
      <c r="A58" s="51" t="s">
        <v>42</v>
      </c>
      <c r="B58" s="70">
        <v>5531</v>
      </c>
      <c r="C58" s="70">
        <v>10100</v>
      </c>
      <c r="D58" s="70">
        <v>16664</v>
      </c>
      <c r="E58" s="70">
        <v>20208</v>
      </c>
      <c r="F58" s="70">
        <v>24826</v>
      </c>
      <c r="G58" s="70">
        <v>33427</v>
      </c>
      <c r="H58" s="70">
        <v>36074</v>
      </c>
      <c r="I58" s="70">
        <v>40415</v>
      </c>
      <c r="J58" s="70">
        <v>45180</v>
      </c>
      <c r="K58" s="70">
        <v>50503</v>
      </c>
      <c r="L58" s="70">
        <v>54490</v>
      </c>
      <c r="M58" s="70">
        <v>53325</v>
      </c>
      <c r="N58" s="70">
        <v>49142</v>
      </c>
      <c r="O58" s="70">
        <v>49848</v>
      </c>
      <c r="P58" s="70">
        <v>45888</v>
      </c>
      <c r="Q58" s="70">
        <v>41549</v>
      </c>
    </row>
    <row r="59" spans="1:17">
      <c r="A59" s="63" t="s">
        <v>43</v>
      </c>
      <c r="B59" s="83">
        <f t="shared" ref="B59:Q59" si="11">SUM(B56:B58)</f>
        <v>6670</v>
      </c>
      <c r="C59" s="83">
        <f t="shared" si="11"/>
        <v>11786</v>
      </c>
      <c r="D59" s="83">
        <f t="shared" si="11"/>
        <v>19312</v>
      </c>
      <c r="E59" s="83">
        <f t="shared" si="11"/>
        <v>39793</v>
      </c>
      <c r="F59" s="84">
        <f t="shared" si="11"/>
        <v>56844</v>
      </c>
      <c r="G59" s="84">
        <f t="shared" si="11"/>
        <v>90514</v>
      </c>
      <c r="H59" s="84">
        <f t="shared" si="11"/>
        <v>114431</v>
      </c>
      <c r="I59" s="84">
        <f t="shared" si="11"/>
        <v>140458</v>
      </c>
      <c r="J59" s="84">
        <f t="shared" si="11"/>
        <v>141712</v>
      </c>
      <c r="K59" s="84">
        <f t="shared" si="11"/>
        <v>142310</v>
      </c>
      <c r="L59" s="84">
        <f t="shared" si="11"/>
        <v>153157</v>
      </c>
      <c r="M59" s="84">
        <f t="shared" si="11"/>
        <v>162431</v>
      </c>
      <c r="N59" s="84">
        <f t="shared" si="11"/>
        <v>148101</v>
      </c>
      <c r="O59" s="84">
        <f t="shared" si="11"/>
        <v>145129</v>
      </c>
      <c r="P59" s="84">
        <f t="shared" si="11"/>
        <v>131638</v>
      </c>
      <c r="Q59" s="84">
        <f t="shared" si="11"/>
        <v>119877</v>
      </c>
    </row>
    <row r="60" spans="1:17">
      <c r="A60" s="63" t="s">
        <v>44</v>
      </c>
      <c r="B60" s="60">
        <f t="shared" ref="B60:Q60" si="12">B54+B59</f>
        <v>27392</v>
      </c>
      <c r="C60" s="60">
        <f t="shared" si="12"/>
        <v>39756</v>
      </c>
      <c r="D60" s="60">
        <f t="shared" si="12"/>
        <v>57854</v>
      </c>
      <c r="E60" s="60">
        <f t="shared" si="12"/>
        <v>83451</v>
      </c>
      <c r="F60" s="60">
        <f t="shared" si="12"/>
        <v>120292</v>
      </c>
      <c r="G60" s="60">
        <f t="shared" si="12"/>
        <v>171124</v>
      </c>
      <c r="H60" s="60">
        <f t="shared" si="12"/>
        <v>193437</v>
      </c>
      <c r="I60" s="60">
        <f t="shared" si="12"/>
        <v>241272</v>
      </c>
      <c r="J60" s="60">
        <f t="shared" si="12"/>
        <v>258578</v>
      </c>
      <c r="K60" s="60">
        <f t="shared" si="12"/>
        <v>248028</v>
      </c>
      <c r="L60" s="60">
        <f t="shared" si="12"/>
        <v>258549</v>
      </c>
      <c r="M60" s="60">
        <f t="shared" si="12"/>
        <v>287912</v>
      </c>
      <c r="N60" s="60">
        <f t="shared" si="12"/>
        <v>302083</v>
      </c>
      <c r="O60" s="60">
        <f t="shared" si="12"/>
        <v>290437</v>
      </c>
      <c r="P60" s="60">
        <f t="shared" si="12"/>
        <v>308030</v>
      </c>
      <c r="Q60" s="60">
        <f t="shared" si="12"/>
        <v>285508</v>
      </c>
    </row>
    <row r="61" spans="1:17">
      <c r="A61" s="51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</row>
    <row r="62" spans="1:17">
      <c r="A62" s="51" t="s">
        <v>45</v>
      </c>
      <c r="B62" s="66">
        <v>10668</v>
      </c>
      <c r="C62" s="66">
        <v>13331</v>
      </c>
      <c r="D62" s="66">
        <v>16422</v>
      </c>
      <c r="E62" s="66">
        <v>19764</v>
      </c>
      <c r="F62" s="66">
        <v>23313</v>
      </c>
      <c r="G62" s="66">
        <v>27416</v>
      </c>
      <c r="H62" s="66">
        <v>31251</v>
      </c>
      <c r="I62" s="66">
        <v>35867</v>
      </c>
      <c r="J62" s="66">
        <v>40201</v>
      </c>
      <c r="K62" s="66">
        <v>45174</v>
      </c>
      <c r="L62" s="66">
        <v>50779</v>
      </c>
      <c r="M62" s="66">
        <v>57365</v>
      </c>
      <c r="N62" s="66">
        <v>64849</v>
      </c>
      <c r="O62" s="66">
        <v>73812</v>
      </c>
      <c r="P62" s="66">
        <v>83276</v>
      </c>
      <c r="Q62" s="66">
        <v>93568</v>
      </c>
    </row>
    <row r="63" spans="1:17">
      <c r="A63" s="51" t="s">
        <v>46</v>
      </c>
      <c r="B63" s="66">
        <v>37169</v>
      </c>
      <c r="C63" s="66">
        <v>62841</v>
      </c>
      <c r="D63" s="66">
        <v>101289</v>
      </c>
      <c r="E63" s="66">
        <v>104256</v>
      </c>
      <c r="F63" s="66">
        <v>87152</v>
      </c>
      <c r="G63" s="66">
        <v>92284</v>
      </c>
      <c r="H63" s="66">
        <v>96364</v>
      </c>
      <c r="I63" s="66">
        <v>98330</v>
      </c>
      <c r="J63" s="66">
        <v>70400</v>
      </c>
      <c r="K63" s="66">
        <v>45898</v>
      </c>
      <c r="L63" s="66">
        <v>14966</v>
      </c>
      <c r="M63" s="66">
        <v>5562</v>
      </c>
      <c r="N63" s="66">
        <v>0</v>
      </c>
      <c r="O63" s="66">
        <v>0</v>
      </c>
      <c r="P63" s="66">
        <v>0</v>
      </c>
      <c r="Q63" s="66">
        <v>0</v>
      </c>
    </row>
    <row r="64" spans="1:17">
      <c r="A64" s="51" t="s">
        <v>47</v>
      </c>
      <c r="B64" s="66">
        <v>0</v>
      </c>
      <c r="C64" s="66">
        <v>0</v>
      </c>
      <c r="D64" s="66">
        <v>0</v>
      </c>
      <c r="E64" s="66">
        <v>0</v>
      </c>
      <c r="F64" s="66">
        <v>0</v>
      </c>
      <c r="G64" s="66">
        <v>0</v>
      </c>
      <c r="H64" s="66">
        <v>0</v>
      </c>
      <c r="I64" s="66">
        <v>0</v>
      </c>
      <c r="J64" s="66">
        <v>0</v>
      </c>
      <c r="K64" s="66">
        <v>0</v>
      </c>
      <c r="L64" s="66">
        <v>0</v>
      </c>
      <c r="M64" s="66">
        <v>0</v>
      </c>
      <c r="N64" s="85">
        <v>-3068</v>
      </c>
      <c r="O64" s="85">
        <v>-214</v>
      </c>
      <c r="P64" s="85">
        <v>-19154</v>
      </c>
      <c r="Q64" s="85">
        <v>-14264</v>
      </c>
    </row>
    <row r="65" spans="1:17">
      <c r="A65" s="51" t="s">
        <v>48</v>
      </c>
      <c r="B65" s="85">
        <v>-46</v>
      </c>
      <c r="C65" s="66">
        <v>443</v>
      </c>
      <c r="D65" s="66">
        <v>499</v>
      </c>
      <c r="E65" s="85">
        <v>-471</v>
      </c>
      <c r="F65" s="66">
        <v>1082</v>
      </c>
      <c r="G65" s="85">
        <v>-345</v>
      </c>
      <c r="H65" s="66">
        <v>634</v>
      </c>
      <c r="I65" s="85">
        <v>-150</v>
      </c>
      <c r="J65" s="85">
        <v>-3454</v>
      </c>
      <c r="K65" s="85">
        <v>-584</v>
      </c>
      <c r="L65" s="85">
        <v>-406</v>
      </c>
      <c r="M65" s="66">
        <v>163</v>
      </c>
      <c r="N65" s="85">
        <v>-11109</v>
      </c>
      <c r="O65" s="85">
        <v>-11452</v>
      </c>
      <c r="P65" s="85">
        <v>-7172</v>
      </c>
      <c r="Q65" s="85">
        <v>-5571</v>
      </c>
    </row>
    <row r="66" spans="1:17">
      <c r="A66" s="63" t="s">
        <v>49</v>
      </c>
      <c r="B66" s="86">
        <f t="shared" ref="B66:Q66" si="13">SUM(B62:B65)</f>
        <v>47791</v>
      </c>
      <c r="C66" s="86">
        <f t="shared" si="13"/>
        <v>76615</v>
      </c>
      <c r="D66" s="86">
        <f t="shared" si="13"/>
        <v>118210</v>
      </c>
      <c r="E66" s="86">
        <f t="shared" si="13"/>
        <v>123549</v>
      </c>
      <c r="F66" s="86">
        <f t="shared" si="13"/>
        <v>111547</v>
      </c>
      <c r="G66" s="86">
        <f t="shared" si="13"/>
        <v>119355</v>
      </c>
      <c r="H66" s="86">
        <f t="shared" si="13"/>
        <v>128249</v>
      </c>
      <c r="I66" s="86">
        <f t="shared" si="13"/>
        <v>134047</v>
      </c>
      <c r="J66" s="86">
        <f t="shared" si="13"/>
        <v>107147</v>
      </c>
      <c r="K66" s="86">
        <f t="shared" si="13"/>
        <v>90488</v>
      </c>
      <c r="L66" s="86">
        <f t="shared" si="13"/>
        <v>65339</v>
      </c>
      <c r="M66" s="86">
        <f t="shared" si="13"/>
        <v>63090</v>
      </c>
      <c r="N66" s="86">
        <f t="shared" si="13"/>
        <v>50672</v>
      </c>
      <c r="O66" s="86">
        <f t="shared" si="13"/>
        <v>62146</v>
      </c>
      <c r="P66" s="86">
        <f t="shared" si="13"/>
        <v>56950</v>
      </c>
      <c r="Q66" s="86">
        <f t="shared" si="13"/>
        <v>73733</v>
      </c>
    </row>
    <row r="67" spans="1:17">
      <c r="A67" s="63" t="s">
        <v>50</v>
      </c>
      <c r="B67" s="87">
        <f t="shared" ref="B67:Q67" si="14">B60+B66</f>
        <v>75183</v>
      </c>
      <c r="C67" s="87">
        <f t="shared" si="14"/>
        <v>116371</v>
      </c>
      <c r="D67" s="87">
        <f t="shared" si="14"/>
        <v>176064</v>
      </c>
      <c r="E67" s="87">
        <f t="shared" si="14"/>
        <v>207000</v>
      </c>
      <c r="F67" s="87">
        <f t="shared" si="14"/>
        <v>231839</v>
      </c>
      <c r="G67" s="87">
        <f t="shared" si="14"/>
        <v>290479</v>
      </c>
      <c r="H67" s="87">
        <f t="shared" si="14"/>
        <v>321686</v>
      </c>
      <c r="I67" s="87">
        <f t="shared" si="14"/>
        <v>375319</v>
      </c>
      <c r="J67" s="87">
        <f t="shared" si="14"/>
        <v>365725</v>
      </c>
      <c r="K67" s="87">
        <f t="shared" si="14"/>
        <v>338516</v>
      </c>
      <c r="L67" s="87">
        <f t="shared" si="14"/>
        <v>323888</v>
      </c>
      <c r="M67" s="87">
        <f t="shared" si="14"/>
        <v>351002</v>
      </c>
      <c r="N67" s="87">
        <f t="shared" si="14"/>
        <v>352755</v>
      </c>
      <c r="O67" s="87">
        <f t="shared" si="14"/>
        <v>352583</v>
      </c>
      <c r="P67" s="87">
        <f t="shared" si="14"/>
        <v>364980</v>
      </c>
      <c r="Q67" s="87">
        <f t="shared" si="14"/>
        <v>359241</v>
      </c>
    </row>
    <row r="72" spans="1:17" ht="19.2" customHeight="1">
      <c r="A72" s="88" t="s">
        <v>65</v>
      </c>
      <c r="B72" s="88"/>
      <c r="C72" s="88"/>
      <c r="D72" s="88"/>
      <c r="E72" s="88"/>
      <c r="F72" s="88"/>
      <c r="G72" s="88"/>
      <c r="H72" s="88"/>
      <c r="I72" s="88"/>
      <c r="J72" s="88"/>
      <c r="K72" s="88"/>
      <c r="L72" s="88"/>
      <c r="M72" s="88"/>
      <c r="N72" s="88"/>
      <c r="O72" s="88"/>
      <c r="P72" s="88"/>
      <c r="Q72" s="88"/>
    </row>
    <row r="73" spans="1:17">
      <c r="A73" s="50" t="s">
        <v>66</v>
      </c>
      <c r="B73" s="89" t="str">
        <f>""</f>
        <v/>
      </c>
      <c r="C73" s="89">
        <f t="shared" ref="C73:Q73" si="15">IFERROR(C4/B4-1,"")</f>
        <v>0.65962437715599842</v>
      </c>
      <c r="D73" s="89">
        <f t="shared" si="15"/>
        <v>0.44581474193756976</v>
      </c>
      <c r="E73" s="89">
        <f t="shared" si="15"/>
        <v>9.2020855163953197E-2</v>
      </c>
      <c r="F73" s="89">
        <f t="shared" si="15"/>
        <v>6.9539523725937524E-2</v>
      </c>
      <c r="G73" s="89">
        <f t="shared" si="15"/>
        <v>0.27856341803659834</v>
      </c>
      <c r="H73" s="89">
        <f t="shared" si="15"/>
        <v>-7.7342061913013738E-2</v>
      </c>
      <c r="I73" s="89">
        <f t="shared" si="15"/>
        <v>6.304518199398057E-2</v>
      </c>
      <c r="J73" s="89">
        <f t="shared" si="15"/>
        <v>0.15861957650261305</v>
      </c>
      <c r="K73" s="89">
        <f t="shared" si="15"/>
        <v>-2.04107758052674E-2</v>
      </c>
      <c r="L73" s="89">
        <f t="shared" si="15"/>
        <v>5.5120803769784787E-2</v>
      </c>
      <c r="M73" s="89">
        <f t="shared" si="15"/>
        <v>0.33259384733074704</v>
      </c>
      <c r="N73" s="89">
        <f t="shared" si="15"/>
        <v>7.7937876041846099E-2</v>
      </c>
      <c r="O73" s="89">
        <f t="shared" si="15"/>
        <v>-2.800460530319937E-2</v>
      </c>
      <c r="P73" s="89">
        <f t="shared" si="15"/>
        <v>2.021994077514111E-2</v>
      </c>
      <c r="Q73" s="89">
        <f t="shared" si="15"/>
        <v>6.425511782832749E-2</v>
      </c>
    </row>
    <row r="74" spans="1:17">
      <c r="A74" s="50" t="s">
        <v>67</v>
      </c>
      <c r="B74" s="89">
        <f t="shared" ref="B74:Q74" si="16">IFERROR(B6/B4,"")</f>
        <v>0.39377539287083174</v>
      </c>
      <c r="C74" s="89">
        <f t="shared" si="16"/>
        <v>0.40478895878945764</v>
      </c>
      <c r="D74" s="89">
        <f t="shared" si="16"/>
        <v>0.43871239808827661</v>
      </c>
      <c r="E74" s="89">
        <f t="shared" si="16"/>
        <v>0.37624480720847231</v>
      </c>
      <c r="F74" s="89">
        <f t="shared" si="16"/>
        <v>0.38588035777783858</v>
      </c>
      <c r="G74" s="89">
        <f t="shared" si="16"/>
        <v>0.40059902017414373</v>
      </c>
      <c r="H74" s="89">
        <f t="shared" si="16"/>
        <v>0.39075955648097049</v>
      </c>
      <c r="I74" s="89">
        <f t="shared" si="16"/>
        <v>0.38469860491899105</v>
      </c>
      <c r="J74" s="89">
        <f t="shared" si="16"/>
        <v>0.38343718820007905</v>
      </c>
      <c r="K74" s="89">
        <f t="shared" si="16"/>
        <v>0.37817768109034722</v>
      </c>
      <c r="L74" s="89">
        <f t="shared" si="16"/>
        <v>0.38233247727810865</v>
      </c>
      <c r="M74" s="89">
        <f t="shared" si="16"/>
        <v>0.41779359625167778</v>
      </c>
      <c r="N74" s="89">
        <f t="shared" si="16"/>
        <v>0.43309630561360085</v>
      </c>
      <c r="O74" s="89">
        <f t="shared" si="16"/>
        <v>0.44131129577207562</v>
      </c>
      <c r="P74" s="89">
        <f t="shared" si="16"/>
        <v>0.46206349815233932</v>
      </c>
      <c r="Q74" s="89">
        <f t="shared" si="16"/>
        <v>0.46905164107160452</v>
      </c>
    </row>
    <row r="75" spans="1:17">
      <c r="A75" s="50" t="s">
        <v>68</v>
      </c>
      <c r="B75" s="89">
        <f t="shared" ref="B75:Q75" si="17">IFERROR(B11/B4,"")</f>
        <v>0.28187044844768111</v>
      </c>
      <c r="C75" s="89">
        <f t="shared" si="17"/>
        <v>0.31215068961376086</v>
      </c>
      <c r="D75" s="89">
        <f t="shared" si="17"/>
        <v>0.35295959311984054</v>
      </c>
      <c r="E75" s="89">
        <f t="shared" si="17"/>
        <v>0.28669475162366159</v>
      </c>
      <c r="F75" s="89">
        <f t="shared" si="17"/>
        <v>0.28722339232473537</v>
      </c>
      <c r="G75" s="89">
        <f t="shared" si="17"/>
        <v>0.30477290717326661</v>
      </c>
      <c r="H75" s="89">
        <f t="shared" si="17"/>
        <v>0.27835410106706115</v>
      </c>
      <c r="I75" s="89">
        <f t="shared" si="17"/>
        <v>0.26760428208729942</v>
      </c>
      <c r="J75" s="89">
        <f t="shared" si="17"/>
        <v>0.26694026619477024</v>
      </c>
      <c r="K75" s="89">
        <f t="shared" si="17"/>
        <v>0.24572017188496928</v>
      </c>
      <c r="L75" s="89">
        <f t="shared" si="17"/>
        <v>0.24147314354406862</v>
      </c>
      <c r="M75" s="89">
        <f t="shared" si="17"/>
        <v>0.29782377527561593</v>
      </c>
      <c r="N75" s="89">
        <f t="shared" si="17"/>
        <v>0.30288744395528594</v>
      </c>
      <c r="O75" s="89">
        <f t="shared" si="17"/>
        <v>0.29821412265024722</v>
      </c>
      <c r="P75" s="89">
        <f t="shared" si="17"/>
        <v>0.31510222870075566</v>
      </c>
      <c r="Q75" s="89">
        <f t="shared" si="17"/>
        <v>0.31970799762591884</v>
      </c>
    </row>
    <row r="76" spans="1:17">
      <c r="A76" s="50" t="s">
        <v>69</v>
      </c>
      <c r="B76" s="89">
        <f t="shared" ref="B76:Q76" si="18">IFERROR(B20/B4,"")</f>
        <v>0.21484093522422384</v>
      </c>
      <c r="C76" s="89">
        <f t="shared" si="18"/>
        <v>0.2394664153941376</v>
      </c>
      <c r="D76" s="89">
        <f t="shared" si="18"/>
        <v>0.26665090602397323</v>
      </c>
      <c r="E76" s="89">
        <f t="shared" si="18"/>
        <v>0.21670469837926393</v>
      </c>
      <c r="F76" s="89">
        <f t="shared" si="18"/>
        <v>0.21614376760852322</v>
      </c>
      <c r="G76" s="89">
        <f t="shared" si="18"/>
        <v>0.22845773698735639</v>
      </c>
      <c r="H76" s="89">
        <f t="shared" si="18"/>
        <v>0.211867983064288</v>
      </c>
      <c r="I76" s="89">
        <f t="shared" si="18"/>
        <v>0.21092420845075338</v>
      </c>
      <c r="J76" s="89">
        <f t="shared" si="18"/>
        <v>0.22414202074587247</v>
      </c>
      <c r="K76" s="89">
        <f t="shared" si="18"/>
        <v>0.21238094505984456</v>
      </c>
      <c r="L76" s="89">
        <f t="shared" si="18"/>
        <v>0.20913611278072236</v>
      </c>
      <c r="M76" s="89">
        <f t="shared" si="18"/>
        <v>0.25881793355694238</v>
      </c>
      <c r="N76" s="89">
        <f t="shared" si="18"/>
        <v>0.25309640705199732</v>
      </c>
      <c r="O76" s="89">
        <f t="shared" si="18"/>
        <v>0.25306234264320282</v>
      </c>
      <c r="P76" s="89">
        <f t="shared" si="18"/>
        <v>0.23971255769943867</v>
      </c>
      <c r="Q76" s="89">
        <f t="shared" si="18"/>
        <v>0.26915064121818238</v>
      </c>
    </row>
    <row r="77" spans="1:17">
      <c r="A77" s="50" t="s">
        <v>70</v>
      </c>
      <c r="B77" s="89" t="str">
        <f>""</f>
        <v/>
      </c>
      <c r="C77" s="89">
        <f t="shared" ref="C77:Q77" si="19">IFERROR(C20/AVERAGE(B66:C66),"")</f>
        <v>0.41673231194636917</v>
      </c>
      <c r="D77" s="89">
        <f t="shared" si="19"/>
        <v>0.42841524445014756</v>
      </c>
      <c r="E77" s="89">
        <f t="shared" si="19"/>
        <v>0.30639603903060486</v>
      </c>
      <c r="F77" s="89">
        <f t="shared" si="19"/>
        <v>0.33611801136556979</v>
      </c>
      <c r="G77" s="89">
        <f t="shared" si="19"/>
        <v>0.46248191873608718</v>
      </c>
      <c r="H77" s="89">
        <f t="shared" si="19"/>
        <v>0.36903281045540459</v>
      </c>
      <c r="I77" s="89">
        <f t="shared" si="19"/>
        <v>0.36867508463720378</v>
      </c>
      <c r="J77" s="89">
        <f t="shared" si="19"/>
        <v>0.49363582842027581</v>
      </c>
      <c r="K77" s="89">
        <f t="shared" si="19"/>
        <v>0.55917221139980267</v>
      </c>
      <c r="L77" s="89">
        <f t="shared" si="19"/>
        <v>0.73685561552234213</v>
      </c>
      <c r="M77" s="89">
        <f t="shared" si="19"/>
        <v>1.4744333444938449</v>
      </c>
      <c r="N77" s="89">
        <f t="shared" si="19"/>
        <v>1.7545929220653644</v>
      </c>
      <c r="O77" s="89">
        <f t="shared" si="19"/>
        <v>1.7194951160275842</v>
      </c>
      <c r="P77" s="89">
        <f t="shared" si="19"/>
        <v>1.5741250755692886</v>
      </c>
      <c r="Q77" s="89">
        <f t="shared" si="19"/>
        <v>1.7142244974480232</v>
      </c>
    </row>
    <row r="78" spans="1:17">
      <c r="A78" s="50" t="s">
        <v>71</v>
      </c>
      <c r="B78" s="89" t="str">
        <f>""</f>
        <v/>
      </c>
      <c r="C78" s="89">
        <f t="shared" ref="C78:Q78" si="20">IFERROR(C20/AVERAGE(B45:C45),"")</f>
        <v>0.27064952963655159</v>
      </c>
      <c r="D78" s="89">
        <f t="shared" si="20"/>
        <v>0.28541727221433821</v>
      </c>
      <c r="E78" s="89">
        <f t="shared" si="20"/>
        <v>0.19337238685963704</v>
      </c>
      <c r="F78" s="89">
        <f t="shared" si="20"/>
        <v>0.18006603788633188</v>
      </c>
      <c r="G78" s="89">
        <f t="shared" si="20"/>
        <v>0.2044501625446567</v>
      </c>
      <c r="H78" s="89">
        <f t="shared" si="20"/>
        <v>0.14926367891009776</v>
      </c>
      <c r="I78" s="89">
        <f t="shared" si="20"/>
        <v>0.1387393203779026</v>
      </c>
      <c r="J78" s="89">
        <f t="shared" si="20"/>
        <v>0.160667922552507</v>
      </c>
      <c r="K78" s="89">
        <f t="shared" si="20"/>
        <v>0.15692355315864881</v>
      </c>
      <c r="L78" s="89">
        <f t="shared" si="20"/>
        <v>0.1733413445570981</v>
      </c>
      <c r="M78" s="89">
        <f t="shared" si="20"/>
        <v>0.28057905732786081</v>
      </c>
      <c r="N78" s="89">
        <f t="shared" si="20"/>
        <v>0.28362915040276687</v>
      </c>
      <c r="O78" s="89">
        <f t="shared" si="20"/>
        <v>0.27503126160790997</v>
      </c>
      <c r="P78" s="89">
        <f t="shared" si="20"/>
        <v>0.26126207733676349</v>
      </c>
      <c r="Q78" s="89">
        <f t="shared" si="20"/>
        <v>0.3093254683307996</v>
      </c>
    </row>
    <row r="79" spans="1:17">
      <c r="A79" s="50" t="s">
        <v>72</v>
      </c>
      <c r="B79" s="89">
        <f t="shared" ref="B79:Q79" si="21">IFERROR(B8/B4,"")</f>
        <v>2.7320812571866616E-2</v>
      </c>
      <c r="C79" s="89">
        <f t="shared" si="21"/>
        <v>2.2439006364954873E-2</v>
      </c>
      <c r="D79" s="89">
        <f t="shared" si="21"/>
        <v>2.1602729572929181E-2</v>
      </c>
      <c r="E79" s="89">
        <f t="shared" si="21"/>
        <v>2.6183371365045931E-2</v>
      </c>
      <c r="F79" s="89">
        <f t="shared" si="21"/>
        <v>3.3047949889220163E-2</v>
      </c>
      <c r="G79" s="89">
        <f t="shared" si="21"/>
        <v>3.4516398177267184E-2</v>
      </c>
      <c r="H79" s="89">
        <f t="shared" si="21"/>
        <v>4.6582482760539605E-2</v>
      </c>
      <c r="I79" s="89">
        <f t="shared" si="21"/>
        <v>5.0520428906706681E-2</v>
      </c>
      <c r="J79" s="89">
        <f t="shared" si="21"/>
        <v>5.3600406634161032E-2</v>
      </c>
      <c r="K79" s="89">
        <f t="shared" si="21"/>
        <v>6.233136285716482E-2</v>
      </c>
      <c r="L79" s="89">
        <f t="shared" si="21"/>
        <v>6.8309564140393061E-2</v>
      </c>
      <c r="M79" s="89">
        <f t="shared" si="21"/>
        <v>5.9904269074427925E-2</v>
      </c>
      <c r="N79" s="89">
        <f t="shared" si="21"/>
        <v>6.657148363798665E-2</v>
      </c>
      <c r="O79" s="89">
        <f t="shared" si="21"/>
        <v>7.8048971392045086E-2</v>
      </c>
      <c r="P79" s="89">
        <f t="shared" si="21"/>
        <v>8.0222997941360744E-2</v>
      </c>
      <c r="Q79" s="89">
        <f t="shared" si="21"/>
        <v>8.3020753987038676E-2</v>
      </c>
    </row>
    <row r="80" spans="1:17">
      <c r="A80" s="50" t="s">
        <v>73</v>
      </c>
      <c r="B80" s="89">
        <f t="shared" ref="B80:Q80" si="22">IFERROR(B19/B18,"")</f>
        <v>0.24417475728155341</v>
      </c>
      <c r="C80" s="89">
        <f t="shared" si="22"/>
        <v>0.24215757930127174</v>
      </c>
      <c r="D80" s="89">
        <f t="shared" si="22"/>
        <v>0.25160052364471064</v>
      </c>
      <c r="E80" s="89">
        <f t="shared" si="22"/>
        <v>0.26154919748778788</v>
      </c>
      <c r="F80" s="89">
        <f t="shared" si="22"/>
        <v>0.26126058747639436</v>
      </c>
      <c r="G80" s="89">
        <f t="shared" si="22"/>
        <v>0.26368337585327173</v>
      </c>
      <c r="H80" s="89">
        <f t="shared" si="22"/>
        <v>0.25557257381216192</v>
      </c>
      <c r="I80" s="89">
        <f t="shared" si="22"/>
        <v>0.24556476150353415</v>
      </c>
      <c r="J80" s="89">
        <f t="shared" si="22"/>
        <v>0.18342180705869443</v>
      </c>
      <c r="K80" s="89">
        <f t="shared" si="22"/>
        <v>0.15943836804235059</v>
      </c>
      <c r="L80" s="89">
        <f t="shared" si="22"/>
        <v>0.14428164731484103</v>
      </c>
      <c r="M80" s="89">
        <f t="shared" si="22"/>
        <v>0.13302260844085087</v>
      </c>
      <c r="N80" s="89">
        <f t="shared" si="22"/>
        <v>0.16204461684424407</v>
      </c>
      <c r="O80" s="89">
        <f t="shared" si="22"/>
        <v>0.14719174228036858</v>
      </c>
      <c r="P80" s="89">
        <f t="shared" si="22"/>
        <v>0.24091185164189982</v>
      </c>
      <c r="Q80" s="89">
        <f t="shared" si="22"/>
        <v>0.15610002335586043</v>
      </c>
    </row>
    <row r="83" spans="1:17" ht="19.2" customHeight="1">
      <c r="A83" s="88" t="s">
        <v>74</v>
      </c>
      <c r="B83" s="88"/>
      <c r="C83" s="88"/>
      <c r="D83" s="88"/>
      <c r="E83" s="88"/>
      <c r="F83" s="88"/>
      <c r="G83" s="88"/>
      <c r="H83" s="88"/>
      <c r="I83" s="88"/>
      <c r="J83" s="88"/>
      <c r="K83" s="88"/>
      <c r="L83" s="88"/>
      <c r="M83" s="88"/>
      <c r="N83" s="88"/>
      <c r="O83" s="88"/>
      <c r="P83" s="88"/>
      <c r="Q83" s="88"/>
    </row>
    <row r="84" spans="1:17">
      <c r="A84" s="50" t="s">
        <v>75</v>
      </c>
      <c r="B84" s="90">
        <f t="shared" ref="B84:Q84" si="23">IFERROR(B36/B54,"")</f>
        <v>2.0112923462986196</v>
      </c>
      <c r="C84" s="90">
        <f t="shared" si="23"/>
        <v>1.6084376117268502</v>
      </c>
      <c r="D84" s="90">
        <f t="shared" si="23"/>
        <v>1.4958486845519174</v>
      </c>
      <c r="E84" s="90">
        <f t="shared" si="23"/>
        <v>1.6786385084062485</v>
      </c>
      <c r="F84" s="90">
        <f t="shared" si="23"/>
        <v>1.0801128483167317</v>
      </c>
      <c r="G84" s="90">
        <f t="shared" si="23"/>
        <v>1.1087706239920605</v>
      </c>
      <c r="H84" s="90">
        <f t="shared" si="23"/>
        <v>1.352669417512594</v>
      </c>
      <c r="I84" s="90">
        <f t="shared" si="23"/>
        <v>1.2760628484139107</v>
      </c>
      <c r="J84" s="90">
        <f t="shared" si="23"/>
        <v>1.1238426916297297</v>
      </c>
      <c r="K84" s="90">
        <f t="shared" si="23"/>
        <v>1.540125617208044</v>
      </c>
      <c r="L84" s="90">
        <f t="shared" si="23"/>
        <v>1.3636044481554577</v>
      </c>
      <c r="M84" s="90">
        <f t="shared" si="23"/>
        <v>1.0745531195957954</v>
      </c>
      <c r="N84" s="90">
        <f t="shared" si="23"/>
        <v>0.87935602862672257</v>
      </c>
      <c r="O84" s="90">
        <f t="shared" si="23"/>
        <v>0.98801167175929749</v>
      </c>
      <c r="P84" s="90">
        <f t="shared" si="23"/>
        <v>0.86731257653408322</v>
      </c>
      <c r="Q84" s="90">
        <f t="shared" si="23"/>
        <v>0.89329292221866674</v>
      </c>
    </row>
    <row r="85" spans="1:17">
      <c r="A85" s="50" t="s">
        <v>76</v>
      </c>
      <c r="B85" s="90">
        <f t="shared" ref="B85:Q85" si="24">IFERROR((B29+B30+B31)/B54,"")</f>
        <v>1.5022681208377571</v>
      </c>
      <c r="C85" s="90">
        <f t="shared" si="24"/>
        <v>1.1198069360028602</v>
      </c>
      <c r="D85" s="90">
        <f t="shared" si="24"/>
        <v>1.0393596595921333</v>
      </c>
      <c r="E85" s="90">
        <f t="shared" si="24"/>
        <v>1.2288240414127996</v>
      </c>
      <c r="F85" s="90">
        <f t="shared" si="24"/>
        <v>0.67042302357836336</v>
      </c>
      <c r="G85" s="90">
        <f t="shared" si="24"/>
        <v>0.72509614191787619</v>
      </c>
      <c r="H85" s="90">
        <f t="shared" si="24"/>
        <v>1.0494013112928131</v>
      </c>
      <c r="I85" s="90">
        <f t="shared" si="24"/>
        <v>0.91311722578213339</v>
      </c>
      <c r="J85" s="90">
        <f t="shared" si="24"/>
        <v>0.76572313589923502</v>
      </c>
      <c r="K85" s="90">
        <f t="shared" si="24"/>
        <v>1.1680413931402409</v>
      </c>
      <c r="L85" s="90">
        <f t="shared" si="24"/>
        <v>1.0158550933657204</v>
      </c>
      <c r="M85" s="90">
        <f t="shared" si="24"/>
        <v>0.70860927152317876</v>
      </c>
      <c r="N85" s="90">
        <f t="shared" si="24"/>
        <v>0.49673338442155579</v>
      </c>
      <c r="O85" s="90">
        <f t="shared" si="24"/>
        <v>0.62668951468604617</v>
      </c>
      <c r="P85" s="90">
        <f t="shared" si="24"/>
        <v>0.5588745521338836</v>
      </c>
      <c r="Q85" s="90">
        <f t="shared" si="24"/>
        <v>0.57038839347706649</v>
      </c>
    </row>
    <row r="86" spans="1:17">
      <c r="A86" s="50" t="s">
        <v>77</v>
      </c>
      <c r="B86" s="90">
        <f t="shared" ref="B86:Q86" si="25">IFERROR((B29+B30)/B54,"")</f>
        <v>1.2363671460283756</v>
      </c>
      <c r="C86" s="90">
        <f t="shared" si="25"/>
        <v>0.92785126921701822</v>
      </c>
      <c r="D86" s="90">
        <f t="shared" si="25"/>
        <v>0.75577292304498989</v>
      </c>
      <c r="E86" s="90">
        <f t="shared" si="25"/>
        <v>0.92871867698932609</v>
      </c>
      <c r="F86" s="90">
        <f t="shared" si="25"/>
        <v>0.39523704450888919</v>
      </c>
      <c r="G86" s="90">
        <f t="shared" si="25"/>
        <v>0.51607740975065131</v>
      </c>
      <c r="H86" s="90">
        <f t="shared" si="25"/>
        <v>0.84999873427334638</v>
      </c>
      <c r="I86" s="90">
        <f t="shared" si="25"/>
        <v>0.73582042176681806</v>
      </c>
      <c r="J86" s="90">
        <f t="shared" si="25"/>
        <v>0.56732497047901009</v>
      </c>
      <c r="K86" s="90">
        <f t="shared" si="25"/>
        <v>0.95118144497625756</v>
      </c>
      <c r="L86" s="90">
        <f t="shared" si="25"/>
        <v>0.86290230757552755</v>
      </c>
      <c r="M86" s="90">
        <f t="shared" si="25"/>
        <v>0.49919111259872012</v>
      </c>
      <c r="N86" s="90">
        <f t="shared" si="25"/>
        <v>0.31369900377966253</v>
      </c>
      <c r="O86" s="90">
        <f t="shared" si="25"/>
        <v>0.42361741955019683</v>
      </c>
      <c r="P86" s="90">
        <f t="shared" si="25"/>
        <v>0.36946686924577077</v>
      </c>
      <c r="Q86" s="90">
        <f t="shared" si="25"/>
        <v>0.33023407453918652</v>
      </c>
    </row>
    <row r="87" spans="1:17">
      <c r="A87" s="50" t="s">
        <v>78</v>
      </c>
      <c r="B87" s="91">
        <f t="shared" ref="B87:Q87" si="26">IFERROR(B36-B54,"")</f>
        <v>20956</v>
      </c>
      <c r="C87" s="91">
        <f t="shared" si="26"/>
        <v>17018</v>
      </c>
      <c r="D87" s="91">
        <f t="shared" si="26"/>
        <v>19111</v>
      </c>
      <c r="E87" s="91">
        <f t="shared" si="26"/>
        <v>29628</v>
      </c>
      <c r="F87" s="91">
        <f t="shared" si="26"/>
        <v>5083</v>
      </c>
      <c r="G87" s="91">
        <f t="shared" si="26"/>
        <v>8768</v>
      </c>
      <c r="H87" s="91">
        <f t="shared" si="26"/>
        <v>27863</v>
      </c>
      <c r="I87" s="91">
        <f t="shared" si="26"/>
        <v>27831</v>
      </c>
      <c r="J87" s="91">
        <f t="shared" si="26"/>
        <v>14473</v>
      </c>
      <c r="K87" s="91">
        <f t="shared" si="26"/>
        <v>57101</v>
      </c>
      <c r="L87" s="91">
        <f t="shared" si="26"/>
        <v>38321</v>
      </c>
      <c r="M87" s="91">
        <f t="shared" si="26"/>
        <v>9355</v>
      </c>
      <c r="N87" s="91">
        <f t="shared" si="26"/>
        <v>-18577</v>
      </c>
      <c r="O87" s="91">
        <f t="shared" si="26"/>
        <v>-1742</v>
      </c>
      <c r="P87" s="91">
        <f t="shared" si="26"/>
        <v>-23405</v>
      </c>
      <c r="Q87" s="91">
        <f t="shared" si="26"/>
        <v>-17674</v>
      </c>
    </row>
    <row r="90" spans="1:17" ht="19.2" customHeight="1">
      <c r="A90" s="88" t="s">
        <v>79</v>
      </c>
      <c r="B90" s="88"/>
      <c r="C90" s="88"/>
      <c r="D90" s="88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  <c r="Q90" s="88"/>
    </row>
    <row r="91" spans="1:17">
      <c r="A91" s="50" t="s">
        <v>80</v>
      </c>
      <c r="B91" s="90" t="str">
        <f>""</f>
        <v/>
      </c>
      <c r="C91" s="90">
        <f t="shared" ref="C91:Q91" si="27">IFERROR(C5/AVERAGE(B32:C32),"")</f>
        <v>70.532019704433495</v>
      </c>
      <c r="D91" s="90">
        <f t="shared" si="27"/>
        <v>112.11997447351628</v>
      </c>
      <c r="E91" s="90">
        <f t="shared" si="27"/>
        <v>83.44892367906067</v>
      </c>
      <c r="F91" s="90">
        <f t="shared" si="27"/>
        <v>57.939612903225807</v>
      </c>
      <c r="G91" s="90">
        <f t="shared" si="27"/>
        <v>62.820179372197309</v>
      </c>
      <c r="H91" s="90">
        <f t="shared" si="27"/>
        <v>58.636911403704531</v>
      </c>
      <c r="I91" s="90">
        <f t="shared" si="27"/>
        <v>40.374409617861744</v>
      </c>
      <c r="J91" s="90">
        <f t="shared" si="27"/>
        <v>37.170809215753039</v>
      </c>
      <c r="K91" s="90">
        <f t="shared" si="27"/>
        <v>40.134457950880673</v>
      </c>
      <c r="L91" s="90">
        <f t="shared" si="27"/>
        <v>41.52295824660218</v>
      </c>
      <c r="M91" s="90">
        <f t="shared" si="27"/>
        <v>40.030260313880277</v>
      </c>
      <c r="N91" s="90">
        <f t="shared" si="27"/>
        <v>38.789866389033492</v>
      </c>
      <c r="O91" s="90">
        <f t="shared" si="27"/>
        <v>37.977653631284916</v>
      </c>
      <c r="P91" s="90">
        <f t="shared" si="27"/>
        <v>30.895498274216052</v>
      </c>
      <c r="Q91" s="90">
        <f t="shared" si="27"/>
        <v>33.98338972623808</v>
      </c>
    </row>
    <row r="92" spans="1:17">
      <c r="A92" s="50" t="s">
        <v>81</v>
      </c>
      <c r="B92" s="90" t="str">
        <f>""</f>
        <v/>
      </c>
      <c r="C92" s="90">
        <f t="shared" ref="C92:Q92" si="28">IFERROR(C4/AVERAGE(B31:C31),"")</f>
        <v>19.900542329258204</v>
      </c>
      <c r="D92" s="90">
        <f t="shared" si="28"/>
        <v>19.204613779986502</v>
      </c>
      <c r="E92" s="90">
        <f t="shared" si="28"/>
        <v>14.223535286284953</v>
      </c>
      <c r="F92" s="90">
        <f t="shared" si="28"/>
        <v>11.96224069105425</v>
      </c>
      <c r="G92" s="90">
        <f t="shared" si="28"/>
        <v>13.624121950508613</v>
      </c>
      <c r="H92" s="90">
        <f t="shared" si="28"/>
        <v>13.228169186884642</v>
      </c>
      <c r="I92" s="90">
        <f t="shared" si="28"/>
        <v>13.633519685975973</v>
      </c>
      <c r="J92" s="90">
        <f t="shared" si="28"/>
        <v>12.936921578178275</v>
      </c>
      <c r="K92" s="90">
        <f t="shared" si="28"/>
        <v>11.284437890353921</v>
      </c>
      <c r="L92" s="90">
        <f t="shared" si="28"/>
        <v>14.061107411770731</v>
      </c>
      <c r="M92" s="90">
        <f t="shared" si="28"/>
        <v>17.256332845888956</v>
      </c>
      <c r="N92" s="90">
        <f t="shared" si="28"/>
        <v>14.480849032352832</v>
      </c>
      <c r="O92" s="90">
        <f t="shared" si="28"/>
        <v>13.287284198849061</v>
      </c>
      <c r="P92" s="90">
        <f t="shared" si="28"/>
        <v>12.429988238659844</v>
      </c>
      <c r="Q92" s="90">
        <f t="shared" si="28"/>
        <v>11.372538838864825</v>
      </c>
    </row>
    <row r="93" spans="1:17">
      <c r="A93" s="50" t="s">
        <v>82</v>
      </c>
      <c r="B93" s="90" t="str">
        <f>""</f>
        <v/>
      </c>
      <c r="C93" s="90">
        <f t="shared" ref="C93:Q93" si="29">IFERROR(C5/AVERAGE(B48:C48),"")</f>
        <v>4.8358914699590949</v>
      </c>
      <c r="D93" s="90">
        <f t="shared" si="29"/>
        <v>4.9066383667997879</v>
      </c>
      <c r="E93" s="90">
        <f t="shared" si="29"/>
        <v>4.8966974415506863</v>
      </c>
      <c r="F93" s="90">
        <f t="shared" si="29"/>
        <v>4.2713695945817403</v>
      </c>
      <c r="G93" s="90">
        <f t="shared" si="29"/>
        <v>4.265414243522212</v>
      </c>
      <c r="H93" s="90">
        <f t="shared" si="29"/>
        <v>3.6100241811387117</v>
      </c>
      <c r="I93" s="90">
        <f t="shared" si="29"/>
        <v>3.2671554150307496</v>
      </c>
      <c r="J93" s="90">
        <f t="shared" si="29"/>
        <v>3.121034525477191</v>
      </c>
      <c r="K93" s="90">
        <f t="shared" si="29"/>
        <v>3.1683443656731032</v>
      </c>
      <c r="L93" s="90">
        <f t="shared" si="29"/>
        <v>3.8304567839877106</v>
      </c>
      <c r="M93" s="90">
        <f t="shared" si="29"/>
        <v>4.3886914145004585</v>
      </c>
      <c r="N93" s="90">
        <f t="shared" si="29"/>
        <v>3.7609313750231328</v>
      </c>
      <c r="O93" s="90">
        <f t="shared" si="29"/>
        <v>3.3795274844941052</v>
      </c>
      <c r="P93" s="90">
        <f t="shared" si="29"/>
        <v>3.1975435316293104</v>
      </c>
      <c r="Q93" s="90">
        <f t="shared" si="29"/>
        <v>3.1834029678720643</v>
      </c>
    </row>
    <row r="94" spans="1:17">
      <c r="A94" s="50" t="s">
        <v>83</v>
      </c>
      <c r="B94" s="92" t="str">
        <f>""</f>
        <v/>
      </c>
      <c r="C94" s="92">
        <f t="shared" ref="C94:Q94" si="30">IFERROR(360*AVERAGE(B32:C32)/C5,"")</f>
        <v>5.1040648135214415</v>
      </c>
      <c r="D94" s="92">
        <f t="shared" si="30"/>
        <v>3.2108462536711975</v>
      </c>
      <c r="E94" s="92">
        <f t="shared" si="30"/>
        <v>4.3140160966549725</v>
      </c>
      <c r="F94" s="92">
        <f t="shared" si="30"/>
        <v>6.2133656398653105</v>
      </c>
      <c r="G94" s="92">
        <f t="shared" si="30"/>
        <v>5.7306426628785987</v>
      </c>
      <c r="H94" s="92">
        <f t="shared" si="30"/>
        <v>6.139477530142492</v>
      </c>
      <c r="I94" s="92">
        <f t="shared" si="30"/>
        <v>8.9165390505359881</v>
      </c>
      <c r="J94" s="92">
        <f t="shared" si="30"/>
        <v>9.6850191748699288</v>
      </c>
      <c r="K94" s="92">
        <f t="shared" si="30"/>
        <v>8.9698483143983871</v>
      </c>
      <c r="L94" s="92">
        <f t="shared" si="30"/>
        <v>8.669902511810049</v>
      </c>
      <c r="M94" s="92">
        <f t="shared" si="30"/>
        <v>8.9931965762204147</v>
      </c>
      <c r="N94" s="92">
        <f t="shared" si="30"/>
        <v>9.2807744267399102</v>
      </c>
      <c r="O94" s="92">
        <f t="shared" si="30"/>
        <v>9.4792586054721983</v>
      </c>
      <c r="P94" s="92">
        <f t="shared" si="30"/>
        <v>11.652183007530235</v>
      </c>
      <c r="Q94" s="92">
        <f t="shared" si="30"/>
        <v>10.59341057204924</v>
      </c>
    </row>
    <row r="95" spans="1:17">
      <c r="A95" s="50" t="s">
        <v>84</v>
      </c>
      <c r="B95" s="92" t="str">
        <f>""</f>
        <v/>
      </c>
      <c r="C95" s="92">
        <f t="shared" ref="C95:Q95" si="31">IFERROR(360*AVERAGE(B31:C31)/C4,"")</f>
        <v>18.089959260593631</v>
      </c>
      <c r="D95" s="92">
        <f t="shared" si="31"/>
        <v>18.745495437932885</v>
      </c>
      <c r="E95" s="92">
        <f t="shared" si="31"/>
        <v>25.310163243812532</v>
      </c>
      <c r="F95" s="92">
        <f t="shared" si="31"/>
        <v>30.094696244426817</v>
      </c>
      <c r="G95" s="92">
        <f t="shared" si="31"/>
        <v>26.423721198896093</v>
      </c>
      <c r="H95" s="92">
        <f t="shared" si="31"/>
        <v>27.214650411103744</v>
      </c>
      <c r="I95" s="92">
        <f t="shared" si="31"/>
        <v>26.40550703647801</v>
      </c>
      <c r="J95" s="92">
        <f t="shared" si="31"/>
        <v>27.827331086805099</v>
      </c>
      <c r="K95" s="92">
        <f t="shared" si="31"/>
        <v>31.902342278628918</v>
      </c>
      <c r="L95" s="92">
        <f t="shared" si="31"/>
        <v>25.602535380580296</v>
      </c>
      <c r="M95" s="92">
        <f t="shared" si="31"/>
        <v>20.861906363017575</v>
      </c>
      <c r="N95" s="92">
        <f t="shared" si="31"/>
        <v>24.860420766468522</v>
      </c>
      <c r="O95" s="92">
        <f t="shared" si="31"/>
        <v>27.093572667858123</v>
      </c>
      <c r="P95" s="92">
        <f t="shared" si="31"/>
        <v>28.962215658444897</v>
      </c>
      <c r="Q95" s="92">
        <f t="shared" si="31"/>
        <v>31.655200751632179</v>
      </c>
    </row>
    <row r="96" spans="1:17">
      <c r="A96" s="50" t="s">
        <v>85</v>
      </c>
      <c r="B96" s="92" t="str">
        <f>""</f>
        <v/>
      </c>
      <c r="C96" s="92">
        <f t="shared" ref="C96:Q96" si="32">IFERROR(360*AVERAGE(B48:C48)/C5,"")</f>
        <v>74.443358010895381</v>
      </c>
      <c r="D96" s="92">
        <f t="shared" si="32"/>
        <v>73.369988388771262</v>
      </c>
      <c r="E96" s="92">
        <f t="shared" si="32"/>
        <v>73.518938896497389</v>
      </c>
      <c r="F96" s="92">
        <f t="shared" si="32"/>
        <v>84.282100162126525</v>
      </c>
      <c r="G96" s="92">
        <f t="shared" si="32"/>
        <v>84.399774429112924</v>
      </c>
      <c r="H96" s="92">
        <f t="shared" si="32"/>
        <v>99.722323712093527</v>
      </c>
      <c r="I96" s="92">
        <f t="shared" si="32"/>
        <v>110.18759571209802</v>
      </c>
      <c r="J96" s="92">
        <f t="shared" si="32"/>
        <v>115.34636898800655</v>
      </c>
      <c r="K96" s="92">
        <f t="shared" si="32"/>
        <v>113.62401256011175</v>
      </c>
      <c r="L96" s="92">
        <f t="shared" si="32"/>
        <v>93.983569141124917</v>
      </c>
      <c r="M96" s="92">
        <f t="shared" si="32"/>
        <v>82.029007282339734</v>
      </c>
      <c r="N96" s="92">
        <f t="shared" si="32"/>
        <v>95.720970180633969</v>
      </c>
      <c r="O96" s="92">
        <f t="shared" si="32"/>
        <v>106.52376749464128</v>
      </c>
      <c r="P96" s="92">
        <f t="shared" si="32"/>
        <v>112.58642656119267</v>
      </c>
      <c r="Q96" s="92">
        <f t="shared" si="32"/>
        <v>113.08653149891383</v>
      </c>
    </row>
    <row r="97" spans="1:17">
      <c r="A97" s="50" t="s">
        <v>86</v>
      </c>
      <c r="B97" s="92" t="str">
        <f>""</f>
        <v/>
      </c>
      <c r="C97" s="92">
        <f t="shared" ref="C97:Q97" si="33">IFERROR(360*AVERAGE(B32:C32)/C5+360*AVERAGE(B31:C31)/C4-360*AVERAGE(B48:C48)/C5,"")</f>
        <v>-51.24933393678031</v>
      </c>
      <c r="D97" s="92">
        <f t="shared" si="33"/>
        <v>-51.413646697167181</v>
      </c>
      <c r="E97" s="92">
        <f t="shared" si="33"/>
        <v>-43.894759556029882</v>
      </c>
      <c r="F97" s="92">
        <f t="shared" si="33"/>
        <v>-47.974038277834396</v>
      </c>
      <c r="G97" s="92">
        <f t="shared" si="33"/>
        <v>-52.245410567338233</v>
      </c>
      <c r="H97" s="92">
        <f t="shared" si="33"/>
        <v>-66.368195770847294</v>
      </c>
      <c r="I97" s="92">
        <f t="shared" si="33"/>
        <v>-74.865549625084014</v>
      </c>
      <c r="J97" s="92">
        <f t="shared" si="33"/>
        <v>-77.834018726331522</v>
      </c>
      <c r="K97" s="92">
        <f t="shared" si="33"/>
        <v>-72.751821967084453</v>
      </c>
      <c r="L97" s="92">
        <f t="shared" si="33"/>
        <v>-59.711131248734574</v>
      </c>
      <c r="M97" s="92">
        <f t="shared" si="33"/>
        <v>-52.173904343101746</v>
      </c>
      <c r="N97" s="92">
        <f t="shared" si="33"/>
        <v>-61.579774987425537</v>
      </c>
      <c r="O97" s="92">
        <f t="shared" si="33"/>
        <v>-69.950936221310954</v>
      </c>
      <c r="P97" s="92">
        <f t="shared" si="33"/>
        <v>-71.972027895217536</v>
      </c>
      <c r="Q97" s="92">
        <f t="shared" si="33"/>
        <v>-70.837920175232412</v>
      </c>
    </row>
    <row r="98" spans="1:17">
      <c r="A98" s="50" t="s">
        <v>87</v>
      </c>
      <c r="B98" s="90" t="str">
        <f>""</f>
        <v/>
      </c>
      <c r="C98" s="90">
        <f t="shared" ref="C98:Q98" si="34">IFERROR(C4/AVERAGE(B45:C45),"")</f>
        <v>1.1302191549119309</v>
      </c>
      <c r="D98" s="90">
        <f t="shared" si="34"/>
        <v>1.070378032725221</v>
      </c>
      <c r="E98" s="90">
        <f t="shared" si="34"/>
        <v>0.89233130756218282</v>
      </c>
      <c r="F98" s="90">
        <f t="shared" si="34"/>
        <v>0.83308457087906951</v>
      </c>
      <c r="G98" s="90">
        <f t="shared" si="34"/>
        <v>0.89491459225988768</v>
      </c>
      <c r="H98" s="90">
        <f t="shared" si="34"/>
        <v>0.70451267223706027</v>
      </c>
      <c r="I98" s="90">
        <f t="shared" si="34"/>
        <v>0.65776859563417767</v>
      </c>
      <c r="J98" s="90">
        <f t="shared" si="34"/>
        <v>0.71681303674275754</v>
      </c>
      <c r="K98" s="90">
        <f t="shared" si="34"/>
        <v>0.73887774213656976</v>
      </c>
      <c r="L98" s="90">
        <f t="shared" si="34"/>
        <v>0.82884463258072116</v>
      </c>
      <c r="M98" s="90">
        <f t="shared" si="34"/>
        <v>1.084078886929722</v>
      </c>
      <c r="N98" s="90">
        <f t="shared" si="34"/>
        <v>1.1206368107173357</v>
      </c>
      <c r="O98" s="90">
        <f t="shared" si="34"/>
        <v>1.0868122800699807</v>
      </c>
      <c r="P98" s="90">
        <f t="shared" si="34"/>
        <v>1.0898973330564703</v>
      </c>
      <c r="Q98" s="90">
        <f t="shared" si="34"/>
        <v>1.149265210481331</v>
      </c>
    </row>
    <row r="101" spans="1:17" ht="19.2" customHeight="1">
      <c r="A101" s="88" t="s">
        <v>88</v>
      </c>
      <c r="B101" s="88"/>
      <c r="C101" s="88"/>
      <c r="D101" s="88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  <c r="Q101" s="88"/>
    </row>
    <row r="102" spans="1:17">
      <c r="A102" s="50" t="s">
        <v>89</v>
      </c>
      <c r="B102" s="89">
        <f t="shared" ref="B102:Q102" si="35">IFERROR(B60/B45,"")</f>
        <v>0.36433768272082784</v>
      </c>
      <c r="C102" s="89">
        <f t="shared" si="35"/>
        <v>0.34163150613125265</v>
      </c>
      <c r="D102" s="89">
        <f t="shared" si="35"/>
        <v>0.32859641948382406</v>
      </c>
      <c r="E102" s="89">
        <f t="shared" si="35"/>
        <v>0.40314492753623188</v>
      </c>
      <c r="F102" s="89">
        <f t="shared" si="35"/>
        <v>0.51886007099754572</v>
      </c>
      <c r="G102" s="89">
        <f t="shared" si="35"/>
        <v>0.58910971188967187</v>
      </c>
      <c r="H102" s="89">
        <f t="shared" si="35"/>
        <v>0.60132240756514121</v>
      </c>
      <c r="I102" s="89">
        <f t="shared" si="35"/>
        <v>0.64284515305646661</v>
      </c>
      <c r="J102" s="89">
        <f t="shared" si="35"/>
        <v>0.70702850502426684</v>
      </c>
      <c r="K102" s="89">
        <f t="shared" si="35"/>
        <v>0.73269210317976108</v>
      </c>
      <c r="L102" s="89">
        <f t="shared" si="35"/>
        <v>0.79826668477992391</v>
      </c>
      <c r="M102" s="89">
        <f t="shared" si="35"/>
        <v>0.82025743443057308</v>
      </c>
      <c r="N102" s="89">
        <f t="shared" si="35"/>
        <v>0.85635355983614692</v>
      </c>
      <c r="O102" s="89">
        <f t="shared" si="35"/>
        <v>0.82374079294804348</v>
      </c>
      <c r="P102" s="89">
        <f t="shared" si="35"/>
        <v>0.84396405282481235</v>
      </c>
      <c r="Q102" s="89">
        <f t="shared" si="35"/>
        <v>0.79475338282657049</v>
      </c>
    </row>
    <row r="103" spans="1:17">
      <c r="A103" s="50" t="s">
        <v>90</v>
      </c>
      <c r="B103" s="90">
        <f t="shared" ref="B103:Q103" si="36">IFERROR((B47+B52+B53+B56)/B66,"")</f>
        <v>0</v>
      </c>
      <c r="C103" s="90">
        <f t="shared" si="36"/>
        <v>0</v>
      </c>
      <c r="D103" s="90">
        <f t="shared" si="36"/>
        <v>0</v>
      </c>
      <c r="E103" s="90">
        <f t="shared" si="36"/>
        <v>0.13727347044492469</v>
      </c>
      <c r="F103" s="90">
        <f t="shared" si="36"/>
        <v>0.31641370901951643</v>
      </c>
      <c r="G103" s="90">
        <f t="shared" si="36"/>
        <v>0.54008629718067946</v>
      </c>
      <c r="H103" s="90">
        <f t="shared" si="36"/>
        <v>0.67861737713354486</v>
      </c>
      <c r="I103" s="90">
        <f t="shared" si="36"/>
        <v>0.86298089476079287</v>
      </c>
      <c r="J103" s="90">
        <f t="shared" si="36"/>
        <v>1.0684666859548098</v>
      </c>
      <c r="K103" s="90">
        <f t="shared" si="36"/>
        <v>1.1940478295464592</v>
      </c>
      <c r="L103" s="90">
        <f t="shared" si="36"/>
        <v>1.7208099297509909</v>
      </c>
      <c r="M103" s="90">
        <f t="shared" si="36"/>
        <v>1.9768426058012363</v>
      </c>
      <c r="N103" s="90">
        <f t="shared" si="36"/>
        <v>2.3695334701610355</v>
      </c>
      <c r="O103" s="90">
        <f t="shared" si="36"/>
        <v>1.7875325845589418</v>
      </c>
      <c r="P103" s="90">
        <f t="shared" si="36"/>
        <v>1.8723266022827041</v>
      </c>
      <c r="Q103" s="90">
        <f t="shared" si="36"/>
        <v>1.3380304612588665</v>
      </c>
    </row>
    <row r="104" spans="1:17">
      <c r="A104" s="50" t="s">
        <v>91</v>
      </c>
      <c r="B104" s="89">
        <f t="shared" ref="B104:Q104" si="37">IFERROR((B47+B52+B53+B56)/B45,"")</f>
        <v>0</v>
      </c>
      <c r="C104" s="89">
        <f t="shared" si="37"/>
        <v>0</v>
      </c>
      <c r="D104" s="89">
        <f t="shared" si="37"/>
        <v>0</v>
      </c>
      <c r="E104" s="89">
        <f t="shared" si="37"/>
        <v>8.1932367149758448E-2</v>
      </c>
      <c r="F104" s="89">
        <f t="shared" si="37"/>
        <v>0.15223926949305336</v>
      </c>
      <c r="G104" s="89">
        <f t="shared" si="37"/>
        <v>0.2219162142530097</v>
      </c>
      <c r="H104" s="89">
        <f t="shared" si="37"/>
        <v>0.27054954210006033</v>
      </c>
      <c r="I104" s="89">
        <f t="shared" si="37"/>
        <v>0.30821780938348448</v>
      </c>
      <c r="J104" s="89">
        <f t="shared" si="37"/>
        <v>0.31303028231594776</v>
      </c>
      <c r="K104" s="89">
        <f t="shared" si="37"/>
        <v>0.31917841401883518</v>
      </c>
      <c r="L104" s="89">
        <f t="shared" si="37"/>
        <v>0.34714469199229364</v>
      </c>
      <c r="M104" s="89">
        <f t="shared" si="37"/>
        <v>0.35532276169366556</v>
      </c>
      <c r="N104" s="89">
        <f t="shared" si="37"/>
        <v>0.34037504783773442</v>
      </c>
      <c r="O104" s="89">
        <f t="shared" si="37"/>
        <v>0.31506907593389361</v>
      </c>
      <c r="P104" s="89">
        <f t="shared" si="37"/>
        <v>0.29215025480848267</v>
      </c>
      <c r="Q104" s="89">
        <f t="shared" si="37"/>
        <v>0.27462622584838592</v>
      </c>
    </row>
    <row r="105" spans="1:17">
      <c r="A105" s="50" t="s">
        <v>92</v>
      </c>
      <c r="B105" s="90">
        <f t="shared" ref="B105:Q105" si="38">IFERROR(B45/B66,"")</f>
        <v>1.573162310895357</v>
      </c>
      <c r="C105" s="90">
        <f t="shared" si="38"/>
        <v>1.5189062194087319</v>
      </c>
      <c r="D105" s="90">
        <f t="shared" si="38"/>
        <v>1.4894171389899331</v>
      </c>
      <c r="E105" s="90">
        <f t="shared" si="38"/>
        <v>1.6754486074351067</v>
      </c>
      <c r="F105" s="90">
        <f t="shared" si="38"/>
        <v>2.0783974468161404</v>
      </c>
      <c r="G105" s="90">
        <f t="shared" si="38"/>
        <v>2.4337396841355621</v>
      </c>
      <c r="H105" s="90">
        <f t="shared" si="38"/>
        <v>2.5082924623193943</v>
      </c>
      <c r="I105" s="90">
        <f t="shared" si="38"/>
        <v>2.7999060031183092</v>
      </c>
      <c r="J105" s="90">
        <f t="shared" si="38"/>
        <v>3.4133013523477094</v>
      </c>
      <c r="K105" s="90">
        <f t="shared" si="38"/>
        <v>3.7410043320661304</v>
      </c>
      <c r="L105" s="90">
        <f t="shared" si="38"/>
        <v>4.9570394404566951</v>
      </c>
      <c r="M105" s="90">
        <f t="shared" si="38"/>
        <v>5.5635124425423994</v>
      </c>
      <c r="N105" s="90">
        <f t="shared" si="38"/>
        <v>6.9615369434796337</v>
      </c>
      <c r="O105" s="90">
        <f t="shared" si="38"/>
        <v>5.6734624915521517</v>
      </c>
      <c r="P105" s="90">
        <f t="shared" si="38"/>
        <v>6.408779631255487</v>
      </c>
      <c r="Q105" s="90">
        <f t="shared" si="38"/>
        <v>4.8721874872852045</v>
      </c>
    </row>
    <row r="106" spans="1:17">
      <c r="A106" s="50" t="s">
        <v>93</v>
      </c>
      <c r="B106" s="89">
        <f t="shared" ref="B106:Q106" si="39">IFERROR(B56/(B56+B66),"")</f>
        <v>0</v>
      </c>
      <c r="C106" s="89">
        <f t="shared" si="39"/>
        <v>0</v>
      </c>
      <c r="D106" s="89">
        <f t="shared" si="39"/>
        <v>0</v>
      </c>
      <c r="E106" s="89">
        <f t="shared" si="39"/>
        <v>0.12070401184265776</v>
      </c>
      <c r="F106" s="89">
        <f t="shared" si="39"/>
        <v>0.20626325302062135</v>
      </c>
      <c r="G106" s="89">
        <f t="shared" si="39"/>
        <v>0.30936013609693436</v>
      </c>
      <c r="H106" s="89">
        <f t="shared" si="39"/>
        <v>0.37032836465759345</v>
      </c>
      <c r="I106" s="89">
        <f t="shared" si="39"/>
        <v>0.42034732372196804</v>
      </c>
      <c r="J106" s="89">
        <f t="shared" si="39"/>
        <v>0.46661721806831874</v>
      </c>
      <c r="K106" s="89">
        <f t="shared" si="39"/>
        <v>0.50361776241805867</v>
      </c>
      <c r="L106" s="89">
        <f t="shared" si="39"/>
        <v>0.60160603880345842</v>
      </c>
      <c r="M106" s="89">
        <f t="shared" si="39"/>
        <v>0.63361518269878514</v>
      </c>
      <c r="N106" s="89">
        <f t="shared" si="39"/>
        <v>0.66135359651409131</v>
      </c>
      <c r="O106" s="89">
        <f t="shared" si="39"/>
        <v>0.60523925374935683</v>
      </c>
      <c r="P106" s="89">
        <f t="shared" si="39"/>
        <v>0.60091100210231252</v>
      </c>
      <c r="Q106" s="89">
        <f t="shared" si="39"/>
        <v>0.51510906807136614</v>
      </c>
    </row>
    <row r="135" spans="1:1">
      <c r="A135" s="50" t="s">
        <v>94</v>
      </c>
    </row>
  </sheetData>
  <mergeCells count="1">
    <mergeCell ref="A3:Q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F31EA-7F62-4C5D-8F64-23E90653F9B8}">
  <dimension ref="A1:Q100"/>
  <sheetViews>
    <sheetView tabSelected="1" zoomScale="70" zoomScaleNormal="70" workbookViewId="0">
      <pane xSplit="1" ySplit="3" topLeftCell="B4" activePane="bottomRight" state="frozen"/>
      <selection pane="topRight"/>
      <selection pane="bottomLeft"/>
      <selection pane="bottomRight" activeCell="B4" sqref="B4"/>
    </sheetView>
  </sheetViews>
  <sheetFormatPr defaultRowHeight="14.4"/>
  <cols>
    <col min="1" max="1" width="61" style="50" customWidth="1"/>
    <col min="2" max="17" width="14" style="50" customWidth="1"/>
    <col min="18" max="16384" width="8.88671875" style="50"/>
  </cols>
  <sheetData>
    <row r="1" spans="1:17">
      <c r="A1" s="47" t="s">
        <v>0</v>
      </c>
      <c r="B1" s="48">
        <v>2010</v>
      </c>
      <c r="C1" s="48">
        <v>2011</v>
      </c>
      <c r="D1" s="48">
        <v>2012</v>
      </c>
      <c r="E1" s="48">
        <v>2013</v>
      </c>
      <c r="F1" s="49">
        <v>2014</v>
      </c>
      <c r="G1" s="49">
        <v>2015</v>
      </c>
      <c r="H1" s="49">
        <v>2016</v>
      </c>
      <c r="I1" s="49">
        <v>2017</v>
      </c>
      <c r="J1" s="49">
        <v>2018</v>
      </c>
      <c r="K1" s="49">
        <v>2019</v>
      </c>
      <c r="L1" s="49">
        <v>2020</v>
      </c>
      <c r="M1" s="49">
        <v>2021</v>
      </c>
      <c r="N1" s="49">
        <v>2022</v>
      </c>
      <c r="O1" s="49">
        <v>2023</v>
      </c>
      <c r="P1" s="49">
        <v>2024</v>
      </c>
      <c r="Q1" s="49">
        <v>2025</v>
      </c>
    </row>
    <row r="2" spans="1:17">
      <c r="A2" s="51"/>
      <c r="B2" s="52"/>
      <c r="C2" s="52"/>
      <c r="D2" s="52"/>
      <c r="E2" s="52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</row>
    <row r="3" spans="1:17">
      <c r="A3" s="54" t="s">
        <v>1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</row>
    <row r="4" spans="1:17">
      <c r="A4" s="56" t="s">
        <v>2</v>
      </c>
      <c r="B4" s="57">
        <v>65225</v>
      </c>
      <c r="C4" s="57">
        <v>108249</v>
      </c>
      <c r="D4" s="57">
        <v>156508</v>
      </c>
      <c r="E4" s="58">
        <v>170910</v>
      </c>
      <c r="F4" s="59">
        <v>182795</v>
      </c>
      <c r="G4" s="59">
        <v>233715</v>
      </c>
      <c r="H4" s="59">
        <v>215639</v>
      </c>
      <c r="I4" s="59">
        <v>229234</v>
      </c>
      <c r="J4" s="59">
        <v>265595</v>
      </c>
      <c r="K4" s="60">
        <v>260174</v>
      </c>
      <c r="L4" s="60">
        <v>274515</v>
      </c>
      <c r="M4" s="60">
        <v>365817</v>
      </c>
      <c r="N4" s="60">
        <v>394328</v>
      </c>
      <c r="O4" s="60">
        <v>383285</v>
      </c>
      <c r="P4" s="60">
        <v>391035</v>
      </c>
      <c r="Q4" s="60">
        <v>416161</v>
      </c>
    </row>
    <row r="5" spans="1:17">
      <c r="A5" s="61" t="s">
        <v>3</v>
      </c>
      <c r="B5" s="62">
        <v>39541</v>
      </c>
      <c r="C5" s="62">
        <v>64431</v>
      </c>
      <c r="D5" s="62">
        <v>87846</v>
      </c>
      <c r="E5" s="62">
        <v>106606</v>
      </c>
      <c r="F5" s="62">
        <v>112258</v>
      </c>
      <c r="G5" s="62">
        <v>140089</v>
      </c>
      <c r="H5" s="62">
        <v>131376</v>
      </c>
      <c r="I5" s="62">
        <v>141048</v>
      </c>
      <c r="J5" s="62">
        <v>163756</v>
      </c>
      <c r="K5" s="62">
        <v>161782</v>
      </c>
      <c r="L5" s="62">
        <v>169559</v>
      </c>
      <c r="M5" s="62">
        <v>212981</v>
      </c>
      <c r="N5" s="62">
        <v>223546</v>
      </c>
      <c r="O5" s="62">
        <v>214137</v>
      </c>
      <c r="P5" s="62">
        <v>210352</v>
      </c>
      <c r="Q5" s="62">
        <v>220960</v>
      </c>
    </row>
    <row r="6" spans="1:17">
      <c r="A6" s="63" t="s">
        <v>4</v>
      </c>
      <c r="B6" s="64">
        <f>B4-B5</f>
        <v>25684</v>
      </c>
      <c r="C6" s="64">
        <f t="shared" ref="C6:Q6" si="0">C4-C5</f>
        <v>43818</v>
      </c>
      <c r="D6" s="64">
        <f t="shared" si="0"/>
        <v>68662</v>
      </c>
      <c r="E6" s="64">
        <f t="shared" si="0"/>
        <v>64304</v>
      </c>
      <c r="F6" s="64">
        <f t="shared" si="0"/>
        <v>70537</v>
      </c>
      <c r="G6" s="64">
        <f t="shared" si="0"/>
        <v>93626</v>
      </c>
      <c r="H6" s="64">
        <f t="shared" si="0"/>
        <v>84263</v>
      </c>
      <c r="I6" s="64">
        <f t="shared" si="0"/>
        <v>88186</v>
      </c>
      <c r="J6" s="64">
        <f t="shared" si="0"/>
        <v>101839</v>
      </c>
      <c r="K6" s="64">
        <f t="shared" si="0"/>
        <v>98392</v>
      </c>
      <c r="L6" s="64">
        <f t="shared" si="0"/>
        <v>104956</v>
      </c>
      <c r="M6" s="64">
        <f t="shared" si="0"/>
        <v>152836</v>
      </c>
      <c r="N6" s="64">
        <f t="shared" si="0"/>
        <v>170782</v>
      </c>
      <c r="O6" s="64">
        <f t="shared" si="0"/>
        <v>169148</v>
      </c>
      <c r="P6" s="64">
        <f t="shared" si="0"/>
        <v>180683</v>
      </c>
      <c r="Q6" s="64">
        <f t="shared" si="0"/>
        <v>195201</v>
      </c>
    </row>
    <row r="7" spans="1:17">
      <c r="L7" s="65"/>
    </row>
    <row r="8" spans="1:17">
      <c r="A8" s="50" t="s">
        <v>5</v>
      </c>
      <c r="B8" s="66">
        <v>1782</v>
      </c>
      <c r="C8" s="66">
        <v>2429</v>
      </c>
      <c r="D8" s="66">
        <v>3381</v>
      </c>
      <c r="E8" s="66">
        <v>4475</v>
      </c>
      <c r="F8" s="66">
        <v>6041</v>
      </c>
      <c r="G8" s="66">
        <v>8067</v>
      </c>
      <c r="H8" s="66">
        <v>10045</v>
      </c>
      <c r="I8" s="66">
        <v>11581</v>
      </c>
      <c r="J8" s="66">
        <v>14236</v>
      </c>
      <c r="K8" s="66">
        <v>16217</v>
      </c>
      <c r="L8" s="66">
        <v>18752</v>
      </c>
      <c r="M8" s="66">
        <v>21914</v>
      </c>
      <c r="N8" s="66">
        <v>26251</v>
      </c>
      <c r="O8" s="66">
        <v>29915</v>
      </c>
      <c r="P8" s="66">
        <v>31370</v>
      </c>
      <c r="Q8" s="66">
        <v>34550</v>
      </c>
    </row>
    <row r="9" spans="1:17">
      <c r="A9" s="50" t="s">
        <v>6</v>
      </c>
      <c r="B9" s="66">
        <v>5517</v>
      </c>
      <c r="C9" s="66">
        <v>7599</v>
      </c>
      <c r="D9" s="66">
        <v>10040</v>
      </c>
      <c r="E9" s="66">
        <v>10830</v>
      </c>
      <c r="F9" s="66">
        <v>11993</v>
      </c>
      <c r="G9" s="66">
        <v>14329</v>
      </c>
      <c r="H9" s="66">
        <v>14194</v>
      </c>
      <c r="I9" s="66">
        <v>15261</v>
      </c>
      <c r="J9" s="66">
        <v>16705</v>
      </c>
      <c r="K9" s="66">
        <v>18245</v>
      </c>
      <c r="L9" s="66">
        <v>19916</v>
      </c>
      <c r="M9" s="66">
        <v>21973</v>
      </c>
      <c r="N9" s="66">
        <v>25094</v>
      </c>
      <c r="O9" s="66">
        <v>24932</v>
      </c>
      <c r="P9" s="66">
        <v>26097</v>
      </c>
      <c r="Q9" s="66">
        <v>27601</v>
      </c>
    </row>
    <row r="10" spans="1:17">
      <c r="A10" s="63" t="s">
        <v>7</v>
      </c>
      <c r="B10" s="64">
        <f t="shared" ref="B10:Q10" si="1">B8+B9</f>
        <v>7299</v>
      </c>
      <c r="C10" s="64">
        <f t="shared" si="1"/>
        <v>10028</v>
      </c>
      <c r="D10" s="64">
        <f t="shared" si="1"/>
        <v>13421</v>
      </c>
      <c r="E10" s="64">
        <f t="shared" si="1"/>
        <v>15305</v>
      </c>
      <c r="F10" s="64">
        <f t="shared" si="1"/>
        <v>18034</v>
      </c>
      <c r="G10" s="64">
        <f t="shared" si="1"/>
        <v>22396</v>
      </c>
      <c r="H10" s="64">
        <f t="shared" si="1"/>
        <v>24239</v>
      </c>
      <c r="I10" s="64">
        <f t="shared" si="1"/>
        <v>26842</v>
      </c>
      <c r="J10" s="64">
        <f t="shared" si="1"/>
        <v>30941</v>
      </c>
      <c r="K10" s="64">
        <f t="shared" si="1"/>
        <v>34462</v>
      </c>
      <c r="L10" s="64">
        <f t="shared" si="1"/>
        <v>38668</v>
      </c>
      <c r="M10" s="64">
        <f t="shared" si="1"/>
        <v>43887</v>
      </c>
      <c r="N10" s="64">
        <f t="shared" si="1"/>
        <v>51345</v>
      </c>
      <c r="O10" s="64">
        <f t="shared" si="1"/>
        <v>54847</v>
      </c>
      <c r="P10" s="64">
        <f t="shared" si="1"/>
        <v>57467</v>
      </c>
      <c r="Q10" s="64">
        <f t="shared" si="1"/>
        <v>62151</v>
      </c>
    </row>
    <row r="11" spans="1:17">
      <c r="A11" s="63" t="s">
        <v>8</v>
      </c>
      <c r="B11" s="64">
        <f t="shared" ref="B11:Q11" si="2">B6-B10</f>
        <v>18385</v>
      </c>
      <c r="C11" s="64">
        <f t="shared" si="2"/>
        <v>33790</v>
      </c>
      <c r="D11" s="64">
        <f t="shared" si="2"/>
        <v>55241</v>
      </c>
      <c r="E11" s="64">
        <f t="shared" si="2"/>
        <v>48999</v>
      </c>
      <c r="F11" s="67">
        <f t="shared" si="2"/>
        <v>52503</v>
      </c>
      <c r="G11" s="67">
        <f t="shared" si="2"/>
        <v>71230</v>
      </c>
      <c r="H11" s="67">
        <f t="shared" si="2"/>
        <v>60024</v>
      </c>
      <c r="I11" s="67">
        <f t="shared" si="2"/>
        <v>61344</v>
      </c>
      <c r="J11" s="67">
        <f t="shared" si="2"/>
        <v>70898</v>
      </c>
      <c r="K11" s="67">
        <f t="shared" si="2"/>
        <v>63930</v>
      </c>
      <c r="L11" s="67">
        <f t="shared" si="2"/>
        <v>66288</v>
      </c>
      <c r="M11" s="67">
        <f t="shared" si="2"/>
        <v>108949</v>
      </c>
      <c r="N11" s="67">
        <f t="shared" si="2"/>
        <v>119437</v>
      </c>
      <c r="O11" s="67">
        <f t="shared" si="2"/>
        <v>114301</v>
      </c>
      <c r="P11" s="67">
        <f t="shared" si="2"/>
        <v>123216</v>
      </c>
      <c r="Q11" s="67">
        <f t="shared" si="2"/>
        <v>133050</v>
      </c>
    </row>
    <row r="12" spans="1:17">
      <c r="A12" s="68" t="s">
        <v>9</v>
      </c>
      <c r="B12" s="69" t="str">
        <f>IFERROR(B11/#REF!-1,"")</f>
        <v/>
      </c>
      <c r="C12" s="69">
        <f t="shared" ref="C12:Q12" si="3">IFERROR(C11/B11-1,"")</f>
        <v>0.83791134076692964</v>
      </c>
      <c r="D12" s="69">
        <f t="shared" si="3"/>
        <v>0.63483279076649901</v>
      </c>
      <c r="E12" s="69">
        <f t="shared" si="3"/>
        <v>-0.11299578211835415</v>
      </c>
      <c r="F12" s="69">
        <f t="shared" si="3"/>
        <v>7.151166350333682E-2</v>
      </c>
      <c r="G12" s="69">
        <f t="shared" si="3"/>
        <v>0.35668437994019397</v>
      </c>
      <c r="H12" s="69">
        <f t="shared" si="3"/>
        <v>-0.15732135336234732</v>
      </c>
      <c r="I12" s="69">
        <f t="shared" si="3"/>
        <v>2.1991203518592517E-2</v>
      </c>
      <c r="J12" s="69">
        <f t="shared" si="3"/>
        <v>0.15574465310380803</v>
      </c>
      <c r="K12" s="69">
        <f t="shared" si="3"/>
        <v>-9.8282038985584963E-2</v>
      </c>
      <c r="L12" s="69">
        <f t="shared" si="3"/>
        <v>3.6884091975598388E-2</v>
      </c>
      <c r="M12" s="69">
        <f t="shared" si="3"/>
        <v>0.64357048032826447</v>
      </c>
      <c r="N12" s="69">
        <f t="shared" si="3"/>
        <v>9.6265225013538513E-2</v>
      </c>
      <c r="O12" s="69">
        <f t="shared" si="3"/>
        <v>-4.3001749876503959E-2</v>
      </c>
      <c r="P12" s="69">
        <f t="shared" si="3"/>
        <v>7.7995818059334532E-2</v>
      </c>
      <c r="Q12" s="69">
        <f t="shared" si="3"/>
        <v>7.9811063498246959E-2</v>
      </c>
    </row>
    <row r="14" spans="1:17">
      <c r="A14" s="50" t="s">
        <v>10</v>
      </c>
      <c r="B14" s="70">
        <v>155</v>
      </c>
      <c r="C14" s="70">
        <v>415</v>
      </c>
      <c r="D14" s="70">
        <v>522</v>
      </c>
      <c r="E14" s="70">
        <v>1156</v>
      </c>
      <c r="F14" s="70">
        <v>980</v>
      </c>
      <c r="G14" s="70">
        <v>1285</v>
      </c>
      <c r="H14" s="70">
        <v>1348</v>
      </c>
      <c r="I14" s="70">
        <v>2745</v>
      </c>
      <c r="J14" s="70">
        <v>2005</v>
      </c>
      <c r="K14" s="70">
        <v>1807</v>
      </c>
      <c r="L14" s="70">
        <v>803</v>
      </c>
      <c r="M14" s="71">
        <v>258</v>
      </c>
      <c r="N14" s="71">
        <v>-334</v>
      </c>
      <c r="O14" s="71">
        <v>-565</v>
      </c>
      <c r="P14" s="71">
        <v>269</v>
      </c>
      <c r="Q14" s="71">
        <v>-321</v>
      </c>
    </row>
    <row r="15" spans="1:17">
      <c r="A15" s="72" t="s">
        <v>11</v>
      </c>
      <c r="B15" s="73">
        <f>B14</f>
        <v>155</v>
      </c>
      <c r="C15" s="73">
        <f t="shared" ref="C15:Q15" si="4">C14</f>
        <v>415</v>
      </c>
      <c r="D15" s="73">
        <f t="shared" si="4"/>
        <v>522</v>
      </c>
      <c r="E15" s="73">
        <f t="shared" si="4"/>
        <v>1156</v>
      </c>
      <c r="F15" s="73">
        <f t="shared" si="4"/>
        <v>980</v>
      </c>
      <c r="G15" s="73">
        <f t="shared" si="4"/>
        <v>1285</v>
      </c>
      <c r="H15" s="73">
        <f t="shared" si="4"/>
        <v>1348</v>
      </c>
      <c r="I15" s="73">
        <f t="shared" si="4"/>
        <v>2745</v>
      </c>
      <c r="J15" s="73">
        <f t="shared" si="4"/>
        <v>2005</v>
      </c>
      <c r="K15" s="73">
        <f t="shared" si="4"/>
        <v>1807</v>
      </c>
      <c r="L15" s="73">
        <f t="shared" si="4"/>
        <v>803</v>
      </c>
      <c r="M15" s="73">
        <f t="shared" si="4"/>
        <v>258</v>
      </c>
      <c r="N15" s="73">
        <f t="shared" si="4"/>
        <v>-334</v>
      </c>
      <c r="O15" s="73">
        <f t="shared" si="4"/>
        <v>-565</v>
      </c>
      <c r="P15" s="73">
        <f t="shared" si="4"/>
        <v>269</v>
      </c>
      <c r="Q15" s="73">
        <f t="shared" si="4"/>
        <v>-321</v>
      </c>
    </row>
    <row r="16" spans="1:17">
      <c r="A16" s="74"/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</row>
    <row r="17" spans="1:17">
      <c r="B17" s="70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</row>
    <row r="18" spans="1:17">
      <c r="A18" s="50" t="s">
        <v>12</v>
      </c>
      <c r="B18" s="70">
        <f t="shared" ref="B18:Q18" si="5">B11+B15</f>
        <v>18540</v>
      </c>
      <c r="C18" s="70">
        <f t="shared" si="5"/>
        <v>34205</v>
      </c>
      <c r="D18" s="70">
        <f t="shared" si="5"/>
        <v>55763</v>
      </c>
      <c r="E18" s="70">
        <f t="shared" si="5"/>
        <v>50155</v>
      </c>
      <c r="F18" s="70">
        <f t="shared" si="5"/>
        <v>53483</v>
      </c>
      <c r="G18" s="70">
        <f t="shared" si="5"/>
        <v>72515</v>
      </c>
      <c r="H18" s="70">
        <f t="shared" si="5"/>
        <v>61372</v>
      </c>
      <c r="I18" s="70">
        <f t="shared" si="5"/>
        <v>64089</v>
      </c>
      <c r="J18" s="70">
        <f t="shared" si="5"/>
        <v>72903</v>
      </c>
      <c r="K18" s="70">
        <f t="shared" si="5"/>
        <v>65737</v>
      </c>
      <c r="L18" s="70">
        <f t="shared" si="5"/>
        <v>67091</v>
      </c>
      <c r="M18" s="70">
        <f t="shared" si="5"/>
        <v>109207</v>
      </c>
      <c r="N18" s="70">
        <f t="shared" si="5"/>
        <v>119103</v>
      </c>
      <c r="O18" s="70">
        <f t="shared" si="5"/>
        <v>113736</v>
      </c>
      <c r="P18" s="70">
        <f t="shared" si="5"/>
        <v>123485</v>
      </c>
      <c r="Q18" s="70">
        <f t="shared" si="5"/>
        <v>132729</v>
      </c>
    </row>
    <row r="19" spans="1:17">
      <c r="A19" s="50" t="s">
        <v>13</v>
      </c>
      <c r="B19" s="70">
        <v>4527</v>
      </c>
      <c r="C19" s="70">
        <v>8283</v>
      </c>
      <c r="D19" s="70">
        <v>14030</v>
      </c>
      <c r="E19" s="70">
        <v>13118</v>
      </c>
      <c r="F19" s="70">
        <v>13973</v>
      </c>
      <c r="G19" s="70">
        <v>19121</v>
      </c>
      <c r="H19" s="70">
        <v>15685</v>
      </c>
      <c r="I19" s="70">
        <v>15738</v>
      </c>
      <c r="J19" s="70">
        <v>13372</v>
      </c>
      <c r="K19" s="70">
        <v>10481</v>
      </c>
      <c r="L19" s="70">
        <v>9680</v>
      </c>
      <c r="M19" s="70">
        <v>14527</v>
      </c>
      <c r="N19" s="70">
        <v>19300</v>
      </c>
      <c r="O19" s="70">
        <v>16741</v>
      </c>
      <c r="P19" s="70">
        <v>29749</v>
      </c>
      <c r="Q19" s="70">
        <v>20719</v>
      </c>
    </row>
    <row r="20" spans="1:17">
      <c r="A20" s="72" t="s">
        <v>14</v>
      </c>
      <c r="B20" s="64">
        <f t="shared" ref="B20:Q20" si="6">B18-B19</f>
        <v>14013</v>
      </c>
      <c r="C20" s="64">
        <f t="shared" si="6"/>
        <v>25922</v>
      </c>
      <c r="D20" s="64">
        <f t="shared" si="6"/>
        <v>41733</v>
      </c>
      <c r="E20" s="64">
        <f t="shared" si="6"/>
        <v>37037</v>
      </c>
      <c r="F20" s="64">
        <f t="shared" si="6"/>
        <v>39510</v>
      </c>
      <c r="G20" s="64">
        <f t="shared" si="6"/>
        <v>53394</v>
      </c>
      <c r="H20" s="64">
        <f t="shared" si="6"/>
        <v>45687</v>
      </c>
      <c r="I20" s="64">
        <f t="shared" si="6"/>
        <v>48351</v>
      </c>
      <c r="J20" s="64">
        <f t="shared" si="6"/>
        <v>59531</v>
      </c>
      <c r="K20" s="64">
        <f t="shared" si="6"/>
        <v>55256</v>
      </c>
      <c r="L20" s="64">
        <f t="shared" si="6"/>
        <v>57411</v>
      </c>
      <c r="M20" s="64">
        <f t="shared" si="6"/>
        <v>94680</v>
      </c>
      <c r="N20" s="64">
        <f t="shared" si="6"/>
        <v>99803</v>
      </c>
      <c r="O20" s="64">
        <f t="shared" si="6"/>
        <v>96995</v>
      </c>
      <c r="P20" s="64">
        <f t="shared" si="6"/>
        <v>93736</v>
      </c>
      <c r="Q20" s="64">
        <f t="shared" si="6"/>
        <v>112010</v>
      </c>
    </row>
    <row r="21" spans="1:17">
      <c r="A21" s="72"/>
      <c r="B21" s="81"/>
      <c r="C21" s="81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</row>
    <row r="22" spans="1:17">
      <c r="A22" s="72"/>
      <c r="B22" s="81"/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</row>
    <row r="23" spans="1:17">
      <c r="A23" s="51" t="s">
        <v>62</v>
      </c>
      <c r="B23" s="70">
        <v>909461</v>
      </c>
      <c r="C23" s="70">
        <v>924258</v>
      </c>
      <c r="D23" s="70">
        <v>934818</v>
      </c>
      <c r="E23" s="70">
        <v>925331</v>
      </c>
      <c r="F23" s="66">
        <v>6085572</v>
      </c>
      <c r="G23" s="66">
        <v>5753421</v>
      </c>
      <c r="H23" s="66">
        <v>5470820</v>
      </c>
      <c r="I23" s="66">
        <v>5217242</v>
      </c>
      <c r="J23" s="66">
        <v>4955377</v>
      </c>
      <c r="K23" s="66">
        <v>4617834</v>
      </c>
      <c r="L23" s="66">
        <v>17352119</v>
      </c>
      <c r="M23" s="66">
        <v>16701272</v>
      </c>
      <c r="N23" s="66">
        <v>16215963</v>
      </c>
      <c r="O23" s="66">
        <v>15744231</v>
      </c>
      <c r="P23" s="66">
        <v>15343783</v>
      </c>
      <c r="Q23" s="66">
        <v>14948500</v>
      </c>
    </row>
    <row r="24" spans="1:17">
      <c r="A24" s="51" t="s">
        <v>63</v>
      </c>
      <c r="B24" s="70">
        <v>924712</v>
      </c>
      <c r="C24" s="70">
        <v>936645</v>
      </c>
      <c r="D24" s="70">
        <v>945355</v>
      </c>
      <c r="E24" s="70">
        <v>931662</v>
      </c>
      <c r="F24" s="66">
        <v>6122663</v>
      </c>
      <c r="G24" s="66">
        <v>5793069</v>
      </c>
      <c r="H24" s="66">
        <v>5500281</v>
      </c>
      <c r="I24" s="66">
        <v>5251692</v>
      </c>
      <c r="J24" s="66">
        <v>5000109</v>
      </c>
      <c r="K24" s="66">
        <v>4648913</v>
      </c>
      <c r="L24" s="66">
        <v>17528214</v>
      </c>
      <c r="M24" s="66">
        <v>16864919</v>
      </c>
      <c r="N24" s="66">
        <v>16325819</v>
      </c>
      <c r="O24" s="66">
        <v>15812547</v>
      </c>
      <c r="P24" s="66">
        <v>15408095</v>
      </c>
      <c r="Q24" s="66">
        <v>15004697</v>
      </c>
    </row>
    <row r="25" spans="1:17">
      <c r="A25" s="51" t="s">
        <v>64</v>
      </c>
      <c r="B25" s="76">
        <v>0</v>
      </c>
      <c r="C25" s="76">
        <v>0</v>
      </c>
      <c r="D25" s="76">
        <v>0.38</v>
      </c>
      <c r="E25" s="76">
        <v>1.64</v>
      </c>
      <c r="F25" s="77">
        <v>1.82</v>
      </c>
      <c r="G25" s="77">
        <v>1.98</v>
      </c>
      <c r="H25" s="77">
        <v>2.1800000000000002</v>
      </c>
      <c r="I25" s="77">
        <v>2.4</v>
      </c>
      <c r="J25" s="77">
        <v>0</v>
      </c>
      <c r="K25" s="77">
        <v>0</v>
      </c>
      <c r="L25" s="77">
        <v>0</v>
      </c>
      <c r="M25" s="77">
        <v>0</v>
      </c>
      <c r="N25" s="77">
        <v>0</v>
      </c>
      <c r="O25" s="77">
        <v>0</v>
      </c>
      <c r="P25" s="77">
        <v>0</v>
      </c>
      <c r="Q25" s="77">
        <v>0</v>
      </c>
    </row>
    <row r="26" spans="1:17">
      <c r="B26" s="76"/>
      <c r="C26" s="76"/>
      <c r="D26" s="76"/>
      <c r="E26" s="76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</row>
    <row r="27" spans="1:17">
      <c r="A27" s="51"/>
      <c r="B27" s="70"/>
      <c r="C27" s="70"/>
      <c r="D27" s="70"/>
      <c r="E27" s="70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</row>
    <row r="28" spans="1:17">
      <c r="A28" s="78" t="s">
        <v>15</v>
      </c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</row>
    <row r="29" spans="1:17">
      <c r="A29" s="51" t="s">
        <v>16</v>
      </c>
      <c r="B29" s="70">
        <v>11261</v>
      </c>
      <c r="C29" s="70">
        <v>9815</v>
      </c>
      <c r="D29" s="70">
        <v>10746</v>
      </c>
      <c r="E29" s="70">
        <v>14259</v>
      </c>
      <c r="F29" s="66">
        <v>13844</v>
      </c>
      <c r="G29" s="66">
        <v>21120</v>
      </c>
      <c r="H29" s="66">
        <v>20484</v>
      </c>
      <c r="I29" s="66">
        <v>20289</v>
      </c>
      <c r="J29" s="66">
        <v>25913</v>
      </c>
      <c r="K29" s="66">
        <v>48844</v>
      </c>
      <c r="L29" s="66">
        <v>38016</v>
      </c>
      <c r="M29" s="66">
        <v>34940</v>
      </c>
      <c r="N29" s="66">
        <v>23646</v>
      </c>
      <c r="O29" s="66">
        <v>29965</v>
      </c>
      <c r="P29" s="66">
        <v>29943</v>
      </c>
      <c r="Q29" s="66">
        <v>35934</v>
      </c>
    </row>
    <row r="30" spans="1:17">
      <c r="A30" s="51" t="s">
        <v>17</v>
      </c>
      <c r="B30" s="70">
        <v>14359</v>
      </c>
      <c r="C30" s="70">
        <v>16137</v>
      </c>
      <c r="D30" s="70">
        <v>18383</v>
      </c>
      <c r="E30" s="70">
        <v>26287</v>
      </c>
      <c r="F30" s="70">
        <v>11233</v>
      </c>
      <c r="G30" s="70">
        <v>20481</v>
      </c>
      <c r="H30" s="70">
        <v>46671</v>
      </c>
      <c r="I30" s="70">
        <v>53892</v>
      </c>
      <c r="J30" s="66">
        <v>40388</v>
      </c>
      <c r="K30" s="66">
        <v>51713</v>
      </c>
      <c r="L30" s="66">
        <v>52927</v>
      </c>
      <c r="M30" s="66">
        <v>27699</v>
      </c>
      <c r="N30" s="66">
        <v>24658</v>
      </c>
      <c r="O30" s="66">
        <v>31590</v>
      </c>
      <c r="P30" s="66">
        <v>35228</v>
      </c>
      <c r="Q30" s="66">
        <v>18763</v>
      </c>
    </row>
    <row r="31" spans="1:17">
      <c r="A31" s="51" t="s">
        <v>18</v>
      </c>
      <c r="B31" s="70">
        <v>5510</v>
      </c>
      <c r="C31" s="70">
        <v>5369</v>
      </c>
      <c r="D31" s="70">
        <v>10930</v>
      </c>
      <c r="E31" s="70">
        <v>13102</v>
      </c>
      <c r="F31" s="70">
        <v>17460</v>
      </c>
      <c r="G31" s="70">
        <v>16849</v>
      </c>
      <c r="H31" s="70">
        <v>15754</v>
      </c>
      <c r="I31" s="70">
        <v>17874</v>
      </c>
      <c r="J31" s="66">
        <v>23186</v>
      </c>
      <c r="K31" s="66">
        <v>22926</v>
      </c>
      <c r="L31" s="66">
        <v>16120</v>
      </c>
      <c r="M31" s="66">
        <v>26278</v>
      </c>
      <c r="N31" s="66">
        <v>28184</v>
      </c>
      <c r="O31" s="66">
        <v>29508</v>
      </c>
      <c r="P31" s="66">
        <v>33410</v>
      </c>
      <c r="Q31" s="66">
        <v>39777</v>
      </c>
    </row>
    <row r="32" spans="1:17">
      <c r="A32" s="51" t="s">
        <v>19</v>
      </c>
      <c r="B32" s="70">
        <v>1051</v>
      </c>
      <c r="C32" s="70">
        <v>776</v>
      </c>
      <c r="D32" s="70">
        <v>791</v>
      </c>
      <c r="E32" s="70">
        <v>1764</v>
      </c>
      <c r="F32" s="66">
        <v>2111</v>
      </c>
      <c r="G32" s="66">
        <v>2349</v>
      </c>
      <c r="H32" s="66">
        <v>2132</v>
      </c>
      <c r="I32" s="66">
        <v>4855</v>
      </c>
      <c r="J32" s="66">
        <v>3956</v>
      </c>
      <c r="K32" s="66">
        <v>4106</v>
      </c>
      <c r="L32" s="66">
        <v>4061</v>
      </c>
      <c r="M32" s="66">
        <v>6580</v>
      </c>
      <c r="N32" s="66">
        <v>4946</v>
      </c>
      <c r="O32" s="66">
        <v>6331</v>
      </c>
      <c r="P32" s="66">
        <v>7286</v>
      </c>
      <c r="Q32" s="66">
        <v>5718</v>
      </c>
    </row>
    <row r="33" spans="1:17">
      <c r="A33" s="51" t="s">
        <v>20</v>
      </c>
      <c r="B33" s="70">
        <v>1636</v>
      </c>
      <c r="C33" s="70">
        <v>2014</v>
      </c>
      <c r="D33" s="70">
        <v>2583</v>
      </c>
      <c r="E33" s="70">
        <v>3453</v>
      </c>
      <c r="F33" s="66">
        <v>4318</v>
      </c>
      <c r="G33" s="66">
        <v>5546</v>
      </c>
      <c r="H33" s="66">
        <v>0</v>
      </c>
      <c r="I33" s="66">
        <v>0</v>
      </c>
      <c r="J33" s="66">
        <v>0</v>
      </c>
      <c r="K33" s="66">
        <v>0</v>
      </c>
      <c r="L33" s="66">
        <v>0</v>
      </c>
      <c r="M33" s="66">
        <v>0</v>
      </c>
      <c r="N33" s="66">
        <v>0</v>
      </c>
      <c r="O33" s="66">
        <v>0</v>
      </c>
      <c r="P33" s="66">
        <v>0</v>
      </c>
      <c r="Q33" s="66">
        <v>0</v>
      </c>
    </row>
    <row r="34" spans="1:17">
      <c r="A34" s="51" t="s">
        <v>21</v>
      </c>
      <c r="B34" s="70">
        <v>4414</v>
      </c>
      <c r="C34" s="70">
        <v>6348</v>
      </c>
      <c r="D34" s="70">
        <v>7762</v>
      </c>
      <c r="E34" s="70">
        <v>7539</v>
      </c>
      <c r="F34" s="66">
        <v>9759</v>
      </c>
      <c r="G34" s="66">
        <v>13494</v>
      </c>
      <c r="H34" s="66">
        <v>13545</v>
      </c>
      <c r="I34" s="66">
        <v>17799</v>
      </c>
      <c r="J34" s="66">
        <v>25809</v>
      </c>
      <c r="K34" s="66">
        <v>22878</v>
      </c>
      <c r="L34" s="66">
        <v>21325</v>
      </c>
      <c r="M34" s="66">
        <v>25228</v>
      </c>
      <c r="N34" s="66">
        <v>32748</v>
      </c>
      <c r="O34" s="66">
        <v>31477</v>
      </c>
      <c r="P34" s="66">
        <v>32833</v>
      </c>
      <c r="Q34" s="66">
        <v>33180</v>
      </c>
    </row>
    <row r="35" spans="1:17">
      <c r="A35" s="51" t="s">
        <v>22</v>
      </c>
      <c r="B35" s="70">
        <v>3447</v>
      </c>
      <c r="C35" s="70">
        <v>4529</v>
      </c>
      <c r="D35" s="70">
        <v>6458</v>
      </c>
      <c r="E35" s="70">
        <v>6882</v>
      </c>
      <c r="F35" s="66">
        <v>9806</v>
      </c>
      <c r="G35" s="66">
        <v>9539</v>
      </c>
      <c r="H35" s="66">
        <v>8283</v>
      </c>
      <c r="I35" s="66">
        <v>13936</v>
      </c>
      <c r="J35" s="66">
        <v>12087</v>
      </c>
      <c r="K35" s="66">
        <v>12352</v>
      </c>
      <c r="L35" s="66">
        <v>11264</v>
      </c>
      <c r="M35" s="66">
        <v>14111</v>
      </c>
      <c r="N35" s="66">
        <v>21223</v>
      </c>
      <c r="O35" s="66">
        <v>14695</v>
      </c>
      <c r="P35" s="66">
        <v>14287</v>
      </c>
      <c r="Q35" s="66">
        <v>14585</v>
      </c>
    </row>
    <row r="36" spans="1:17">
      <c r="A36" s="63" t="s">
        <v>23</v>
      </c>
      <c r="B36" s="64">
        <f>B29+B30+B31+B32+B33+B34+B35</f>
        <v>41678</v>
      </c>
      <c r="C36" s="64">
        <f t="shared" ref="C36:Q36" si="7">C29+C30+C31+C32+C33+C34+C35</f>
        <v>44988</v>
      </c>
      <c r="D36" s="64">
        <f t="shared" si="7"/>
        <v>57653</v>
      </c>
      <c r="E36" s="64">
        <f t="shared" si="7"/>
        <v>73286</v>
      </c>
      <c r="F36" s="64">
        <f t="shared" si="7"/>
        <v>68531</v>
      </c>
      <c r="G36" s="64">
        <f t="shared" si="7"/>
        <v>89378</v>
      </c>
      <c r="H36" s="64">
        <f t="shared" si="7"/>
        <v>106869</v>
      </c>
      <c r="I36" s="64">
        <f t="shared" si="7"/>
        <v>128645</v>
      </c>
      <c r="J36" s="64">
        <f t="shared" si="7"/>
        <v>131339</v>
      </c>
      <c r="K36" s="64">
        <f t="shared" si="7"/>
        <v>162819</v>
      </c>
      <c r="L36" s="64">
        <f t="shared" si="7"/>
        <v>143713</v>
      </c>
      <c r="M36" s="64">
        <f t="shared" si="7"/>
        <v>134836</v>
      </c>
      <c r="N36" s="64">
        <f t="shared" si="7"/>
        <v>135405</v>
      </c>
      <c r="O36" s="64">
        <f t="shared" si="7"/>
        <v>143566</v>
      </c>
      <c r="P36" s="64">
        <f t="shared" si="7"/>
        <v>152987</v>
      </c>
      <c r="Q36" s="64">
        <f t="shared" si="7"/>
        <v>147957</v>
      </c>
    </row>
    <row r="37" spans="1:17">
      <c r="A37" s="80"/>
      <c r="B37" s="81"/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</row>
    <row r="38" spans="1:17">
      <c r="A38" s="80" t="s">
        <v>24</v>
      </c>
      <c r="B38" s="70">
        <v>4768</v>
      </c>
      <c r="C38" s="70">
        <v>7777</v>
      </c>
      <c r="D38" s="70">
        <v>15452</v>
      </c>
      <c r="E38" s="70">
        <v>16597</v>
      </c>
      <c r="F38" s="70">
        <v>20624</v>
      </c>
      <c r="G38" s="70">
        <v>22471</v>
      </c>
      <c r="H38" s="70">
        <v>27010</v>
      </c>
      <c r="I38" s="70">
        <v>33783</v>
      </c>
      <c r="J38" s="70">
        <v>41304</v>
      </c>
      <c r="K38" s="70">
        <v>37378</v>
      </c>
      <c r="L38" s="70">
        <v>36766</v>
      </c>
      <c r="M38" s="70">
        <v>39440</v>
      </c>
      <c r="N38" s="70">
        <v>42117</v>
      </c>
      <c r="O38" s="70">
        <v>43715</v>
      </c>
      <c r="P38" s="70">
        <v>45680</v>
      </c>
      <c r="Q38" s="70">
        <v>49834</v>
      </c>
    </row>
    <row r="39" spans="1:17">
      <c r="A39" s="51" t="s">
        <v>25</v>
      </c>
      <c r="B39" s="70">
        <v>25391</v>
      </c>
      <c r="C39" s="70">
        <v>55618</v>
      </c>
      <c r="D39" s="70">
        <v>92122</v>
      </c>
      <c r="E39" s="70">
        <v>106215</v>
      </c>
      <c r="F39" s="66">
        <v>130162</v>
      </c>
      <c r="G39" s="66">
        <v>164065</v>
      </c>
      <c r="H39" s="66">
        <v>170430</v>
      </c>
      <c r="I39" s="66">
        <v>194714</v>
      </c>
      <c r="J39" s="66">
        <v>170799</v>
      </c>
      <c r="K39" s="66">
        <v>105341</v>
      </c>
      <c r="L39" s="66">
        <v>100887</v>
      </c>
      <c r="M39" s="66">
        <v>127877</v>
      </c>
      <c r="N39" s="66">
        <v>120805</v>
      </c>
      <c r="O39" s="66">
        <v>100544</v>
      </c>
      <c r="P39" s="66">
        <v>91479</v>
      </c>
      <c r="Q39" s="66">
        <v>77723</v>
      </c>
    </row>
    <row r="40" spans="1:17">
      <c r="A40" s="51" t="s">
        <v>26</v>
      </c>
      <c r="B40" s="70">
        <v>741</v>
      </c>
      <c r="C40" s="70">
        <v>896</v>
      </c>
      <c r="D40" s="70">
        <v>1135</v>
      </c>
      <c r="E40" s="70">
        <v>1577</v>
      </c>
      <c r="F40" s="66">
        <v>4616</v>
      </c>
      <c r="G40" s="66">
        <v>5116</v>
      </c>
      <c r="H40" s="66">
        <v>5414</v>
      </c>
      <c r="I40" s="66">
        <v>5717</v>
      </c>
      <c r="J40" s="66">
        <v>0</v>
      </c>
      <c r="K40" s="66">
        <v>0</v>
      </c>
      <c r="L40" s="66">
        <v>0</v>
      </c>
      <c r="M40" s="66">
        <v>0</v>
      </c>
      <c r="N40" s="66">
        <v>0</v>
      </c>
      <c r="O40" s="66">
        <v>0</v>
      </c>
      <c r="P40" s="66">
        <v>0</v>
      </c>
      <c r="Q40" s="66">
        <v>0</v>
      </c>
    </row>
    <row r="41" spans="1:17">
      <c r="A41" s="51" t="s">
        <v>27</v>
      </c>
      <c r="B41" s="70">
        <v>342</v>
      </c>
      <c r="C41" s="70">
        <v>3536</v>
      </c>
      <c r="D41" s="70">
        <v>4224</v>
      </c>
      <c r="E41" s="70">
        <v>4179</v>
      </c>
      <c r="F41" s="66">
        <v>4142</v>
      </c>
      <c r="G41" s="66">
        <v>3893</v>
      </c>
      <c r="H41" s="66">
        <v>3206</v>
      </c>
      <c r="I41" s="66">
        <v>2298</v>
      </c>
      <c r="J41" s="66">
        <v>0</v>
      </c>
      <c r="K41" s="66">
        <v>0</v>
      </c>
      <c r="L41" s="66">
        <v>0</v>
      </c>
      <c r="M41" s="66">
        <v>0</v>
      </c>
      <c r="N41" s="66">
        <v>0</v>
      </c>
      <c r="O41" s="66">
        <v>0</v>
      </c>
      <c r="P41" s="66">
        <v>0</v>
      </c>
      <c r="Q41" s="66">
        <v>0</v>
      </c>
    </row>
    <row r="42" spans="1:17">
      <c r="A42" s="51" t="s">
        <v>28</v>
      </c>
      <c r="B42" s="70">
        <v>2263</v>
      </c>
      <c r="C42" s="70">
        <v>3556</v>
      </c>
      <c r="D42" s="70">
        <v>5478</v>
      </c>
      <c r="E42" s="70">
        <v>5146</v>
      </c>
      <c r="F42" s="66">
        <v>3764</v>
      </c>
      <c r="G42" s="66">
        <v>5556</v>
      </c>
      <c r="H42" s="66">
        <v>8757</v>
      </c>
      <c r="I42" s="66">
        <v>10162</v>
      </c>
      <c r="J42" s="66">
        <v>0</v>
      </c>
      <c r="K42" s="66">
        <v>0</v>
      </c>
      <c r="L42" s="66">
        <v>0</v>
      </c>
      <c r="M42" s="66">
        <v>0</v>
      </c>
      <c r="N42" s="66">
        <v>0</v>
      </c>
      <c r="O42" s="66">
        <v>0</v>
      </c>
      <c r="P42" s="66">
        <v>0</v>
      </c>
      <c r="Q42" s="66">
        <v>0</v>
      </c>
    </row>
    <row r="43" spans="1:17">
      <c r="A43" s="51" t="s">
        <v>29</v>
      </c>
      <c r="B43" s="70">
        <v>0</v>
      </c>
      <c r="C43" s="70">
        <v>0</v>
      </c>
      <c r="D43" s="70">
        <v>0</v>
      </c>
      <c r="E43" s="70">
        <v>0</v>
      </c>
      <c r="F43" s="66">
        <v>0</v>
      </c>
      <c r="G43" s="66">
        <v>0</v>
      </c>
      <c r="H43" s="66">
        <v>0</v>
      </c>
      <c r="I43" s="66">
        <v>0</v>
      </c>
      <c r="J43" s="66">
        <v>22283</v>
      </c>
      <c r="K43" s="66">
        <v>32978</v>
      </c>
      <c r="L43" s="66">
        <v>42522</v>
      </c>
      <c r="M43" s="66">
        <v>48849</v>
      </c>
      <c r="N43" s="66">
        <v>54428</v>
      </c>
      <c r="O43" s="66">
        <v>64758</v>
      </c>
      <c r="P43" s="66">
        <v>74834</v>
      </c>
      <c r="Q43" s="66">
        <v>83727</v>
      </c>
    </row>
    <row r="44" spans="1:17">
      <c r="A44" s="63" t="s">
        <v>30</v>
      </c>
      <c r="B44" s="64">
        <f>B38+B39+B40+B41+B42+B43</f>
        <v>33505</v>
      </c>
      <c r="C44" s="64">
        <f t="shared" ref="C44:Q44" si="8">C38+C39+C40+C41+C42+C43</f>
        <v>71383</v>
      </c>
      <c r="D44" s="64">
        <f t="shared" si="8"/>
        <v>118411</v>
      </c>
      <c r="E44" s="64">
        <f t="shared" si="8"/>
        <v>133714</v>
      </c>
      <c r="F44" s="64">
        <f t="shared" si="8"/>
        <v>163308</v>
      </c>
      <c r="G44" s="64">
        <f t="shared" si="8"/>
        <v>201101</v>
      </c>
      <c r="H44" s="64">
        <f t="shared" si="8"/>
        <v>214817</v>
      </c>
      <c r="I44" s="64">
        <f t="shared" si="8"/>
        <v>246674</v>
      </c>
      <c r="J44" s="64">
        <f t="shared" si="8"/>
        <v>234386</v>
      </c>
      <c r="K44" s="64">
        <f t="shared" si="8"/>
        <v>175697</v>
      </c>
      <c r="L44" s="64">
        <f t="shared" si="8"/>
        <v>180175</v>
      </c>
      <c r="M44" s="64">
        <f t="shared" si="8"/>
        <v>216166</v>
      </c>
      <c r="N44" s="64">
        <f t="shared" si="8"/>
        <v>217350</v>
      </c>
      <c r="O44" s="64">
        <f t="shared" si="8"/>
        <v>209017</v>
      </c>
      <c r="P44" s="64">
        <f t="shared" si="8"/>
        <v>211993</v>
      </c>
      <c r="Q44" s="64">
        <f t="shared" si="8"/>
        <v>211284</v>
      </c>
    </row>
    <row r="45" spans="1:17">
      <c r="A45" s="63" t="s">
        <v>31</v>
      </c>
      <c r="B45" s="64">
        <f t="shared" ref="B45:Q45" si="9">B36+B44</f>
        <v>75183</v>
      </c>
      <c r="C45" s="64">
        <f t="shared" si="9"/>
        <v>116371</v>
      </c>
      <c r="D45" s="64">
        <f t="shared" si="9"/>
        <v>176064</v>
      </c>
      <c r="E45" s="64">
        <f t="shared" si="9"/>
        <v>207000</v>
      </c>
      <c r="F45" s="67">
        <f t="shared" si="9"/>
        <v>231839</v>
      </c>
      <c r="G45" s="67">
        <f t="shared" si="9"/>
        <v>290479</v>
      </c>
      <c r="H45" s="67">
        <f t="shared" si="9"/>
        <v>321686</v>
      </c>
      <c r="I45" s="67">
        <f t="shared" si="9"/>
        <v>375319</v>
      </c>
      <c r="J45" s="67">
        <f t="shared" si="9"/>
        <v>365725</v>
      </c>
      <c r="K45" s="67">
        <f t="shared" si="9"/>
        <v>338516</v>
      </c>
      <c r="L45" s="67">
        <f t="shared" si="9"/>
        <v>323888</v>
      </c>
      <c r="M45" s="67">
        <f t="shared" si="9"/>
        <v>351002</v>
      </c>
      <c r="N45" s="67">
        <f t="shared" si="9"/>
        <v>352755</v>
      </c>
      <c r="O45" s="67">
        <f t="shared" si="9"/>
        <v>352583</v>
      </c>
      <c r="P45" s="67">
        <f t="shared" si="9"/>
        <v>364980</v>
      </c>
      <c r="Q45" s="67">
        <f t="shared" si="9"/>
        <v>359241</v>
      </c>
    </row>
    <row r="46" spans="1:17">
      <c r="A46" s="80"/>
      <c r="B46" s="81"/>
      <c r="C46" s="81"/>
      <c r="D46" s="81"/>
      <c r="E46" s="81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</row>
    <row r="47" spans="1:17">
      <c r="A47" s="51" t="s">
        <v>32</v>
      </c>
      <c r="B47" s="70">
        <v>0</v>
      </c>
      <c r="C47" s="70">
        <v>0</v>
      </c>
      <c r="D47" s="70">
        <v>0</v>
      </c>
      <c r="E47" s="70">
        <v>0</v>
      </c>
      <c r="F47" s="66">
        <v>0</v>
      </c>
      <c r="G47" s="66">
        <v>0</v>
      </c>
      <c r="H47" s="66">
        <v>0</v>
      </c>
      <c r="I47" s="66">
        <v>0</v>
      </c>
      <c r="J47" s="66">
        <v>0</v>
      </c>
      <c r="K47" s="66">
        <v>0</v>
      </c>
      <c r="L47" s="66">
        <v>0</v>
      </c>
      <c r="M47" s="66">
        <v>0</v>
      </c>
      <c r="N47" s="66">
        <v>0</v>
      </c>
      <c r="O47" s="66">
        <v>0</v>
      </c>
      <c r="P47" s="66">
        <v>0</v>
      </c>
      <c r="Q47" s="66">
        <v>0</v>
      </c>
    </row>
    <row r="48" spans="1:17">
      <c r="A48" s="51" t="s">
        <v>33</v>
      </c>
      <c r="B48" s="70">
        <v>12015</v>
      </c>
      <c r="C48" s="70">
        <v>14632</v>
      </c>
      <c r="D48" s="70">
        <v>21175</v>
      </c>
      <c r="E48" s="70">
        <v>22367</v>
      </c>
      <c r="F48" s="70">
        <v>30196</v>
      </c>
      <c r="G48" s="70">
        <v>35490</v>
      </c>
      <c r="H48" s="70">
        <v>37294</v>
      </c>
      <c r="I48" s="70">
        <v>49049</v>
      </c>
      <c r="J48" s="70">
        <v>55888</v>
      </c>
      <c r="K48" s="70">
        <v>46236</v>
      </c>
      <c r="L48" s="70">
        <v>42296</v>
      </c>
      <c r="M48" s="70">
        <v>54763</v>
      </c>
      <c r="N48" s="70">
        <v>64115</v>
      </c>
      <c r="O48" s="70">
        <v>62611</v>
      </c>
      <c r="P48" s="66">
        <v>68960</v>
      </c>
      <c r="Q48" s="66">
        <v>69860</v>
      </c>
    </row>
    <row r="49" spans="1:17">
      <c r="A49" s="51" t="s">
        <v>34</v>
      </c>
      <c r="B49" s="70">
        <v>5723</v>
      </c>
      <c r="C49" s="70">
        <v>9247</v>
      </c>
      <c r="D49" s="70">
        <v>11414</v>
      </c>
      <c r="E49" s="70">
        <v>13856</v>
      </c>
      <c r="F49" s="66">
        <v>18453</v>
      </c>
      <c r="G49" s="66">
        <v>25181</v>
      </c>
      <c r="H49" s="66">
        <v>22027</v>
      </c>
      <c r="I49" s="66">
        <v>25744</v>
      </c>
      <c r="J49" s="66">
        <v>0</v>
      </c>
      <c r="K49" s="66">
        <v>0</v>
      </c>
      <c r="L49" s="66">
        <v>0</v>
      </c>
      <c r="M49" s="66">
        <v>0</v>
      </c>
      <c r="N49" s="66">
        <v>0</v>
      </c>
      <c r="O49" s="66">
        <v>0</v>
      </c>
      <c r="P49" s="66">
        <v>0</v>
      </c>
      <c r="Q49" s="66">
        <v>0</v>
      </c>
    </row>
    <row r="50" spans="1:17">
      <c r="A50" s="51" t="s">
        <v>35</v>
      </c>
      <c r="B50" s="70">
        <v>2984</v>
      </c>
      <c r="C50" s="70">
        <v>4091</v>
      </c>
      <c r="D50" s="70">
        <v>5953</v>
      </c>
      <c r="E50" s="70">
        <v>7435</v>
      </c>
      <c r="F50" s="70">
        <v>8491</v>
      </c>
      <c r="G50" s="70">
        <v>8940</v>
      </c>
      <c r="H50" s="70">
        <v>8080</v>
      </c>
      <c r="I50" s="70">
        <v>7548</v>
      </c>
      <c r="J50" s="70">
        <v>7543</v>
      </c>
      <c r="K50" s="70">
        <v>5522</v>
      </c>
      <c r="L50" s="70">
        <v>6643</v>
      </c>
      <c r="M50" s="70">
        <v>7612</v>
      </c>
      <c r="N50" s="66">
        <v>7912</v>
      </c>
      <c r="O50" s="66">
        <v>8061</v>
      </c>
      <c r="P50" s="66">
        <v>8249</v>
      </c>
      <c r="Q50" s="66">
        <v>9055</v>
      </c>
    </row>
    <row r="51" spans="1:17">
      <c r="A51" s="51" t="s">
        <v>36</v>
      </c>
      <c r="B51" s="70">
        <v>0</v>
      </c>
      <c r="C51" s="70">
        <v>0</v>
      </c>
      <c r="D51" s="70">
        <v>0</v>
      </c>
      <c r="E51" s="70">
        <v>0</v>
      </c>
      <c r="F51" s="70">
        <v>0</v>
      </c>
      <c r="G51" s="70">
        <v>0</v>
      </c>
      <c r="H51" s="70">
        <v>0</v>
      </c>
      <c r="I51" s="70">
        <v>0</v>
      </c>
      <c r="J51" s="70">
        <v>32687</v>
      </c>
      <c r="K51" s="70">
        <v>37720</v>
      </c>
      <c r="L51" s="70">
        <v>42684</v>
      </c>
      <c r="M51" s="70">
        <v>47493</v>
      </c>
      <c r="N51" s="66">
        <v>60845</v>
      </c>
      <c r="O51" s="66">
        <v>58829</v>
      </c>
      <c r="P51" s="66">
        <v>78304</v>
      </c>
      <c r="Q51" s="66">
        <v>66387</v>
      </c>
    </row>
    <row r="52" spans="1:17">
      <c r="A52" s="51" t="s">
        <v>37</v>
      </c>
      <c r="B52" s="70">
        <v>0</v>
      </c>
      <c r="C52" s="70">
        <v>0</v>
      </c>
      <c r="D52" s="70">
        <v>0</v>
      </c>
      <c r="E52" s="70">
        <v>0</v>
      </c>
      <c r="F52" s="66">
        <v>6308</v>
      </c>
      <c r="G52" s="66">
        <v>8499</v>
      </c>
      <c r="H52" s="66">
        <v>8105</v>
      </c>
      <c r="I52" s="66">
        <v>11977</v>
      </c>
      <c r="J52" s="66">
        <v>11964</v>
      </c>
      <c r="K52" s="66">
        <v>5980</v>
      </c>
      <c r="L52" s="66">
        <v>4996</v>
      </c>
      <c r="M52" s="66">
        <v>6000</v>
      </c>
      <c r="N52" s="66">
        <v>9982</v>
      </c>
      <c r="O52" s="66">
        <v>5985</v>
      </c>
      <c r="P52" s="66">
        <v>9967</v>
      </c>
      <c r="Q52" s="66">
        <v>7979</v>
      </c>
    </row>
    <row r="53" spans="1:17">
      <c r="A53" s="51" t="s">
        <v>38</v>
      </c>
      <c r="B53" s="70">
        <v>0</v>
      </c>
      <c r="C53" s="70">
        <v>0</v>
      </c>
      <c r="D53" s="70">
        <v>0</v>
      </c>
      <c r="E53" s="70">
        <v>0</v>
      </c>
      <c r="F53" s="66">
        <v>0</v>
      </c>
      <c r="G53" s="66">
        <v>2500</v>
      </c>
      <c r="H53" s="66">
        <v>3500</v>
      </c>
      <c r="I53" s="66">
        <v>6496</v>
      </c>
      <c r="J53" s="66">
        <v>8784</v>
      </c>
      <c r="K53" s="66">
        <v>10260</v>
      </c>
      <c r="L53" s="66">
        <v>8773</v>
      </c>
      <c r="M53" s="66">
        <v>9613</v>
      </c>
      <c r="N53" s="66">
        <v>11128</v>
      </c>
      <c r="O53" s="66">
        <v>9822</v>
      </c>
      <c r="P53" s="66">
        <v>10912</v>
      </c>
      <c r="Q53" s="66">
        <v>12350</v>
      </c>
    </row>
    <row r="54" spans="1:17">
      <c r="A54" s="63" t="s">
        <v>39</v>
      </c>
      <c r="B54" s="64">
        <f t="shared" ref="B54:Q54" si="10">SUM(B47:B53)</f>
        <v>20722</v>
      </c>
      <c r="C54" s="64">
        <f t="shared" si="10"/>
        <v>27970</v>
      </c>
      <c r="D54" s="64">
        <f t="shared" si="10"/>
        <v>38542</v>
      </c>
      <c r="E54" s="64">
        <f t="shared" si="10"/>
        <v>43658</v>
      </c>
      <c r="F54" s="67">
        <f t="shared" si="10"/>
        <v>63448</v>
      </c>
      <c r="G54" s="67">
        <f t="shared" si="10"/>
        <v>80610</v>
      </c>
      <c r="H54" s="67">
        <f t="shared" si="10"/>
        <v>79006</v>
      </c>
      <c r="I54" s="67">
        <f t="shared" si="10"/>
        <v>100814</v>
      </c>
      <c r="J54" s="67">
        <f t="shared" si="10"/>
        <v>116866</v>
      </c>
      <c r="K54" s="67">
        <f t="shared" si="10"/>
        <v>105718</v>
      </c>
      <c r="L54" s="67">
        <f t="shared" si="10"/>
        <v>105392</v>
      </c>
      <c r="M54" s="67">
        <f t="shared" si="10"/>
        <v>125481</v>
      </c>
      <c r="N54" s="67">
        <f t="shared" si="10"/>
        <v>153982</v>
      </c>
      <c r="O54" s="67">
        <f t="shared" si="10"/>
        <v>145308</v>
      </c>
      <c r="P54" s="67">
        <f t="shared" si="10"/>
        <v>176392</v>
      </c>
      <c r="Q54" s="67">
        <f t="shared" si="10"/>
        <v>165631</v>
      </c>
    </row>
    <row r="55" spans="1:17">
      <c r="A55" s="80"/>
      <c r="B55" s="81"/>
      <c r="C55" s="81"/>
      <c r="D55" s="81"/>
      <c r="E55" s="81"/>
      <c r="F55" s="82"/>
      <c r="G55" s="82"/>
      <c r="H55" s="82"/>
      <c r="I55" s="82"/>
      <c r="J55" s="82"/>
      <c r="K55" s="82"/>
      <c r="L55" s="82"/>
      <c r="M55" s="82"/>
      <c r="N55" s="82"/>
      <c r="O55" s="82"/>
      <c r="P55" s="82"/>
      <c r="Q55" s="82"/>
    </row>
    <row r="56" spans="1:17">
      <c r="A56" s="51" t="s">
        <v>40</v>
      </c>
      <c r="B56" s="70">
        <v>0</v>
      </c>
      <c r="C56" s="70">
        <v>0</v>
      </c>
      <c r="D56" s="70">
        <v>0</v>
      </c>
      <c r="E56" s="70">
        <v>16960</v>
      </c>
      <c r="F56" s="66">
        <v>28987</v>
      </c>
      <c r="G56" s="66">
        <v>53463</v>
      </c>
      <c r="H56" s="66">
        <v>75427</v>
      </c>
      <c r="I56" s="66">
        <v>97207</v>
      </c>
      <c r="J56" s="66">
        <v>93735</v>
      </c>
      <c r="K56" s="66">
        <v>91807</v>
      </c>
      <c r="L56" s="66">
        <v>98667</v>
      </c>
      <c r="M56" s="66">
        <v>109106</v>
      </c>
      <c r="N56" s="66">
        <v>98959</v>
      </c>
      <c r="O56" s="66">
        <v>95281</v>
      </c>
      <c r="P56" s="66">
        <v>85750</v>
      </c>
      <c r="Q56" s="66">
        <v>78328</v>
      </c>
    </row>
    <row r="57" spans="1:17">
      <c r="A57" s="51" t="s">
        <v>41</v>
      </c>
      <c r="B57" s="70">
        <v>1139</v>
      </c>
      <c r="C57" s="70">
        <v>1686</v>
      </c>
      <c r="D57" s="70">
        <v>2648</v>
      </c>
      <c r="E57" s="70">
        <v>2625</v>
      </c>
      <c r="F57" s="70">
        <v>3031</v>
      </c>
      <c r="G57" s="70">
        <v>3624</v>
      </c>
      <c r="H57" s="70">
        <v>2930</v>
      </c>
      <c r="I57" s="70">
        <v>2836</v>
      </c>
      <c r="J57" s="70">
        <v>2797</v>
      </c>
      <c r="K57" s="70">
        <v>0</v>
      </c>
      <c r="L57" s="70">
        <v>0</v>
      </c>
      <c r="M57" s="70">
        <v>0</v>
      </c>
      <c r="N57" s="70">
        <v>0</v>
      </c>
      <c r="O57" s="70">
        <v>0</v>
      </c>
      <c r="P57" s="70">
        <v>0</v>
      </c>
      <c r="Q57" s="70">
        <v>0</v>
      </c>
    </row>
    <row r="58" spans="1:17">
      <c r="A58" s="51" t="s">
        <v>42</v>
      </c>
      <c r="B58" s="70">
        <v>5531</v>
      </c>
      <c r="C58" s="70">
        <v>10100</v>
      </c>
      <c r="D58" s="70">
        <v>16664</v>
      </c>
      <c r="E58" s="70">
        <v>20208</v>
      </c>
      <c r="F58" s="70">
        <v>24826</v>
      </c>
      <c r="G58" s="70">
        <v>33427</v>
      </c>
      <c r="H58" s="70">
        <v>36074</v>
      </c>
      <c r="I58" s="70">
        <v>40415</v>
      </c>
      <c r="J58" s="70">
        <v>45180</v>
      </c>
      <c r="K58" s="70">
        <v>50503</v>
      </c>
      <c r="L58" s="70">
        <v>54490</v>
      </c>
      <c r="M58" s="70">
        <v>53325</v>
      </c>
      <c r="N58" s="70">
        <v>49142</v>
      </c>
      <c r="O58" s="70">
        <v>49848</v>
      </c>
      <c r="P58" s="70">
        <v>45888</v>
      </c>
      <c r="Q58" s="70">
        <v>41549</v>
      </c>
    </row>
    <row r="59" spans="1:17">
      <c r="A59" s="63" t="s">
        <v>43</v>
      </c>
      <c r="B59" s="83">
        <f t="shared" ref="B59:Q59" si="11">SUM(B56:B58)</f>
        <v>6670</v>
      </c>
      <c r="C59" s="83">
        <f t="shared" si="11"/>
        <v>11786</v>
      </c>
      <c r="D59" s="83">
        <f t="shared" si="11"/>
        <v>19312</v>
      </c>
      <c r="E59" s="83">
        <f t="shared" si="11"/>
        <v>39793</v>
      </c>
      <c r="F59" s="84">
        <f t="shared" si="11"/>
        <v>56844</v>
      </c>
      <c r="G59" s="84">
        <f t="shared" si="11"/>
        <v>90514</v>
      </c>
      <c r="H59" s="84">
        <f t="shared" si="11"/>
        <v>114431</v>
      </c>
      <c r="I59" s="84">
        <f t="shared" si="11"/>
        <v>140458</v>
      </c>
      <c r="J59" s="84">
        <f t="shared" si="11"/>
        <v>141712</v>
      </c>
      <c r="K59" s="84">
        <f t="shared" si="11"/>
        <v>142310</v>
      </c>
      <c r="L59" s="84">
        <f t="shared" si="11"/>
        <v>153157</v>
      </c>
      <c r="M59" s="84">
        <f t="shared" si="11"/>
        <v>162431</v>
      </c>
      <c r="N59" s="84">
        <f t="shared" si="11"/>
        <v>148101</v>
      </c>
      <c r="O59" s="84">
        <f t="shared" si="11"/>
        <v>145129</v>
      </c>
      <c r="P59" s="84">
        <f t="shared" si="11"/>
        <v>131638</v>
      </c>
      <c r="Q59" s="84">
        <f t="shared" si="11"/>
        <v>119877</v>
      </c>
    </row>
    <row r="60" spans="1:17">
      <c r="A60" s="63" t="s">
        <v>44</v>
      </c>
      <c r="B60" s="60">
        <f t="shared" ref="B60:Q60" si="12">B54+B59</f>
        <v>27392</v>
      </c>
      <c r="C60" s="60">
        <f t="shared" si="12"/>
        <v>39756</v>
      </c>
      <c r="D60" s="60">
        <f t="shared" si="12"/>
        <v>57854</v>
      </c>
      <c r="E60" s="60">
        <f t="shared" si="12"/>
        <v>83451</v>
      </c>
      <c r="F60" s="60">
        <f t="shared" si="12"/>
        <v>120292</v>
      </c>
      <c r="G60" s="60">
        <f t="shared" si="12"/>
        <v>171124</v>
      </c>
      <c r="H60" s="60">
        <f t="shared" si="12"/>
        <v>193437</v>
      </c>
      <c r="I60" s="60">
        <f t="shared" si="12"/>
        <v>241272</v>
      </c>
      <c r="J60" s="60">
        <f t="shared" si="12"/>
        <v>258578</v>
      </c>
      <c r="K60" s="60">
        <f t="shared" si="12"/>
        <v>248028</v>
      </c>
      <c r="L60" s="60">
        <f t="shared" si="12"/>
        <v>258549</v>
      </c>
      <c r="M60" s="60">
        <f t="shared" si="12"/>
        <v>287912</v>
      </c>
      <c r="N60" s="60">
        <f t="shared" si="12"/>
        <v>302083</v>
      </c>
      <c r="O60" s="60">
        <f t="shared" si="12"/>
        <v>290437</v>
      </c>
      <c r="P60" s="60">
        <f t="shared" si="12"/>
        <v>308030</v>
      </c>
      <c r="Q60" s="60">
        <f t="shared" si="12"/>
        <v>285508</v>
      </c>
    </row>
    <row r="61" spans="1:17">
      <c r="A61" s="51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</row>
    <row r="62" spans="1:17">
      <c r="A62" s="51" t="s">
        <v>45</v>
      </c>
      <c r="B62" s="66">
        <v>10668</v>
      </c>
      <c r="C62" s="66">
        <v>13331</v>
      </c>
      <c r="D62" s="66">
        <v>16422</v>
      </c>
      <c r="E62" s="66">
        <v>19764</v>
      </c>
      <c r="F62" s="66">
        <v>23313</v>
      </c>
      <c r="G62" s="66">
        <v>27416</v>
      </c>
      <c r="H62" s="66">
        <v>31251</v>
      </c>
      <c r="I62" s="66">
        <v>35867</v>
      </c>
      <c r="J62" s="66">
        <v>40201</v>
      </c>
      <c r="K62" s="66">
        <v>45174</v>
      </c>
      <c r="L62" s="66">
        <v>50779</v>
      </c>
      <c r="M62" s="66">
        <v>57365</v>
      </c>
      <c r="N62" s="66">
        <v>64849</v>
      </c>
      <c r="O62" s="66">
        <v>73812</v>
      </c>
      <c r="P62" s="66">
        <v>83276</v>
      </c>
      <c r="Q62" s="66">
        <v>93568</v>
      </c>
    </row>
    <row r="63" spans="1:17">
      <c r="A63" s="51" t="s">
        <v>46</v>
      </c>
      <c r="B63" s="66">
        <v>37169</v>
      </c>
      <c r="C63" s="66">
        <v>62841</v>
      </c>
      <c r="D63" s="66">
        <v>101289</v>
      </c>
      <c r="E63" s="66">
        <v>104256</v>
      </c>
      <c r="F63" s="66">
        <v>87152</v>
      </c>
      <c r="G63" s="66">
        <v>92284</v>
      </c>
      <c r="H63" s="66">
        <v>96364</v>
      </c>
      <c r="I63" s="66">
        <v>98330</v>
      </c>
      <c r="J63" s="66">
        <v>70400</v>
      </c>
      <c r="K63" s="66">
        <v>45898</v>
      </c>
      <c r="L63" s="66">
        <v>14966</v>
      </c>
      <c r="M63" s="66">
        <v>5562</v>
      </c>
      <c r="N63" s="66">
        <v>0</v>
      </c>
      <c r="O63" s="66">
        <v>0</v>
      </c>
      <c r="P63" s="66">
        <v>0</v>
      </c>
      <c r="Q63" s="66">
        <v>0</v>
      </c>
    </row>
    <row r="64" spans="1:17">
      <c r="A64" s="51" t="s">
        <v>47</v>
      </c>
      <c r="B64" s="66">
        <v>0</v>
      </c>
      <c r="C64" s="66">
        <v>0</v>
      </c>
      <c r="D64" s="66">
        <v>0</v>
      </c>
      <c r="E64" s="66">
        <v>0</v>
      </c>
      <c r="F64" s="66">
        <v>0</v>
      </c>
      <c r="G64" s="66">
        <v>0</v>
      </c>
      <c r="H64" s="66">
        <v>0</v>
      </c>
      <c r="I64" s="66">
        <v>0</v>
      </c>
      <c r="J64" s="66">
        <v>0</v>
      </c>
      <c r="K64" s="66">
        <v>0</v>
      </c>
      <c r="L64" s="66">
        <v>0</v>
      </c>
      <c r="M64" s="66">
        <v>0</v>
      </c>
      <c r="N64" s="85">
        <v>-3068</v>
      </c>
      <c r="O64" s="85">
        <v>-214</v>
      </c>
      <c r="P64" s="85">
        <v>-19154</v>
      </c>
      <c r="Q64" s="85">
        <v>-14264</v>
      </c>
    </row>
    <row r="65" spans="1:17">
      <c r="A65" s="51" t="s">
        <v>48</v>
      </c>
      <c r="B65" s="85">
        <v>-46</v>
      </c>
      <c r="C65" s="66">
        <v>443</v>
      </c>
      <c r="D65" s="66">
        <v>499</v>
      </c>
      <c r="E65" s="85">
        <v>-471</v>
      </c>
      <c r="F65" s="66">
        <v>1082</v>
      </c>
      <c r="G65" s="85">
        <v>-345</v>
      </c>
      <c r="H65" s="66">
        <v>634</v>
      </c>
      <c r="I65" s="85">
        <v>-150</v>
      </c>
      <c r="J65" s="85">
        <v>-3454</v>
      </c>
      <c r="K65" s="85">
        <v>-584</v>
      </c>
      <c r="L65" s="85">
        <v>-406</v>
      </c>
      <c r="M65" s="66">
        <v>163</v>
      </c>
      <c r="N65" s="85">
        <v>-11109</v>
      </c>
      <c r="O65" s="85">
        <v>-11452</v>
      </c>
      <c r="P65" s="85">
        <v>-7172</v>
      </c>
      <c r="Q65" s="85">
        <v>-5571</v>
      </c>
    </row>
    <row r="66" spans="1:17">
      <c r="A66" s="63" t="s">
        <v>49</v>
      </c>
      <c r="B66" s="86">
        <f t="shared" ref="B66:Q66" si="13">SUM(B62:B65)</f>
        <v>47791</v>
      </c>
      <c r="C66" s="86">
        <f t="shared" si="13"/>
        <v>76615</v>
      </c>
      <c r="D66" s="86">
        <f t="shared" si="13"/>
        <v>118210</v>
      </c>
      <c r="E66" s="86">
        <f t="shared" si="13"/>
        <v>123549</v>
      </c>
      <c r="F66" s="86">
        <f t="shared" si="13"/>
        <v>111547</v>
      </c>
      <c r="G66" s="86">
        <f t="shared" si="13"/>
        <v>119355</v>
      </c>
      <c r="H66" s="86">
        <f t="shared" si="13"/>
        <v>128249</v>
      </c>
      <c r="I66" s="86">
        <f t="shared" si="13"/>
        <v>134047</v>
      </c>
      <c r="J66" s="86">
        <f t="shared" si="13"/>
        <v>107147</v>
      </c>
      <c r="K66" s="86">
        <f t="shared" si="13"/>
        <v>90488</v>
      </c>
      <c r="L66" s="86">
        <f t="shared" si="13"/>
        <v>65339</v>
      </c>
      <c r="M66" s="86">
        <f t="shared" si="13"/>
        <v>63090</v>
      </c>
      <c r="N66" s="86">
        <f t="shared" si="13"/>
        <v>50672</v>
      </c>
      <c r="O66" s="86">
        <f t="shared" si="13"/>
        <v>62146</v>
      </c>
      <c r="P66" s="86">
        <f t="shared" si="13"/>
        <v>56950</v>
      </c>
      <c r="Q66" s="86">
        <f t="shared" si="13"/>
        <v>73733</v>
      </c>
    </row>
    <row r="67" spans="1:17">
      <c r="A67" s="63" t="s">
        <v>50</v>
      </c>
      <c r="B67" s="87">
        <f t="shared" ref="B67:Q67" si="14">B60+B66</f>
        <v>75183</v>
      </c>
      <c r="C67" s="87">
        <f t="shared" si="14"/>
        <v>116371</v>
      </c>
      <c r="D67" s="87">
        <f t="shared" si="14"/>
        <v>176064</v>
      </c>
      <c r="E67" s="87">
        <f t="shared" si="14"/>
        <v>207000</v>
      </c>
      <c r="F67" s="87">
        <f t="shared" si="14"/>
        <v>231839</v>
      </c>
      <c r="G67" s="87">
        <f t="shared" si="14"/>
        <v>290479</v>
      </c>
      <c r="H67" s="87">
        <f t="shared" si="14"/>
        <v>321686</v>
      </c>
      <c r="I67" s="87">
        <f t="shared" si="14"/>
        <v>375319</v>
      </c>
      <c r="J67" s="87">
        <f t="shared" si="14"/>
        <v>365725</v>
      </c>
      <c r="K67" s="87">
        <f t="shared" si="14"/>
        <v>338516</v>
      </c>
      <c r="L67" s="87">
        <f t="shared" si="14"/>
        <v>323888</v>
      </c>
      <c r="M67" s="87">
        <f t="shared" si="14"/>
        <v>351002</v>
      </c>
      <c r="N67" s="87">
        <f t="shared" si="14"/>
        <v>352755</v>
      </c>
      <c r="O67" s="87">
        <f t="shared" si="14"/>
        <v>352583</v>
      </c>
      <c r="P67" s="87">
        <f t="shared" si="14"/>
        <v>364980</v>
      </c>
      <c r="Q67" s="87">
        <f t="shared" si="14"/>
        <v>359241</v>
      </c>
    </row>
    <row r="70" spans="1:17">
      <c r="A70" s="93" t="s">
        <v>95</v>
      </c>
      <c r="B70" s="94">
        <v>10.75</v>
      </c>
      <c r="C70" s="94">
        <v>14.46</v>
      </c>
      <c r="D70" s="94">
        <v>21.26</v>
      </c>
      <c r="E70" s="94">
        <v>18.670000000000002</v>
      </c>
      <c r="F70" s="94">
        <v>27</v>
      </c>
      <c r="G70" s="94">
        <v>29.88</v>
      </c>
      <c r="H70" s="94">
        <v>28.39</v>
      </c>
      <c r="I70" s="94">
        <v>42.26</v>
      </c>
      <c r="J70" s="94">
        <v>54.72</v>
      </c>
      <c r="K70" s="94">
        <v>62.19</v>
      </c>
      <c r="L70" s="94">
        <v>108.86</v>
      </c>
      <c r="M70" s="94">
        <v>149.80000000000001</v>
      </c>
      <c r="N70" s="94">
        <v>153.34</v>
      </c>
      <c r="O70" s="94">
        <v>170.77</v>
      </c>
      <c r="P70" s="94">
        <v>225.91</v>
      </c>
      <c r="Q70" s="94">
        <v>332.27</v>
      </c>
    </row>
    <row r="74" spans="1:17" ht="24" customHeight="1">
      <c r="A74" s="88" t="s">
        <v>96</v>
      </c>
      <c r="B74" s="88"/>
      <c r="C74" s="95"/>
      <c r="D74" s="88"/>
      <c r="E74" s="88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8"/>
      <c r="Q74" s="88"/>
    </row>
    <row r="75" spans="1:17">
      <c r="A75" s="50" t="s">
        <v>97</v>
      </c>
      <c r="B75" s="96">
        <f t="shared" ref="B75:Q75" si="15">IFERROR(B70,"")</f>
        <v>10.75</v>
      </c>
      <c r="C75" s="96">
        <f t="shared" si="15"/>
        <v>14.46</v>
      </c>
      <c r="D75" s="96">
        <f t="shared" si="15"/>
        <v>21.26</v>
      </c>
      <c r="E75" s="96">
        <f t="shared" si="15"/>
        <v>18.670000000000002</v>
      </c>
      <c r="F75" s="96">
        <f t="shared" si="15"/>
        <v>27</v>
      </c>
      <c r="G75" s="96">
        <f t="shared" si="15"/>
        <v>29.88</v>
      </c>
      <c r="H75" s="96">
        <f t="shared" si="15"/>
        <v>28.39</v>
      </c>
      <c r="I75" s="96">
        <f t="shared" si="15"/>
        <v>42.26</v>
      </c>
      <c r="J75" s="96">
        <f t="shared" si="15"/>
        <v>54.72</v>
      </c>
      <c r="K75" s="96">
        <f t="shared" si="15"/>
        <v>62.19</v>
      </c>
      <c r="L75" s="96">
        <f t="shared" si="15"/>
        <v>108.86</v>
      </c>
      <c r="M75" s="96">
        <f t="shared" si="15"/>
        <v>149.80000000000001</v>
      </c>
      <c r="N75" s="96">
        <f t="shared" si="15"/>
        <v>153.34</v>
      </c>
      <c r="O75" s="96">
        <f t="shared" si="15"/>
        <v>170.77</v>
      </c>
      <c r="P75" s="96">
        <f t="shared" si="15"/>
        <v>225.91</v>
      </c>
      <c r="Q75" s="96">
        <f t="shared" si="15"/>
        <v>332.27</v>
      </c>
    </row>
    <row r="76" spans="1:17">
      <c r="A76" s="50" t="s">
        <v>98</v>
      </c>
      <c r="B76" s="96">
        <f t="shared" ref="B76:Q76" si="16">IFERROR(B20*1000/B23,"")</f>
        <v>15.408027392048696</v>
      </c>
      <c r="C76" s="96">
        <f t="shared" si="16"/>
        <v>28.046281449551966</v>
      </c>
      <c r="D76" s="96">
        <f t="shared" si="16"/>
        <v>44.642914449657582</v>
      </c>
      <c r="E76" s="96">
        <f t="shared" si="16"/>
        <v>40.025677298177627</v>
      </c>
      <c r="F76" s="96">
        <f t="shared" si="16"/>
        <v>6.4924053153918813</v>
      </c>
      <c r="G76" s="96">
        <f t="shared" si="16"/>
        <v>9.280391613963241</v>
      </c>
      <c r="H76" s="96">
        <f t="shared" si="16"/>
        <v>8.3510333003096431</v>
      </c>
      <c r="I76" s="96">
        <f t="shared" si="16"/>
        <v>9.2675402061088974</v>
      </c>
      <c r="J76" s="96">
        <f t="shared" si="16"/>
        <v>12.013414922820202</v>
      </c>
      <c r="K76" s="96">
        <f t="shared" si="16"/>
        <v>11.965783092246278</v>
      </c>
      <c r="L76" s="96">
        <f t="shared" si="16"/>
        <v>3.3085872682177895</v>
      </c>
      <c r="M76" s="96">
        <f t="shared" si="16"/>
        <v>5.6690292811230183</v>
      </c>
      <c r="N76" s="96">
        <f t="shared" si="16"/>
        <v>6.1546144376377772</v>
      </c>
      <c r="O76" s="96">
        <f t="shared" si="16"/>
        <v>6.1606692635543778</v>
      </c>
      <c r="P76" s="96">
        <f t="shared" si="16"/>
        <v>6.1090540709549916</v>
      </c>
      <c r="Q76" s="96">
        <f t="shared" si="16"/>
        <v>7.4930595042980901</v>
      </c>
    </row>
    <row r="77" spans="1:17">
      <c r="A77" s="50" t="s">
        <v>99</v>
      </c>
      <c r="B77" s="96">
        <f t="shared" ref="B77:Q77" si="17">IFERROR(B20*1000/B24,"")</f>
        <v>15.15390737872981</v>
      </c>
      <c r="C77" s="96">
        <f t="shared" si="17"/>
        <v>27.675373273759</v>
      </c>
      <c r="D77" s="96">
        <f t="shared" si="17"/>
        <v>44.145321069862646</v>
      </c>
      <c r="E77" s="96">
        <f t="shared" si="17"/>
        <v>39.753687496109102</v>
      </c>
      <c r="F77" s="96">
        <f t="shared" si="17"/>
        <v>6.4530744220284539</v>
      </c>
      <c r="G77" s="96">
        <f t="shared" si="17"/>
        <v>9.216876236067618</v>
      </c>
      <c r="H77" s="96">
        <f t="shared" si="17"/>
        <v>8.3063028961611227</v>
      </c>
      <c r="I77" s="96">
        <f t="shared" si="17"/>
        <v>9.2067470826545037</v>
      </c>
      <c r="J77" s="96">
        <f t="shared" si="17"/>
        <v>11.905940450498179</v>
      </c>
      <c r="K77" s="96">
        <f t="shared" si="17"/>
        <v>11.885789215672567</v>
      </c>
      <c r="L77" s="96">
        <f t="shared" si="17"/>
        <v>3.2753479618630856</v>
      </c>
      <c r="M77" s="96">
        <f t="shared" si="17"/>
        <v>5.6140204408927197</v>
      </c>
      <c r="N77" s="96">
        <f t="shared" si="17"/>
        <v>6.1132002014722815</v>
      </c>
      <c r="O77" s="96">
        <f t="shared" si="17"/>
        <v>6.1340529138031972</v>
      </c>
      <c r="P77" s="96">
        <f t="shared" si="17"/>
        <v>6.0835554297919376</v>
      </c>
      <c r="Q77" s="96">
        <f t="shared" si="17"/>
        <v>7.4649957943169394</v>
      </c>
    </row>
    <row r="78" spans="1:17">
      <c r="A78" s="50" t="s">
        <v>100</v>
      </c>
      <c r="B78" s="90">
        <f t="shared" ref="B78:Q78" si="18">IFERROR(B70/(B20*1000/B24),"")</f>
        <v>0.70938799686005849</v>
      </c>
      <c r="C78" s="90">
        <f t="shared" si="18"/>
        <v>0.52248617776406148</v>
      </c>
      <c r="D78" s="90">
        <f t="shared" si="18"/>
        <v>0.48159124194282704</v>
      </c>
      <c r="E78" s="90">
        <f t="shared" si="18"/>
        <v>0.46964196722196727</v>
      </c>
      <c r="F78" s="90">
        <f t="shared" si="18"/>
        <v>4.1840521640091115</v>
      </c>
      <c r="G78" s="90">
        <f t="shared" si="18"/>
        <v>3.2418792695808518</v>
      </c>
      <c r="H78" s="90">
        <f t="shared" si="18"/>
        <v>3.4178864357475871</v>
      </c>
      <c r="I78" s="90">
        <f t="shared" si="18"/>
        <v>4.5901119712105229</v>
      </c>
      <c r="J78" s="90">
        <f t="shared" si="18"/>
        <v>4.5960250034435841</v>
      </c>
      <c r="K78" s="90">
        <f t="shared" si="18"/>
        <v>5.2322987452946288</v>
      </c>
      <c r="L78" s="90">
        <f t="shared" si="18"/>
        <v>33.236163384020479</v>
      </c>
      <c r="M78" s="90">
        <f t="shared" si="18"/>
        <v>26.683194615547105</v>
      </c>
      <c r="N78" s="90">
        <f t="shared" si="18"/>
        <v>25.083425202248431</v>
      </c>
      <c r="O78" s="90">
        <f t="shared" si="18"/>
        <v>27.839668551884117</v>
      </c>
      <c r="P78" s="90">
        <f t="shared" si="18"/>
        <v>37.13453466597678</v>
      </c>
      <c r="Q78" s="90">
        <f t="shared" si="18"/>
        <v>44.510406858226943</v>
      </c>
    </row>
    <row r="79" spans="1:17">
      <c r="A79" s="50" t="s">
        <v>101</v>
      </c>
      <c r="B79" s="89">
        <f t="shared" ref="B79:Q79" si="19">IFERROR((B20*1000/B24)/B70,"")</f>
        <v>1.4096658026725406</v>
      </c>
      <c r="C79" s="89">
        <f t="shared" si="19"/>
        <v>1.9139262291672889</v>
      </c>
      <c r="D79" s="89">
        <f t="shared" si="19"/>
        <v>2.0764497210659756</v>
      </c>
      <c r="E79" s="89">
        <f t="shared" si="19"/>
        <v>2.129281601291328</v>
      </c>
      <c r="F79" s="89">
        <f t="shared" si="19"/>
        <v>0.23900275637142421</v>
      </c>
      <c r="G79" s="89">
        <f t="shared" si="19"/>
        <v>0.30846306010935803</v>
      </c>
      <c r="H79" s="89">
        <f t="shared" si="19"/>
        <v>0.29257847467985637</v>
      </c>
      <c r="I79" s="89">
        <f t="shared" si="19"/>
        <v>0.21785960914942035</v>
      </c>
      <c r="J79" s="89">
        <f t="shared" si="19"/>
        <v>0.21757932109828543</v>
      </c>
      <c r="K79" s="89">
        <f t="shared" si="19"/>
        <v>0.19112058555511444</v>
      </c>
      <c r="L79" s="89">
        <f t="shared" si="19"/>
        <v>3.0087708633686254E-2</v>
      </c>
      <c r="M79" s="89">
        <f t="shared" si="19"/>
        <v>3.7476771968576232E-2</v>
      </c>
      <c r="N79" s="89">
        <f t="shared" si="19"/>
        <v>3.986696361987923E-2</v>
      </c>
      <c r="O79" s="89">
        <f t="shared" si="19"/>
        <v>3.5919967873767035E-2</v>
      </c>
      <c r="P79" s="89">
        <f t="shared" si="19"/>
        <v>2.6929110839679242E-2</v>
      </c>
      <c r="Q79" s="89">
        <f t="shared" si="19"/>
        <v>2.2466656015640712E-2</v>
      </c>
    </row>
    <row r="80" spans="1:17">
      <c r="A80" s="50" t="s">
        <v>102</v>
      </c>
      <c r="B80" s="89">
        <f t="shared" ref="B80:Q80" si="20">IFERROR(B25/B70,"")</f>
        <v>0</v>
      </c>
      <c r="C80" s="89">
        <f t="shared" si="20"/>
        <v>0</v>
      </c>
      <c r="D80" s="89">
        <f t="shared" si="20"/>
        <v>1.7873941674506115E-2</v>
      </c>
      <c r="E80" s="89">
        <f t="shared" si="20"/>
        <v>8.7841456882699509E-2</v>
      </c>
      <c r="F80" s="89">
        <f t="shared" si="20"/>
        <v>6.7407407407407416E-2</v>
      </c>
      <c r="G80" s="89">
        <f t="shared" si="20"/>
        <v>6.6265060240963861E-2</v>
      </c>
      <c r="H80" s="89">
        <f t="shared" si="20"/>
        <v>7.6787601268052133E-2</v>
      </c>
      <c r="I80" s="89">
        <f t="shared" si="20"/>
        <v>5.6791292001893041E-2</v>
      </c>
      <c r="J80" s="89">
        <f t="shared" si="20"/>
        <v>0</v>
      </c>
      <c r="K80" s="89">
        <f t="shared" si="20"/>
        <v>0</v>
      </c>
      <c r="L80" s="89">
        <f t="shared" si="20"/>
        <v>0</v>
      </c>
      <c r="M80" s="89">
        <f t="shared" si="20"/>
        <v>0</v>
      </c>
      <c r="N80" s="89">
        <f t="shared" si="20"/>
        <v>0</v>
      </c>
      <c r="O80" s="89">
        <f t="shared" si="20"/>
        <v>0</v>
      </c>
      <c r="P80" s="89">
        <f t="shared" si="20"/>
        <v>0</v>
      </c>
      <c r="Q80" s="89">
        <f t="shared" si="20"/>
        <v>0</v>
      </c>
    </row>
    <row r="81" spans="1:17">
      <c r="A81" s="50" t="s">
        <v>103</v>
      </c>
      <c r="B81" s="89">
        <f t="shared" ref="B81:Q81" si="21">IFERROR(B25/(B20*1000/B24),"")</f>
        <v>0</v>
      </c>
      <c r="C81" s="89">
        <f t="shared" si="21"/>
        <v>0</v>
      </c>
      <c r="D81" s="89">
        <f t="shared" si="21"/>
        <v>8.6079337694390523E-3</v>
      </c>
      <c r="E81" s="89">
        <f t="shared" si="21"/>
        <v>4.1254034614034617E-2</v>
      </c>
      <c r="F81" s="89">
        <f t="shared" si="21"/>
        <v>0.28203610883320679</v>
      </c>
      <c r="G81" s="89">
        <f t="shared" si="21"/>
        <v>0.21482332509270705</v>
      </c>
      <c r="H81" s="89">
        <f t="shared" si="21"/>
        <v>0.2624513008076696</v>
      </c>
      <c r="I81" s="89">
        <f t="shared" si="21"/>
        <v>0.2606783892784017</v>
      </c>
      <c r="J81" s="89">
        <f t="shared" si="21"/>
        <v>0</v>
      </c>
      <c r="K81" s="89">
        <f t="shared" si="21"/>
        <v>0</v>
      </c>
      <c r="L81" s="89">
        <f t="shared" si="21"/>
        <v>0</v>
      </c>
      <c r="M81" s="89">
        <f t="shared" si="21"/>
        <v>0</v>
      </c>
      <c r="N81" s="89">
        <f t="shared" si="21"/>
        <v>0</v>
      </c>
      <c r="O81" s="89">
        <f t="shared" si="21"/>
        <v>0</v>
      </c>
      <c r="P81" s="89">
        <f t="shared" si="21"/>
        <v>0</v>
      </c>
      <c r="Q81" s="89">
        <f t="shared" si="21"/>
        <v>0</v>
      </c>
    </row>
    <row r="82" spans="1:17">
      <c r="A82" s="50" t="s">
        <v>104</v>
      </c>
      <c r="B82" s="89">
        <f t="shared" ref="B82:Q82" si="22">IFERROR(1-B25/(B20*1000/B24),"")</f>
        <v>1</v>
      </c>
      <c r="C82" s="89">
        <f t="shared" si="22"/>
        <v>1</v>
      </c>
      <c r="D82" s="89">
        <f t="shared" si="22"/>
        <v>0.99139206623056098</v>
      </c>
      <c r="E82" s="89">
        <f t="shared" si="22"/>
        <v>0.95874596538596535</v>
      </c>
      <c r="F82" s="89">
        <f t="shared" si="22"/>
        <v>0.71796389116679316</v>
      </c>
      <c r="G82" s="89">
        <f t="shared" si="22"/>
        <v>0.78517667490729293</v>
      </c>
      <c r="H82" s="89">
        <f t="shared" si="22"/>
        <v>0.73754869919233035</v>
      </c>
      <c r="I82" s="89">
        <f t="shared" si="22"/>
        <v>0.7393216107215983</v>
      </c>
      <c r="J82" s="89">
        <f t="shared" si="22"/>
        <v>1</v>
      </c>
      <c r="K82" s="89">
        <f t="shared" si="22"/>
        <v>1</v>
      </c>
      <c r="L82" s="89">
        <f t="shared" si="22"/>
        <v>1</v>
      </c>
      <c r="M82" s="89">
        <f t="shared" si="22"/>
        <v>1</v>
      </c>
      <c r="N82" s="89">
        <f t="shared" si="22"/>
        <v>1</v>
      </c>
      <c r="O82" s="89">
        <f t="shared" si="22"/>
        <v>1</v>
      </c>
      <c r="P82" s="89">
        <f t="shared" si="22"/>
        <v>1</v>
      </c>
      <c r="Q82" s="89">
        <f t="shared" si="22"/>
        <v>1</v>
      </c>
    </row>
    <row r="83" spans="1:17">
      <c r="A83" s="50" t="s">
        <v>105</v>
      </c>
      <c r="B83" s="96">
        <f t="shared" ref="B83:Q83" si="23">IFERROR(B66*1000/B24,"")</f>
        <v>51.682037218074385</v>
      </c>
      <c r="C83" s="96">
        <f t="shared" si="23"/>
        <v>81.797265773051691</v>
      </c>
      <c r="D83" s="96">
        <f t="shared" si="23"/>
        <v>125.04297327458997</v>
      </c>
      <c r="E83" s="96">
        <f t="shared" si="23"/>
        <v>132.61139769573086</v>
      </c>
      <c r="F83" s="96">
        <f t="shared" si="23"/>
        <v>18.218706468084232</v>
      </c>
      <c r="G83" s="96">
        <f t="shared" si="23"/>
        <v>20.603068943249252</v>
      </c>
      <c r="H83" s="96">
        <f t="shared" si="23"/>
        <v>23.316808723045241</v>
      </c>
      <c r="I83" s="96">
        <f t="shared" si="23"/>
        <v>25.524535711538299</v>
      </c>
      <c r="J83" s="96">
        <f t="shared" si="23"/>
        <v>21.428932849263887</v>
      </c>
      <c r="K83" s="96">
        <f t="shared" si="23"/>
        <v>19.464334996159316</v>
      </c>
      <c r="L83" s="96">
        <f t="shared" si="23"/>
        <v>3.7276473233382479</v>
      </c>
      <c r="M83" s="96">
        <f t="shared" si="23"/>
        <v>3.740901453484597</v>
      </c>
      <c r="N83" s="96">
        <f t="shared" si="23"/>
        <v>3.1037952827971447</v>
      </c>
      <c r="O83" s="96">
        <f t="shared" si="23"/>
        <v>3.9301701364112942</v>
      </c>
      <c r="P83" s="96">
        <f t="shared" si="23"/>
        <v>3.6961090907084881</v>
      </c>
      <c r="Q83" s="96">
        <f t="shared" si="23"/>
        <v>4.9139945978249342</v>
      </c>
    </row>
    <row r="84" spans="1:17">
      <c r="A84" s="50" t="s">
        <v>106</v>
      </c>
      <c r="B84" s="90">
        <f t="shared" ref="B84:Q84" si="24">IFERROR(B70/(B66*1000/B24),"")</f>
        <v>0.2080026364796719</v>
      </c>
      <c r="C84" s="90">
        <f t="shared" si="24"/>
        <v>0.17677852509299746</v>
      </c>
      <c r="D84" s="90">
        <f t="shared" si="24"/>
        <v>0.1700215489383301</v>
      </c>
      <c r="E84" s="90">
        <f t="shared" si="24"/>
        <v>0.14078729524318287</v>
      </c>
      <c r="F84" s="90">
        <f t="shared" si="24"/>
        <v>1.4819932494822809</v>
      </c>
      <c r="G84" s="90">
        <f t="shared" si="24"/>
        <v>1.4502693789116501</v>
      </c>
      <c r="H84" s="90">
        <f t="shared" si="24"/>
        <v>1.2175765704995751</v>
      </c>
      <c r="I84" s="90">
        <f t="shared" si="24"/>
        <v>1.6556618493513469</v>
      </c>
      <c r="J84" s="90">
        <f t="shared" si="24"/>
        <v>2.5535569309453368</v>
      </c>
      <c r="K84" s="90">
        <f t="shared" si="24"/>
        <v>3.1950744791574572</v>
      </c>
      <c r="L84" s="90">
        <f t="shared" si="24"/>
        <v>29.203406480662391</v>
      </c>
      <c r="M84" s="90">
        <f t="shared" si="24"/>
        <v>40.043824159137742</v>
      </c>
      <c r="N84" s="90">
        <f t="shared" si="24"/>
        <v>49.404031525497317</v>
      </c>
      <c r="O84" s="90">
        <f t="shared" si="24"/>
        <v>43.451045138705631</v>
      </c>
      <c r="P84" s="90">
        <f t="shared" si="24"/>
        <v>61.12103145654082</v>
      </c>
      <c r="Q84" s="90">
        <f t="shared" si="24"/>
        <v>67.617086951432867</v>
      </c>
    </row>
    <row r="85" spans="1:17">
      <c r="A85" s="50" t="s">
        <v>107</v>
      </c>
      <c r="B85" s="90">
        <f t="shared" ref="B85:Q85" si="25">IFERROR(B70/(B4*1000/B24),"")</f>
        <v>0.15240558068225374</v>
      </c>
      <c r="C85" s="90">
        <f t="shared" si="25"/>
        <v>0.12511789208214397</v>
      </c>
      <c r="D85" s="90">
        <f t="shared" si="25"/>
        <v>0.12841674099726533</v>
      </c>
      <c r="E85" s="90">
        <f t="shared" si="25"/>
        <v>0.10177362085308057</v>
      </c>
      <c r="F85" s="90">
        <f t="shared" si="25"/>
        <v>0.904356798599524</v>
      </c>
      <c r="G85" s="90">
        <f t="shared" si="25"/>
        <v>0.74063240151466525</v>
      </c>
      <c r="H85" s="90">
        <f t="shared" si="25"/>
        <v>0.7241407054846295</v>
      </c>
      <c r="I85" s="90">
        <f t="shared" si="25"/>
        <v>0.96816573422790686</v>
      </c>
      <c r="J85" s="90">
        <f t="shared" si="25"/>
        <v>1.0301623316704005</v>
      </c>
      <c r="K85" s="90">
        <f t="shared" si="25"/>
        <v>1.1112405523611122</v>
      </c>
      <c r="L85" s="90">
        <f t="shared" si="25"/>
        <v>6.9508820138790224</v>
      </c>
      <c r="M85" s="90">
        <f t="shared" si="25"/>
        <v>6.9060892910936342</v>
      </c>
      <c r="N85" s="90">
        <f t="shared" si="25"/>
        <v>6.3485247952465969</v>
      </c>
      <c r="O85" s="90">
        <f t="shared" si="25"/>
        <v>7.0451717421500977</v>
      </c>
      <c r="P85" s="90">
        <f t="shared" si="25"/>
        <v>8.9016142837597663</v>
      </c>
      <c r="Q85" s="90">
        <f t="shared" si="25"/>
        <v>11.980004546773964</v>
      </c>
    </row>
    <row r="86" spans="1:17">
      <c r="A86" s="50" t="s">
        <v>108</v>
      </c>
      <c r="B86" s="91">
        <f t="shared" ref="B86:Q86" si="26">IFERROR(B70*B24/1000,"")</f>
        <v>9940.6540000000005</v>
      </c>
      <c r="C86" s="91">
        <f t="shared" si="26"/>
        <v>13543.886700000001</v>
      </c>
      <c r="D86" s="91">
        <f t="shared" si="26"/>
        <v>20098.247299999999</v>
      </c>
      <c r="E86" s="91">
        <f t="shared" si="26"/>
        <v>17394.129540000002</v>
      </c>
      <c r="F86" s="91">
        <f t="shared" si="26"/>
        <v>165311.90100000001</v>
      </c>
      <c r="G86" s="91">
        <f t="shared" si="26"/>
        <v>173096.90171999999</v>
      </c>
      <c r="H86" s="91">
        <f t="shared" si="26"/>
        <v>156152.97758999999</v>
      </c>
      <c r="I86" s="91">
        <f t="shared" si="26"/>
        <v>221936.50391999999</v>
      </c>
      <c r="J86" s="91">
        <f t="shared" si="26"/>
        <v>273605.96448000002</v>
      </c>
      <c r="K86" s="91">
        <f t="shared" si="26"/>
        <v>289115.89946999995</v>
      </c>
      <c r="L86" s="91">
        <f t="shared" si="26"/>
        <v>1908121.37604</v>
      </c>
      <c r="M86" s="91">
        <f t="shared" si="26"/>
        <v>2526364.8662000005</v>
      </c>
      <c r="N86" s="91">
        <f t="shared" si="26"/>
        <v>2503401.0854600002</v>
      </c>
      <c r="O86" s="91">
        <f t="shared" si="26"/>
        <v>2700308.6511900001</v>
      </c>
      <c r="P86" s="91">
        <f t="shared" si="26"/>
        <v>3480842.7414499996</v>
      </c>
      <c r="Q86" s="91">
        <f t="shared" si="26"/>
        <v>4985610.6721899994</v>
      </c>
    </row>
    <row r="87" spans="1:17">
      <c r="A87" s="50" t="s">
        <v>109</v>
      </c>
      <c r="B87" s="90">
        <f t="shared" ref="B87:Q87" si="27">IFERROR((B70*B24/1000)/B45,"")</f>
        <v>0.13221943790484553</v>
      </c>
      <c r="C87" s="90">
        <f t="shared" si="27"/>
        <v>0.1163854113138153</v>
      </c>
      <c r="D87" s="90">
        <f t="shared" si="27"/>
        <v>0.11415307672210105</v>
      </c>
      <c r="E87" s="90">
        <f t="shared" si="27"/>
        <v>8.4029611304347829E-2</v>
      </c>
      <c r="F87" s="90">
        <f t="shared" si="27"/>
        <v>0.71304612683802127</v>
      </c>
      <c r="G87" s="90">
        <f t="shared" si="27"/>
        <v>0.59590160293859451</v>
      </c>
      <c r="H87" s="90">
        <f t="shared" si="27"/>
        <v>0.48542049573186274</v>
      </c>
      <c r="I87" s="90">
        <f t="shared" si="27"/>
        <v>0.59132765439532764</v>
      </c>
      <c r="J87" s="90">
        <f t="shared" si="27"/>
        <v>0.74811939156470031</v>
      </c>
      <c r="K87" s="90">
        <f t="shared" si="27"/>
        <v>0.85406863920760012</v>
      </c>
      <c r="L87" s="90">
        <f t="shared" si="27"/>
        <v>5.8913000050634787</v>
      </c>
      <c r="M87" s="90">
        <f t="shared" si="27"/>
        <v>7.19757968957442</v>
      </c>
      <c r="N87" s="90">
        <f t="shared" si="27"/>
        <v>7.0967132583804631</v>
      </c>
      <c r="O87" s="90">
        <f t="shared" si="27"/>
        <v>7.6586467617270264</v>
      </c>
      <c r="P87" s="90">
        <f t="shared" si="27"/>
        <v>9.5370780356457878</v>
      </c>
      <c r="Q87" s="90">
        <f t="shared" si="27"/>
        <v>13.878178359903238</v>
      </c>
    </row>
    <row r="88" spans="1:17">
      <c r="A88" s="50" t="s">
        <v>110</v>
      </c>
      <c r="B88" s="89" t="str">
        <f>""</f>
        <v/>
      </c>
      <c r="C88" s="89">
        <f t="shared" ref="C88:Q88" si="28">IFERROR((C20/AVERAGE(B66:C66))*(1-C25/(C20*1000/C24)),"")</f>
        <v>0.41673231194636917</v>
      </c>
      <c r="D88" s="89">
        <f t="shared" si="28"/>
        <v>0.42472747440010267</v>
      </c>
      <c r="E88" s="89">
        <f t="shared" si="28"/>
        <v>0.29375596623083317</v>
      </c>
      <c r="F88" s="89">
        <f t="shared" si="28"/>
        <v>0.2413205953312689</v>
      </c>
      <c r="G88" s="89">
        <f t="shared" si="28"/>
        <v>0.3631300151579458</v>
      </c>
      <c r="H88" s="89">
        <f t="shared" si="28"/>
        <v>0.27217966931067344</v>
      </c>
      <c r="I88" s="89">
        <f t="shared" si="28"/>
        <v>0.27256945740689908</v>
      </c>
      <c r="J88" s="89">
        <f t="shared" si="28"/>
        <v>0.49363582842027581</v>
      </c>
      <c r="K88" s="89">
        <f t="shared" si="28"/>
        <v>0.55917221139980267</v>
      </c>
      <c r="L88" s="89">
        <f t="shared" si="28"/>
        <v>0.73685561552234213</v>
      </c>
      <c r="M88" s="89">
        <f t="shared" si="28"/>
        <v>1.4744333444938449</v>
      </c>
      <c r="N88" s="89">
        <f t="shared" si="28"/>
        <v>1.7545929220653644</v>
      </c>
      <c r="O88" s="89">
        <f t="shared" si="28"/>
        <v>1.7194951160275842</v>
      </c>
      <c r="P88" s="89">
        <f t="shared" si="28"/>
        <v>1.5741250755692886</v>
      </c>
      <c r="Q88" s="89">
        <f t="shared" si="28"/>
        <v>1.7142244974480232</v>
      </c>
    </row>
    <row r="89" spans="1:17">
      <c r="A89" s="50" t="s">
        <v>66</v>
      </c>
      <c r="B89" s="89" t="str">
        <f>""</f>
        <v/>
      </c>
      <c r="C89" s="89">
        <f t="shared" ref="C89:Q89" si="29">IFERROR(C4/B4-1,"")</f>
        <v>0.65962437715599842</v>
      </c>
      <c r="D89" s="89">
        <f t="shared" si="29"/>
        <v>0.44581474193756976</v>
      </c>
      <c r="E89" s="89">
        <f t="shared" si="29"/>
        <v>9.2020855163953197E-2</v>
      </c>
      <c r="F89" s="89">
        <f t="shared" si="29"/>
        <v>6.9539523725937524E-2</v>
      </c>
      <c r="G89" s="89">
        <f t="shared" si="29"/>
        <v>0.27856341803659834</v>
      </c>
      <c r="H89" s="89">
        <f t="shared" si="29"/>
        <v>-7.7342061913013738E-2</v>
      </c>
      <c r="I89" s="89">
        <f t="shared" si="29"/>
        <v>6.304518199398057E-2</v>
      </c>
      <c r="J89" s="89">
        <f t="shared" si="29"/>
        <v>0.15861957650261305</v>
      </c>
      <c r="K89" s="89">
        <f t="shared" si="29"/>
        <v>-2.04107758052674E-2</v>
      </c>
      <c r="L89" s="89">
        <f t="shared" si="29"/>
        <v>5.5120803769784787E-2</v>
      </c>
      <c r="M89" s="89">
        <f t="shared" si="29"/>
        <v>0.33259384733074704</v>
      </c>
      <c r="N89" s="89">
        <f t="shared" si="29"/>
        <v>7.7937876041846099E-2</v>
      </c>
      <c r="O89" s="89">
        <f t="shared" si="29"/>
        <v>-2.800460530319937E-2</v>
      </c>
      <c r="P89" s="89">
        <f t="shared" si="29"/>
        <v>2.021994077514111E-2</v>
      </c>
      <c r="Q89" s="89">
        <f t="shared" si="29"/>
        <v>6.425511782832749E-2</v>
      </c>
    </row>
    <row r="90" spans="1:17">
      <c r="A90" s="50" t="s">
        <v>111</v>
      </c>
      <c r="B90" s="89" t="str">
        <f>""</f>
        <v/>
      </c>
      <c r="C90" s="89">
        <f t="shared" ref="C90:Q90" si="30">IFERROR(C20/B20-1,"")</f>
        <v>0.84985370727181908</v>
      </c>
      <c r="D90" s="89">
        <f t="shared" si="30"/>
        <v>0.60994522027621323</v>
      </c>
      <c r="E90" s="89">
        <f t="shared" si="30"/>
        <v>-0.11252486042220788</v>
      </c>
      <c r="F90" s="89">
        <f t="shared" si="30"/>
        <v>6.6771066771066812E-2</v>
      </c>
      <c r="G90" s="89">
        <f t="shared" si="30"/>
        <v>0.3514047076689446</v>
      </c>
      <c r="H90" s="89">
        <f t="shared" si="30"/>
        <v>-0.14434206090571977</v>
      </c>
      <c r="I90" s="89">
        <f t="shared" si="30"/>
        <v>5.830980366406191E-2</v>
      </c>
      <c r="J90" s="89">
        <f t="shared" si="30"/>
        <v>0.23122582780087275</v>
      </c>
      <c r="K90" s="89">
        <f t="shared" si="30"/>
        <v>-7.1811325191916797E-2</v>
      </c>
      <c r="L90" s="89">
        <f t="shared" si="30"/>
        <v>3.9000289561314627E-2</v>
      </c>
      <c r="M90" s="89">
        <f t="shared" si="30"/>
        <v>0.64916131055024295</v>
      </c>
      <c r="N90" s="89">
        <f t="shared" si="30"/>
        <v>5.410857625686516E-2</v>
      </c>
      <c r="O90" s="89">
        <f t="shared" si="30"/>
        <v>-2.8135426790777851E-2</v>
      </c>
      <c r="P90" s="89">
        <f t="shared" si="30"/>
        <v>-3.3599670086086886E-2</v>
      </c>
      <c r="Q90" s="89">
        <f t="shared" si="30"/>
        <v>0.19495177946573361</v>
      </c>
    </row>
    <row r="91" spans="1:17">
      <c r="A91" s="50" t="s">
        <v>112</v>
      </c>
      <c r="B91" s="89" t="str">
        <f>""</f>
        <v/>
      </c>
      <c r="C91" s="89">
        <f t="shared" ref="C91:Q91" si="31">IFERROR((C20/C24)/(B20/B24)-1,"")</f>
        <v>0.82628628921174863</v>
      </c>
      <c r="D91" s="89">
        <f t="shared" si="31"/>
        <v>0.59511203817149516</v>
      </c>
      <c r="E91" s="89">
        <f t="shared" si="31"/>
        <v>-9.9481291953988027E-2</v>
      </c>
      <c r="F91" s="89">
        <f t="shared" si="31"/>
        <v>-0.83767356367481505</v>
      </c>
      <c r="G91" s="89">
        <f t="shared" si="31"/>
        <v>0.42829225781195812</v>
      </c>
      <c r="H91" s="89">
        <f t="shared" si="31"/>
        <v>-9.8794137686608385E-2</v>
      </c>
      <c r="I91" s="89">
        <f t="shared" si="31"/>
        <v>0.10840493029811538</v>
      </c>
      <c r="J91" s="89">
        <f t="shared" si="31"/>
        <v>0.29317557478351408</v>
      </c>
      <c r="K91" s="89">
        <f t="shared" si="31"/>
        <v>-1.6925361679235307E-3</v>
      </c>
      <c r="L91" s="89">
        <f t="shared" si="31"/>
        <v>-0.72443159621708408</v>
      </c>
      <c r="M91" s="89">
        <f t="shared" si="31"/>
        <v>0.71402260347915791</v>
      </c>
      <c r="N91" s="89">
        <f t="shared" si="31"/>
        <v>8.8916626833689394E-2</v>
      </c>
      <c r="O91" s="89">
        <f t="shared" si="31"/>
        <v>3.4110959307194211E-3</v>
      </c>
      <c r="P91" s="89">
        <f t="shared" si="31"/>
        <v>-8.2323195969874474E-3</v>
      </c>
      <c r="Q91" s="89">
        <f t="shared" si="31"/>
        <v>0.22707779693432473</v>
      </c>
    </row>
    <row r="100" spans="1:1">
      <c r="A100" s="50" t="s">
        <v>113</v>
      </c>
    </row>
  </sheetData>
  <mergeCells count="1">
    <mergeCell ref="A3:Q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Vertical Analysis</vt:lpstr>
      <vt:lpstr>Horizontal Analysis</vt:lpstr>
      <vt:lpstr>Common Size</vt:lpstr>
      <vt:lpstr>Index Analysis</vt:lpstr>
      <vt:lpstr>Financial Analyst</vt:lpstr>
      <vt:lpstr>Investment Ratios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Simba Choga</cp:lastModifiedBy>
  <dcterms:modified xsi:type="dcterms:W3CDTF">2026-10-08T16:20:06Z</dcterms:modified>
</cp:coreProperties>
</file>