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Simba\U.S Companies - Equity Reseach\Technology Hardware &amp; Equipment Sector\Technology Hardware, Storage &amp; Peripherals Industry\Apple - Research Excel Documents\"/>
    </mc:Choice>
  </mc:AlternateContent>
  <xr:revisionPtr revIDLastSave="0" documentId="13_ncr:1_{3E1E7850-5750-44F9-9C82-08DD283451A2}" xr6:coauthVersionLast="47" xr6:coauthVersionMax="47" xr10:uidLastSave="{00000000-0000-0000-0000-000000000000}"/>
  <bookViews>
    <workbookView xWindow="-108" yWindow="-108" windowWidth="23256" windowHeight="13176" xr2:uid="{00000000-000D-0000-FFFF-FFFF00000000}"/>
  </bookViews>
  <sheets>
    <sheet name="Apple Consolidated Statements" sheetId="1" r:id="rId1"/>
    <sheet name="Apple Unit Volumes" sheetId="7" r:id="rId2"/>
    <sheet name="Apple Product Revenue" sheetId="11" r:id="rId3"/>
    <sheet name="Apple Country Revenue" sheetId="9" r:id="rId4"/>
    <sheet name="Apple Debt" sheetId="13" r:id="rId5"/>
    <sheet name="Apple Capex" sheetId="14" r:id="rId6"/>
    <sheet name="Apple Company Profile" sheetId="1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65" i="1" l="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F65" i="1"/>
  <c r="E65" i="1"/>
  <c r="D65" i="1"/>
  <c r="C65" i="1"/>
  <c r="B65" i="1"/>
  <c r="AI18" i="1"/>
  <c r="AH18" i="1"/>
  <c r="AG18" i="1"/>
  <c r="AF18" i="1"/>
  <c r="AE18" i="1"/>
  <c r="AD18" i="1"/>
  <c r="AC18" i="1"/>
  <c r="AM10" i="11"/>
  <c r="AO12" i="11"/>
  <c r="AM12" i="11"/>
  <c r="AO10" i="11"/>
  <c r="AO8" i="11"/>
  <c r="AO6" i="11"/>
  <c r="AO4" i="11"/>
  <c r="AM4" i="11"/>
  <c r="AM6" i="11"/>
  <c r="AM8" i="11"/>
  <c r="AO8" i="1"/>
  <c r="AL8" i="1"/>
  <c r="AI3" i="14"/>
  <c r="AH3" i="14"/>
  <c r="AG3" i="14"/>
  <c r="AF3" i="14"/>
  <c r="AE3" i="14"/>
  <c r="AD3" i="14"/>
  <c r="AC3" i="14"/>
  <c r="AB3" i="14"/>
  <c r="AB4" i="14" s="1"/>
  <c r="AA3" i="14"/>
  <c r="AA4" i="14" s="1"/>
  <c r="Z3" i="14"/>
  <c r="Z4" i="14" s="1"/>
  <c r="Y3" i="14"/>
  <c r="Y4" i="14" s="1"/>
  <c r="X3" i="14"/>
  <c r="X4" i="14" s="1"/>
  <c r="W3" i="14"/>
  <c r="W4" i="14" s="1"/>
  <c r="V3" i="14"/>
  <c r="V4" i="14" s="1"/>
  <c r="U3" i="14"/>
  <c r="U4" i="14" s="1"/>
  <c r="T3" i="14"/>
  <c r="T4" i="14" s="1"/>
  <c r="S3" i="14"/>
  <c r="S4" i="14" s="1"/>
  <c r="R3" i="14"/>
  <c r="R4" i="14" s="1"/>
  <c r="Q3" i="14"/>
  <c r="Q4" i="14" s="1"/>
  <c r="P3" i="14"/>
  <c r="P4" i="14" s="1"/>
  <c r="O3" i="14"/>
  <c r="O4" i="14" s="1"/>
  <c r="N3" i="14"/>
  <c r="N4" i="14" s="1"/>
  <c r="M3" i="14"/>
  <c r="M4" i="14" s="1"/>
  <c r="L3" i="14"/>
  <c r="L4" i="14" s="1"/>
  <c r="K3" i="14"/>
  <c r="K4" i="14" s="1"/>
  <c r="J3" i="14"/>
  <c r="J4" i="14" s="1"/>
  <c r="I3" i="14"/>
  <c r="I4" i="14" s="1"/>
  <c r="H3" i="14"/>
  <c r="H4" i="14" s="1"/>
  <c r="G3" i="14"/>
  <c r="G4" i="14" s="1"/>
  <c r="F3" i="14"/>
  <c r="F4" i="14" s="1"/>
  <c r="E3" i="14"/>
  <c r="E4" i="14" s="1"/>
  <c r="D3" i="14"/>
  <c r="D4" i="14" s="1"/>
  <c r="C3" i="14"/>
  <c r="C4" i="14" s="1"/>
  <c r="B3" i="14"/>
  <c r="B4" i="14" s="1"/>
  <c r="A3" i="14"/>
  <c r="M18" i="13"/>
  <c r="N18" i="13"/>
  <c r="O18" i="13"/>
  <c r="P18" i="13"/>
  <c r="Q18" i="13"/>
  <c r="R18" i="13"/>
  <c r="S18" i="13"/>
  <c r="T18" i="13"/>
  <c r="U18" i="13"/>
  <c r="V18" i="13"/>
  <c r="AB18" i="13"/>
  <c r="AA18" i="13"/>
  <c r="Z18" i="13"/>
  <c r="Y18" i="13"/>
  <c r="X18" i="13"/>
  <c r="W18" i="13"/>
  <c r="L18" i="13"/>
  <c r="K18" i="13"/>
  <c r="J18" i="13"/>
  <c r="I18" i="13"/>
  <c r="H18" i="13"/>
  <c r="G18" i="13"/>
  <c r="F18" i="13"/>
  <c r="E18" i="13"/>
  <c r="D18" i="13"/>
  <c r="C18" i="13"/>
  <c r="B18"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C16" i="13"/>
  <c r="B16" i="13"/>
  <c r="C14" i="13"/>
  <c r="AI17" i="13"/>
  <c r="AH17" i="13"/>
  <c r="AG17"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C17" i="13"/>
  <c r="A17" i="13"/>
  <c r="AI15" i="13"/>
  <c r="AH15" i="13"/>
  <c r="AG15" i="13"/>
  <c r="AF15" i="13"/>
  <c r="AE15" i="13"/>
  <c r="AD15" i="13"/>
  <c r="AC15"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C15" i="13"/>
  <c r="B15" i="13"/>
  <c r="A15"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AI13" i="13" l="1"/>
  <c r="AH13" i="13"/>
  <c r="AG13" i="13"/>
  <c r="AF13" i="13"/>
  <c r="AE13" i="13"/>
  <c r="AD13" i="13"/>
  <c r="AC13"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B9" i="13"/>
  <c r="B7" i="13"/>
  <c r="AA10" i="13"/>
  <c r="V10" i="13"/>
  <c r="U10" i="13"/>
  <c r="T10" i="13"/>
  <c r="J10" i="13"/>
  <c r="D10" i="13"/>
  <c r="V8" i="13"/>
  <c r="U8" i="13"/>
  <c r="T8" i="13"/>
  <c r="S8" i="13"/>
  <c r="S10" i="13" s="1"/>
  <c r="R8" i="13"/>
  <c r="R10" i="13" s="1"/>
  <c r="Q8" i="13"/>
  <c r="Q10" i="13" s="1"/>
  <c r="P8" i="13"/>
  <c r="P10" i="13" s="1"/>
  <c r="O8" i="13"/>
  <c r="O10" i="13" s="1"/>
  <c r="N8" i="13"/>
  <c r="N10" i="13" s="1"/>
  <c r="M8" i="13"/>
  <c r="M10" i="13" s="1"/>
  <c r="L8" i="13"/>
  <c r="L10" i="13" s="1"/>
  <c r="K8" i="13"/>
  <c r="K10" i="13" s="1"/>
  <c r="J8" i="13"/>
  <c r="I8" i="13"/>
  <c r="I10" i="13" s="1"/>
  <c r="H8" i="13"/>
  <c r="H10" i="13" s="1"/>
  <c r="G8" i="13"/>
  <c r="G10" i="13" s="1"/>
  <c r="F8" i="13"/>
  <c r="F10" i="13" s="1"/>
  <c r="E8" i="13"/>
  <c r="E10" i="13" s="1"/>
  <c r="D8" i="13"/>
  <c r="C8" i="13"/>
  <c r="B8" i="13"/>
  <c r="B10" i="13" s="1"/>
  <c r="X8" i="13"/>
  <c r="X10" i="13" s="1"/>
  <c r="W8" i="13"/>
  <c r="W10" i="13" s="1"/>
  <c r="AH8" i="13"/>
  <c r="AH10" i="13" s="1"/>
  <c r="AG8" i="13"/>
  <c r="AG10" i="13" s="1"/>
  <c r="AF8" i="13"/>
  <c r="AF10" i="13" s="1"/>
  <c r="AE8" i="13"/>
  <c r="AE10" i="13" s="1"/>
  <c r="AD8" i="13"/>
  <c r="AD10" i="13" s="1"/>
  <c r="AC8" i="13"/>
  <c r="AC10" i="13" s="1"/>
  <c r="AB8" i="13"/>
  <c r="AB10" i="13" s="1"/>
  <c r="AA8" i="13"/>
  <c r="Z8" i="13"/>
  <c r="Z10" i="13" s="1"/>
  <c r="Y8" i="13"/>
  <c r="Y10" i="13" s="1"/>
  <c r="AI8" i="13"/>
  <c r="AI5" i="13"/>
  <c r="AH5" i="13"/>
  <c r="AG5" i="13"/>
  <c r="AF5" i="13"/>
  <c r="AE5" i="13"/>
  <c r="AD5" i="13"/>
  <c r="AC5" i="13"/>
  <c r="AB5" i="13"/>
  <c r="AA5" i="13"/>
  <c r="Z5" i="13"/>
  <c r="Y5" i="13"/>
  <c r="X5" i="13"/>
  <c r="W5" i="13"/>
  <c r="V5" i="13"/>
  <c r="U5" i="13"/>
  <c r="T5" i="13"/>
  <c r="S5" i="13"/>
  <c r="R5" i="13"/>
  <c r="Q5" i="13"/>
  <c r="P5" i="13"/>
  <c r="O5" i="13"/>
  <c r="N5" i="13"/>
  <c r="M5" i="13"/>
  <c r="AI10" i="13" l="1"/>
  <c r="AF15" i="7" l="1"/>
  <c r="AF14" i="7" s="1"/>
  <c r="AG15" i="7" s="1"/>
  <c r="AG17" i="7"/>
  <c r="AD15" i="7"/>
  <c r="AF16" i="7"/>
  <c r="AF17" i="7"/>
  <c r="AE17" i="7"/>
  <c r="AD17" i="7"/>
  <c r="AC17" i="7"/>
  <c r="AB17" i="7"/>
  <c r="AA17" i="7"/>
  <c r="Z17" i="7"/>
  <c r="Y17" i="7"/>
  <c r="X17" i="7"/>
  <c r="W17" i="7"/>
  <c r="V17" i="7"/>
  <c r="AE15" i="7"/>
  <c r="AC15" i="7"/>
  <c r="AB15" i="7"/>
  <c r="AA15" i="7"/>
  <c r="Z15" i="7"/>
  <c r="Y15" i="7"/>
  <c r="X15" i="7"/>
  <c r="W15" i="7"/>
  <c r="V15" i="7"/>
  <c r="AG54" i="7" l="1"/>
  <c r="AF54" i="7"/>
  <c r="AE54" i="7"/>
  <c r="AD54" i="7"/>
  <c r="AC54" i="7"/>
  <c r="AB54" i="7"/>
  <c r="AG53" i="7"/>
  <c r="AF53" i="7"/>
  <c r="AE53" i="7"/>
  <c r="AD53" i="7"/>
  <c r="AC53" i="7"/>
  <c r="AB53" i="7"/>
  <c r="AA53" i="7"/>
  <c r="AA54" i="7" s="1"/>
  <c r="Z53" i="7"/>
  <c r="Z54" i="7" s="1"/>
  <c r="Y53" i="7"/>
  <c r="X53" i="7"/>
  <c r="X54" i="7" s="1"/>
  <c r="W53" i="7"/>
  <c r="AG40" i="7"/>
  <c r="AF40" i="7"/>
  <c r="AE40" i="7"/>
  <c r="AD40" i="7"/>
  <c r="AC40" i="7"/>
  <c r="AB40" i="7"/>
  <c r="AA40" i="7"/>
  <c r="Z40" i="7"/>
  <c r="Y40" i="7"/>
  <c r="AG42" i="7"/>
  <c r="AF42" i="7"/>
  <c r="AE42" i="7"/>
  <c r="AD42" i="7"/>
  <c r="AC42" i="7"/>
  <c r="AB42" i="7"/>
  <c r="AA42" i="7"/>
  <c r="AG44" i="7"/>
  <c r="AF44" i="7"/>
  <c r="AE44" i="7"/>
  <c r="AD44" i="7"/>
  <c r="AC44" i="7"/>
  <c r="AB44" i="7"/>
  <c r="AA44" i="7"/>
  <c r="Z44" i="7"/>
  <c r="AG46" i="7"/>
  <c r="AF46" i="7"/>
  <c r="AE46" i="7"/>
  <c r="AD46" i="7"/>
  <c r="AC46" i="7"/>
  <c r="AB46" i="7"/>
  <c r="AA46" i="7"/>
  <c r="Z46" i="7"/>
  <c r="Y46" i="7"/>
  <c r="AG48" i="7"/>
  <c r="AF48" i="7"/>
  <c r="AE48" i="7"/>
  <c r="AD48" i="7"/>
  <c r="AC48" i="7"/>
  <c r="AG50" i="7"/>
  <c r="AF50" i="7"/>
  <c r="AE50" i="7"/>
  <c r="AD50" i="7"/>
  <c r="AC50" i="7"/>
  <c r="AB50" i="7"/>
  <c r="AA50" i="7"/>
  <c r="AG52" i="7"/>
  <c r="AF52" i="7"/>
  <c r="AE52" i="7"/>
  <c r="AD52" i="7"/>
  <c r="AC52" i="7"/>
  <c r="AB52" i="7"/>
  <c r="AA52" i="7"/>
  <c r="Z52" i="7"/>
  <c r="Y52" i="7"/>
  <c r="X52" i="7"/>
  <c r="Z50" i="7"/>
  <c r="AB48" i="7"/>
  <c r="X46" i="7"/>
  <c r="Z42" i="7"/>
  <c r="Y44" i="7"/>
  <c r="X40" i="7"/>
  <c r="AA7" i="7"/>
  <c r="AA9" i="7"/>
  <c r="Y11" i="11"/>
  <c r="X11" i="11"/>
  <c r="AG13" i="7"/>
  <c r="AF13" i="7"/>
  <c r="AE13" i="7"/>
  <c r="AD13" i="7"/>
  <c r="AC13" i="7"/>
  <c r="AB13" i="7"/>
  <c r="AA13" i="7"/>
  <c r="Z13" i="7"/>
  <c r="Y13" i="7"/>
  <c r="X13" i="7"/>
  <c r="W13" i="7"/>
  <c r="V13" i="7"/>
  <c r="U13" i="7"/>
  <c r="T13" i="7"/>
  <c r="S13" i="7"/>
  <c r="R13" i="7"/>
  <c r="Q13" i="7"/>
  <c r="AG5" i="7"/>
  <c r="AF5" i="7"/>
  <c r="AE5" i="7"/>
  <c r="AD5" i="7"/>
  <c r="AC5" i="7"/>
  <c r="AB5" i="7"/>
  <c r="AA5" i="7"/>
  <c r="Z5" i="7"/>
  <c r="Y5" i="7"/>
  <c r="X5" i="7"/>
  <c r="W5" i="7"/>
  <c r="V5" i="7"/>
  <c r="U5" i="7"/>
  <c r="T5" i="7"/>
  <c r="S5" i="7"/>
  <c r="R5" i="7"/>
  <c r="Q5" i="7"/>
  <c r="AG7" i="7"/>
  <c r="AF7" i="7"/>
  <c r="AE7" i="7"/>
  <c r="AD7" i="7"/>
  <c r="AC7" i="7"/>
  <c r="AB7" i="7"/>
  <c r="Z7" i="7"/>
  <c r="Y7" i="7"/>
  <c r="X7" i="7"/>
  <c r="W7" i="7"/>
  <c r="V7" i="7"/>
  <c r="U7" i="7"/>
  <c r="T7" i="7"/>
  <c r="S7" i="7"/>
  <c r="R7" i="7"/>
  <c r="Q7" i="7"/>
  <c r="P7" i="7"/>
  <c r="O7" i="7"/>
  <c r="N7" i="7"/>
  <c r="M7" i="7"/>
  <c r="L7" i="7"/>
  <c r="K7" i="7"/>
  <c r="J7" i="7"/>
  <c r="I7" i="7"/>
  <c r="H7" i="7"/>
  <c r="G7" i="7"/>
  <c r="AG9" i="7"/>
  <c r="AF9" i="7"/>
  <c r="AE9" i="7"/>
  <c r="AD9" i="7"/>
  <c r="AC9" i="7"/>
  <c r="AB9" i="7"/>
  <c r="Z9" i="7"/>
  <c r="Y9" i="7"/>
  <c r="X9" i="7"/>
  <c r="W9" i="7"/>
  <c r="V9" i="7"/>
  <c r="U9" i="7"/>
  <c r="T9" i="7"/>
  <c r="S9" i="7"/>
  <c r="F7" i="7"/>
  <c r="P5" i="7"/>
  <c r="AG33" i="7"/>
  <c r="AF33" i="7"/>
  <c r="AE33" i="7"/>
  <c r="AD33" i="7"/>
  <c r="AC33" i="7"/>
  <c r="AB33" i="7"/>
  <c r="AA33" i="7"/>
  <c r="Z33" i="7"/>
  <c r="Y33" i="7"/>
  <c r="X33" i="7"/>
  <c r="W33" i="7"/>
  <c r="X34" i="7" s="1"/>
  <c r="AG32" i="7"/>
  <c r="AF32" i="7"/>
  <c r="AE32" i="7"/>
  <c r="AD32" i="7"/>
  <c r="AC32" i="7"/>
  <c r="AB32" i="7"/>
  <c r="AA32" i="7"/>
  <c r="Z32" i="7"/>
  <c r="Y32" i="7"/>
  <c r="X32" i="7"/>
  <c r="AG30" i="7"/>
  <c r="AF30" i="7"/>
  <c r="AE30" i="7"/>
  <c r="AD30" i="7"/>
  <c r="AC30" i="7"/>
  <c r="AB30" i="7"/>
  <c r="AA30" i="7"/>
  <c r="Z30" i="7"/>
  <c r="Y30" i="7"/>
  <c r="AG28" i="7"/>
  <c r="AF28" i="7"/>
  <c r="AE28" i="7"/>
  <c r="AD28" i="7"/>
  <c r="AC28" i="7"/>
  <c r="AB28" i="7"/>
  <c r="AA28" i="7"/>
  <c r="Z28" i="7"/>
  <c r="Y28" i="7"/>
  <c r="AG26" i="7"/>
  <c r="AF26" i="7"/>
  <c r="AE26" i="7"/>
  <c r="AD26" i="7"/>
  <c r="AC26" i="7"/>
  <c r="AB26" i="7"/>
  <c r="AA26" i="7"/>
  <c r="Z26" i="7"/>
  <c r="Y26" i="7"/>
  <c r="AG24" i="7"/>
  <c r="AF24" i="7"/>
  <c r="AE24" i="7"/>
  <c r="AD24" i="7"/>
  <c r="AC24" i="7"/>
  <c r="AB24" i="7"/>
  <c r="AA24" i="7"/>
  <c r="Z24" i="7"/>
  <c r="Y24" i="7"/>
  <c r="X30" i="7"/>
  <c r="X28" i="7"/>
  <c r="X26" i="7"/>
  <c r="X24" i="7"/>
  <c r="U11" i="9"/>
  <c r="T11" i="9"/>
  <c r="S11" i="9"/>
  <c r="R11" i="9"/>
  <c r="Q11" i="9"/>
  <c r="P11" i="9"/>
  <c r="O11" i="9"/>
  <c r="N11" i="9"/>
  <c r="M11" i="9"/>
  <c r="L11" i="9"/>
  <c r="K11" i="9"/>
  <c r="J11" i="9"/>
  <c r="I11" i="9"/>
  <c r="H11" i="9"/>
  <c r="G11" i="9"/>
  <c r="F11" i="9"/>
  <c r="E11" i="9"/>
  <c r="D11" i="9"/>
  <c r="C11" i="9"/>
  <c r="U9" i="9"/>
  <c r="T9" i="9"/>
  <c r="S9" i="9"/>
  <c r="R9" i="9"/>
  <c r="Q9" i="9"/>
  <c r="P9" i="9"/>
  <c r="O9" i="9"/>
  <c r="N9" i="9"/>
  <c r="M9" i="9"/>
  <c r="L9" i="9"/>
  <c r="K9" i="9"/>
  <c r="J9" i="9"/>
  <c r="I9" i="9"/>
  <c r="H9" i="9"/>
  <c r="G9" i="9"/>
  <c r="F9" i="9"/>
  <c r="E9" i="9"/>
  <c r="D9" i="9"/>
  <c r="C9" i="9"/>
  <c r="U7" i="9"/>
  <c r="T7" i="9"/>
  <c r="S7" i="9"/>
  <c r="R7" i="9"/>
  <c r="Q7" i="9"/>
  <c r="P7" i="9"/>
  <c r="O7" i="9"/>
  <c r="N7" i="9"/>
  <c r="M7" i="9"/>
  <c r="L7" i="9"/>
  <c r="K7" i="9"/>
  <c r="J7" i="9"/>
  <c r="I7" i="9"/>
  <c r="H7" i="9"/>
  <c r="G7" i="9"/>
  <c r="F7" i="9"/>
  <c r="U5" i="9"/>
  <c r="T5" i="9"/>
  <c r="S5" i="9"/>
  <c r="R5" i="9"/>
  <c r="Q5" i="9"/>
  <c r="P5" i="9"/>
  <c r="O5" i="9"/>
  <c r="N5" i="9"/>
  <c r="M5" i="9"/>
  <c r="L5" i="9"/>
  <c r="K5" i="9"/>
  <c r="J5" i="9"/>
  <c r="I5" i="9"/>
  <c r="H5" i="9"/>
  <c r="G5" i="9"/>
  <c r="F5" i="9"/>
  <c r="E5" i="9"/>
  <c r="D5" i="9"/>
  <c r="U10" i="9"/>
  <c r="T10" i="9"/>
  <c r="S10" i="9"/>
  <c r="R10" i="9"/>
  <c r="Q10" i="9"/>
  <c r="P10" i="9"/>
  <c r="O10" i="9"/>
  <c r="N10" i="9"/>
  <c r="M10" i="9"/>
  <c r="L10" i="9"/>
  <c r="K10" i="9"/>
  <c r="J10" i="9"/>
  <c r="I10" i="9"/>
  <c r="H10" i="9"/>
  <c r="G10" i="9"/>
  <c r="F10" i="9"/>
  <c r="E10" i="9"/>
  <c r="D10" i="9"/>
  <c r="C10" i="9"/>
  <c r="B10" i="9"/>
  <c r="C5" i="9"/>
  <c r="U25" i="9"/>
  <c r="T25" i="9"/>
  <c r="S25" i="9"/>
  <c r="R25" i="9"/>
  <c r="Q25" i="9"/>
  <c r="P25" i="9"/>
  <c r="O25" i="9"/>
  <c r="N25" i="9"/>
  <c r="M25" i="9"/>
  <c r="L25" i="9"/>
  <c r="U23" i="9"/>
  <c r="T23" i="9"/>
  <c r="S23" i="9"/>
  <c r="R23" i="9"/>
  <c r="Q23" i="9"/>
  <c r="P23" i="9"/>
  <c r="O23" i="9"/>
  <c r="N23" i="9"/>
  <c r="M23" i="9"/>
  <c r="L23" i="9"/>
  <c r="U21" i="9"/>
  <c r="T21" i="9"/>
  <c r="S21" i="9"/>
  <c r="R21" i="9"/>
  <c r="Q21" i="9"/>
  <c r="P21" i="9"/>
  <c r="O21" i="9"/>
  <c r="N21" i="9"/>
  <c r="M21" i="9"/>
  <c r="L21" i="9"/>
  <c r="U19" i="9"/>
  <c r="T19" i="9"/>
  <c r="S19" i="9"/>
  <c r="R19" i="9"/>
  <c r="Q19" i="9"/>
  <c r="P19" i="9"/>
  <c r="O19" i="9"/>
  <c r="N19" i="9"/>
  <c r="M19" i="9"/>
  <c r="L19" i="9"/>
  <c r="U17" i="9"/>
  <c r="T17" i="9"/>
  <c r="S17" i="9"/>
  <c r="R17" i="9"/>
  <c r="Q17" i="9"/>
  <c r="P17" i="9"/>
  <c r="O17" i="9"/>
  <c r="N17" i="9"/>
  <c r="M17" i="9"/>
  <c r="L17" i="9"/>
  <c r="U26" i="9"/>
  <c r="T26" i="9"/>
  <c r="S26" i="9"/>
  <c r="R26" i="9"/>
  <c r="Q26" i="9"/>
  <c r="P26" i="9"/>
  <c r="O26" i="9"/>
  <c r="N26" i="9"/>
  <c r="M26" i="9"/>
  <c r="L26" i="9"/>
  <c r="L27" i="9" s="1"/>
  <c r="K26" i="9"/>
  <c r="AG13" i="11"/>
  <c r="AF13" i="11"/>
  <c r="AE13" i="11"/>
  <c r="AD13" i="11"/>
  <c r="AC13" i="11"/>
  <c r="AB13" i="11"/>
  <c r="AA13" i="11"/>
  <c r="Z13" i="11"/>
  <c r="Y13" i="11"/>
  <c r="X13" i="11"/>
  <c r="W13" i="11"/>
  <c r="V13" i="11"/>
  <c r="U13" i="11"/>
  <c r="T13" i="11"/>
  <c r="AG14" i="11"/>
  <c r="AF14" i="11"/>
  <c r="AE14" i="11"/>
  <c r="AD14" i="11"/>
  <c r="AC14" i="11"/>
  <c r="AB14" i="11"/>
  <c r="AA14" i="11"/>
  <c r="Z14" i="11"/>
  <c r="Y14" i="11"/>
  <c r="X14" i="11"/>
  <c r="W14" i="11"/>
  <c r="V14" i="11"/>
  <c r="U14" i="11"/>
  <c r="T14" i="11"/>
  <c r="T15" i="11" s="1"/>
  <c r="S14" i="11"/>
  <c r="S15" i="11" s="1"/>
  <c r="R14" i="11"/>
  <c r="R15" i="11" s="1"/>
  <c r="Q14" i="11"/>
  <c r="Q15" i="11" s="1"/>
  <c r="P14" i="11"/>
  <c r="P15" i="11" s="1"/>
  <c r="O14" i="11"/>
  <c r="N14" i="11"/>
  <c r="M14" i="11"/>
  <c r="L14" i="11"/>
  <c r="K14" i="11"/>
  <c r="J14" i="11"/>
  <c r="I14" i="11"/>
  <c r="H14" i="11"/>
  <c r="G14" i="11"/>
  <c r="F14" i="11"/>
  <c r="E14" i="11"/>
  <c r="D14" i="11"/>
  <c r="C14" i="11"/>
  <c r="B14" i="11"/>
  <c r="AG11" i="11"/>
  <c r="AF11" i="11"/>
  <c r="AE11" i="11"/>
  <c r="AD11" i="11"/>
  <c r="AC11" i="11"/>
  <c r="AB11" i="11"/>
  <c r="AA11" i="11"/>
  <c r="Z11" i="11"/>
  <c r="AG9" i="11"/>
  <c r="AF9" i="11"/>
  <c r="AE9" i="11"/>
  <c r="AD9" i="11"/>
  <c r="AC9" i="11"/>
  <c r="AB9" i="11"/>
  <c r="AA9" i="11"/>
  <c r="Z9" i="11"/>
  <c r="Y9" i="11"/>
  <c r="X9" i="11"/>
  <c r="W9" i="11"/>
  <c r="V9" i="11"/>
  <c r="U9" i="11"/>
  <c r="T9" i="11"/>
  <c r="S9" i="11"/>
  <c r="AG7"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AG5" i="11"/>
  <c r="AF5" i="11"/>
  <c r="AE5" i="11"/>
  <c r="AD5" i="11"/>
  <c r="AC5" i="11"/>
  <c r="AB5" i="11"/>
  <c r="AA5" i="11"/>
  <c r="Z5" i="11"/>
  <c r="Y5" i="11"/>
  <c r="X5" i="11"/>
  <c r="W5" i="11"/>
  <c r="V5" i="11"/>
  <c r="U5" i="11"/>
  <c r="T5" i="11"/>
  <c r="S5" i="11"/>
  <c r="R5" i="11"/>
  <c r="Q5" i="11"/>
  <c r="P5" i="11"/>
  <c r="B22" i="1"/>
  <c r="AO7" i="1"/>
  <c r="AL7" i="1"/>
  <c r="AU91" i="1"/>
  <c r="AR91" i="1"/>
  <c r="AO91" i="1"/>
  <c r="AL91" i="1"/>
  <c r="AU29" i="1"/>
  <c r="AR29" i="1"/>
  <c r="AO29" i="1"/>
  <c r="AL29" i="1"/>
  <c r="AU27" i="1"/>
  <c r="AR27" i="1"/>
  <c r="AO27" i="1"/>
  <c r="AL27" i="1"/>
  <c r="L15" i="11" l="1"/>
  <c r="M15" i="11"/>
  <c r="O15" i="11"/>
  <c r="Y54" i="7"/>
  <c r="Y15" i="11"/>
  <c r="Y34" i="7"/>
  <c r="Z34" i="7"/>
  <c r="AA34" i="7"/>
  <c r="AB34" i="7"/>
  <c r="AC34" i="7"/>
  <c r="AD34" i="7"/>
  <c r="AE34" i="7"/>
  <c r="AF34" i="7"/>
  <c r="AG34" i="7"/>
  <c r="M27" i="9"/>
  <c r="N27" i="9"/>
  <c r="O27" i="9"/>
  <c r="P27" i="9"/>
  <c r="Q27" i="9"/>
  <c r="R27" i="9"/>
  <c r="S27" i="9"/>
  <c r="T27" i="9"/>
  <c r="U27" i="9"/>
  <c r="J15" i="11"/>
  <c r="F15" i="11"/>
  <c r="K15" i="11"/>
  <c r="G15" i="11"/>
  <c r="H15" i="11"/>
  <c r="AB15" i="11"/>
  <c r="AC15" i="11"/>
  <c r="AD15" i="11"/>
  <c r="AE15" i="11"/>
  <c r="AF15" i="11"/>
  <c r="W15" i="11"/>
  <c r="X15" i="11"/>
  <c r="V15" i="11"/>
  <c r="AA15" i="11"/>
  <c r="I15" i="11"/>
  <c r="U15" i="11"/>
  <c r="N15" i="11"/>
  <c r="Z15" i="11"/>
  <c r="AG15" i="1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F92" i="1"/>
  <c r="E92" i="1"/>
  <c r="D92"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E96" i="1"/>
  <c r="D96" i="1"/>
  <c r="C96"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F89" i="1"/>
  <c r="E89" i="1"/>
  <c r="D89" i="1"/>
  <c r="C89" i="1"/>
  <c r="B89" i="1"/>
  <c r="C92" i="1"/>
  <c r="AB83" i="1"/>
  <c r="AA83" i="1"/>
  <c r="Z83" i="1"/>
  <c r="Y83" i="1"/>
  <c r="X83" i="1"/>
  <c r="W83" i="1"/>
  <c r="V83" i="1"/>
  <c r="U83" i="1"/>
  <c r="T83" i="1"/>
  <c r="S83" i="1"/>
  <c r="R83" i="1"/>
  <c r="Q83" i="1"/>
  <c r="P83" i="1"/>
  <c r="O83" i="1"/>
  <c r="N83" i="1"/>
  <c r="M83" i="1"/>
  <c r="L83" i="1"/>
  <c r="K83" i="1"/>
  <c r="J83" i="1"/>
  <c r="I83" i="1"/>
  <c r="H83" i="1"/>
  <c r="G83" i="1"/>
  <c r="F83" i="1"/>
  <c r="E83" i="1"/>
  <c r="D83" i="1"/>
  <c r="C83" i="1"/>
  <c r="B83"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D71" i="1"/>
  <c r="C71"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F70" i="1"/>
  <c r="E70" i="1"/>
  <c r="D70" i="1"/>
  <c r="C70" i="1"/>
  <c r="AB64" i="1"/>
  <c r="AA64" i="1"/>
  <c r="Z64" i="1"/>
  <c r="Y64" i="1"/>
  <c r="X64" i="1"/>
  <c r="W64" i="1"/>
  <c r="V64" i="1"/>
  <c r="U64" i="1"/>
  <c r="T64" i="1"/>
  <c r="S64" i="1"/>
  <c r="R64" i="1"/>
  <c r="Q64" i="1"/>
  <c r="P64" i="1"/>
  <c r="O64" i="1"/>
  <c r="N64" i="1"/>
  <c r="M64" i="1"/>
  <c r="L64" i="1"/>
  <c r="K64" i="1"/>
  <c r="J64" i="1"/>
  <c r="I64" i="1"/>
  <c r="H64" i="1"/>
  <c r="G64" i="1"/>
  <c r="F64" i="1"/>
  <c r="E64" i="1"/>
  <c r="D64" i="1"/>
  <c r="C64" i="1"/>
  <c r="AB62" i="1"/>
  <c r="AA62" i="1"/>
  <c r="Z62" i="1"/>
  <c r="Y62" i="1"/>
  <c r="X62" i="1"/>
  <c r="W62" i="1"/>
  <c r="V62" i="1"/>
  <c r="U62" i="1"/>
  <c r="T62" i="1"/>
  <c r="S62" i="1"/>
  <c r="R62" i="1"/>
  <c r="Q62" i="1"/>
  <c r="P62" i="1"/>
  <c r="O62" i="1"/>
  <c r="N62" i="1"/>
  <c r="M62" i="1"/>
  <c r="L62" i="1"/>
  <c r="K62" i="1"/>
  <c r="J62" i="1"/>
  <c r="I62" i="1"/>
  <c r="H62" i="1"/>
  <c r="G62" i="1"/>
  <c r="F62" i="1"/>
  <c r="E62" i="1"/>
  <c r="D62" i="1"/>
  <c r="C62" i="1"/>
  <c r="AB60" i="1"/>
  <c r="AA60" i="1"/>
  <c r="Z60" i="1"/>
  <c r="Y60" i="1"/>
  <c r="X60" i="1"/>
  <c r="W60" i="1"/>
  <c r="V60" i="1"/>
  <c r="U60" i="1"/>
  <c r="T60" i="1"/>
  <c r="S60" i="1"/>
  <c r="R60" i="1"/>
  <c r="Q60" i="1"/>
  <c r="P60" i="1"/>
  <c r="O60" i="1"/>
  <c r="N60" i="1"/>
  <c r="M60" i="1"/>
  <c r="L60" i="1"/>
  <c r="K60" i="1"/>
  <c r="J60" i="1"/>
  <c r="I60" i="1"/>
  <c r="H60" i="1"/>
  <c r="G60" i="1"/>
  <c r="F60" i="1"/>
  <c r="E60" i="1"/>
  <c r="D60" i="1"/>
  <c r="C60"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F54" i="1"/>
  <c r="E54" i="1"/>
  <c r="D54" i="1"/>
  <c r="C54" i="1"/>
  <c r="B54" i="1"/>
  <c r="B64" i="1"/>
  <c r="B62" i="1"/>
  <c r="B60" i="1"/>
  <c r="B51" i="1"/>
  <c r="C47" i="1"/>
  <c r="AB53" i="1"/>
  <c r="AA53" i="1"/>
  <c r="Z53" i="1"/>
  <c r="Y53" i="1"/>
  <c r="X53" i="1"/>
  <c r="W53" i="1"/>
  <c r="V53" i="1"/>
  <c r="U53" i="1"/>
  <c r="T53" i="1"/>
  <c r="S53" i="1"/>
  <c r="R53" i="1"/>
  <c r="Q53" i="1"/>
  <c r="P53" i="1"/>
  <c r="O53" i="1"/>
  <c r="N53" i="1"/>
  <c r="M53" i="1"/>
  <c r="L53" i="1"/>
  <c r="K53" i="1"/>
  <c r="J53" i="1"/>
  <c r="I53" i="1"/>
  <c r="H53" i="1"/>
  <c r="G53" i="1"/>
  <c r="F53" i="1"/>
  <c r="E53" i="1"/>
  <c r="D53" i="1"/>
  <c r="C53" i="1"/>
  <c r="AB51" i="1"/>
  <c r="AA51" i="1"/>
  <c r="Z51" i="1"/>
  <c r="Y51" i="1"/>
  <c r="X51" i="1"/>
  <c r="W51" i="1"/>
  <c r="V51" i="1"/>
  <c r="U51" i="1"/>
  <c r="T51" i="1"/>
  <c r="S51" i="1"/>
  <c r="R51" i="1"/>
  <c r="Q51" i="1"/>
  <c r="P51" i="1"/>
  <c r="O51" i="1"/>
  <c r="N51" i="1"/>
  <c r="M51" i="1"/>
  <c r="L51" i="1"/>
  <c r="K51" i="1"/>
  <c r="J51" i="1"/>
  <c r="I51" i="1"/>
  <c r="H51" i="1"/>
  <c r="G51" i="1"/>
  <c r="F51" i="1"/>
  <c r="E51" i="1"/>
  <c r="D51" i="1"/>
  <c r="C51" i="1"/>
  <c r="AB49" i="1"/>
  <c r="AA49" i="1"/>
  <c r="Z49" i="1"/>
  <c r="Y49" i="1"/>
  <c r="X49" i="1"/>
  <c r="W49" i="1"/>
  <c r="V49" i="1"/>
  <c r="U49" i="1"/>
  <c r="T49" i="1"/>
  <c r="S49" i="1"/>
  <c r="R49" i="1"/>
  <c r="Q49" i="1"/>
  <c r="P49" i="1"/>
  <c r="O49" i="1"/>
  <c r="N49" i="1"/>
  <c r="M49" i="1"/>
  <c r="L49" i="1"/>
  <c r="K49" i="1"/>
  <c r="J49" i="1"/>
  <c r="I49" i="1"/>
  <c r="H49" i="1"/>
  <c r="G49" i="1"/>
  <c r="F49" i="1"/>
  <c r="E49" i="1"/>
  <c r="D49" i="1"/>
  <c r="C49" i="1"/>
  <c r="AB47" i="1"/>
  <c r="AA47" i="1"/>
  <c r="Z47" i="1"/>
  <c r="Y47" i="1"/>
  <c r="X47" i="1"/>
  <c r="W47" i="1"/>
  <c r="V47" i="1"/>
  <c r="U47" i="1"/>
  <c r="T47" i="1"/>
  <c r="S47" i="1"/>
  <c r="R47" i="1"/>
  <c r="Q47" i="1"/>
  <c r="P47" i="1"/>
  <c r="O47" i="1"/>
  <c r="N47" i="1"/>
  <c r="M47" i="1"/>
  <c r="L47" i="1"/>
  <c r="K47" i="1"/>
  <c r="J47" i="1"/>
  <c r="I47" i="1"/>
  <c r="H47" i="1"/>
  <c r="G47" i="1"/>
  <c r="F47" i="1"/>
  <c r="E47" i="1"/>
  <c r="D47" i="1"/>
  <c r="AB45" i="1"/>
  <c r="AA45" i="1"/>
  <c r="Z45" i="1"/>
  <c r="Y45" i="1"/>
  <c r="X45" i="1"/>
  <c r="W45" i="1"/>
  <c r="V45" i="1"/>
  <c r="U45" i="1"/>
  <c r="T45" i="1"/>
  <c r="S45" i="1"/>
  <c r="R45" i="1"/>
  <c r="Q45" i="1"/>
  <c r="P45" i="1"/>
  <c r="O45" i="1"/>
  <c r="N45" i="1"/>
  <c r="M45" i="1"/>
  <c r="L45" i="1"/>
  <c r="K45" i="1"/>
  <c r="J45" i="1"/>
  <c r="I45" i="1"/>
  <c r="H45" i="1"/>
  <c r="G45" i="1"/>
  <c r="F45" i="1"/>
  <c r="E45" i="1"/>
  <c r="D45" i="1"/>
  <c r="C45"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D39" i="1"/>
  <c r="C39"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F38" i="1"/>
  <c r="E38" i="1"/>
  <c r="D38" i="1"/>
  <c r="C38" i="1"/>
  <c r="B38"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G36" i="1"/>
  <c r="F36" i="1"/>
  <c r="E36" i="1"/>
  <c r="D36" i="1"/>
  <c r="C36"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G34" i="1"/>
  <c r="F34" i="1"/>
  <c r="E34" i="1"/>
  <c r="D34" i="1"/>
  <c r="C34"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G32" i="1"/>
  <c r="F32" i="1"/>
  <c r="E32" i="1"/>
  <c r="D32" i="1"/>
  <c r="C32"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G30" i="1"/>
  <c r="F30" i="1"/>
  <c r="E30" i="1"/>
  <c r="D30" i="1"/>
  <c r="C30"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H28" i="1"/>
  <c r="G28" i="1"/>
  <c r="F28" i="1"/>
  <c r="E28" i="1"/>
  <c r="D28" i="1"/>
  <c r="C28"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AI17" i="1"/>
  <c r="AH17" i="1"/>
  <c r="AG17" i="1"/>
  <c r="AF17" i="1"/>
  <c r="AE17" i="1"/>
  <c r="AD17" i="1"/>
  <c r="AI15" i="1"/>
  <c r="AH15" i="1"/>
  <c r="AG15" i="1"/>
  <c r="AF15" i="1"/>
  <c r="AE15" i="1"/>
  <c r="AD15" i="1"/>
  <c r="AB12" i="1"/>
  <c r="AA12" i="1"/>
  <c r="Z12" i="1"/>
  <c r="Y12" i="1"/>
  <c r="X12" i="1"/>
  <c r="W12" i="1"/>
  <c r="V12" i="1"/>
  <c r="U12" i="1"/>
  <c r="T12" i="1"/>
  <c r="S12" i="1"/>
  <c r="R12" i="1"/>
  <c r="Q12" i="1"/>
  <c r="P12" i="1"/>
  <c r="O12" i="1"/>
  <c r="N12" i="1"/>
  <c r="M12" i="1"/>
  <c r="L12" i="1"/>
  <c r="K12" i="1"/>
  <c r="J12" i="1"/>
  <c r="I12" i="1"/>
  <c r="H12" i="1"/>
  <c r="G12" i="1"/>
  <c r="F12" i="1"/>
  <c r="E12" i="1"/>
  <c r="D12" i="1"/>
  <c r="C12" i="1"/>
  <c r="AI10" i="1"/>
  <c r="AH10" i="1"/>
  <c r="AG10" i="1"/>
  <c r="AP8" i="1" s="1"/>
  <c r="AF10" i="1"/>
  <c r="AE10" i="1"/>
  <c r="AM8" i="1" s="1"/>
  <c r="AD10" i="1"/>
  <c r="AI8" i="1"/>
  <c r="AH8" i="1"/>
  <c r="AG8" i="1"/>
  <c r="AF8" i="1"/>
  <c r="AE8" i="1"/>
  <c r="AD8" i="1"/>
  <c r="B39" i="1"/>
  <c r="AS91" i="1" l="1"/>
  <c r="AM7" i="1"/>
  <c r="AM27" i="1"/>
  <c r="AV29" i="1"/>
  <c r="AP7" i="1"/>
  <c r="AV27" i="1"/>
  <c r="AP27" i="1"/>
  <c r="AS29" i="1"/>
  <c r="AM29" i="1"/>
  <c r="AP29" i="1"/>
  <c r="AS27" i="1"/>
  <c r="AP91" i="1"/>
  <c r="AV91" i="1"/>
  <c r="AM91" i="1"/>
  <c r="D40" i="1"/>
  <c r="P40" i="1"/>
  <c r="AB40" i="1"/>
  <c r="L40" i="1"/>
  <c r="X40" i="1"/>
  <c r="U40" i="1"/>
  <c r="Y40" i="1"/>
  <c r="AG40" i="1"/>
  <c r="M40" i="1"/>
  <c r="J40" i="1"/>
  <c r="V40" i="1"/>
  <c r="AH40" i="1"/>
  <c r="K40" i="1"/>
  <c r="W40" i="1"/>
  <c r="AI40" i="1"/>
  <c r="N40" i="1"/>
  <c r="Z40" i="1"/>
  <c r="I40" i="1"/>
  <c r="E40" i="1"/>
  <c r="Q40" i="1"/>
  <c r="AC40" i="1"/>
  <c r="F40" i="1"/>
  <c r="R40" i="1"/>
  <c r="AD40" i="1"/>
  <c r="O40" i="1"/>
  <c r="G40" i="1"/>
  <c r="S40" i="1"/>
  <c r="AE40" i="1"/>
  <c r="C40" i="1"/>
  <c r="H40" i="1"/>
  <c r="T40" i="1"/>
  <c r="AF40" i="1"/>
  <c r="AA40" i="1"/>
  <c r="AI11" i="1" l="1"/>
  <c r="AH11" i="1"/>
  <c r="AG11" i="1"/>
  <c r="AF11" i="1"/>
  <c r="AE11" i="1"/>
  <c r="AD11" i="1"/>
  <c r="AC11" i="1"/>
  <c r="AI196" i="1"/>
  <c r="AH196" i="1"/>
  <c r="AG196" i="1"/>
  <c r="AF196" i="1"/>
  <c r="AE196" i="1"/>
  <c r="AD196" i="1"/>
  <c r="AC196" i="1"/>
  <c r="AB196"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I181" i="1"/>
  <c r="AH181" i="1"/>
  <c r="AG181" i="1"/>
  <c r="AF181" i="1"/>
  <c r="AE181" i="1"/>
  <c r="AD181" i="1"/>
  <c r="AC181" i="1"/>
  <c r="AB181"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W163" i="1"/>
  <c r="V163" i="1"/>
  <c r="U163" i="1"/>
  <c r="T163" i="1"/>
  <c r="S163" i="1"/>
  <c r="R163" i="1"/>
  <c r="Q163" i="1"/>
  <c r="P163" i="1"/>
  <c r="O163" i="1"/>
  <c r="N163" i="1"/>
  <c r="M163" i="1"/>
  <c r="L163" i="1"/>
  <c r="K163" i="1"/>
  <c r="J163" i="1"/>
  <c r="I163" i="1"/>
  <c r="H163" i="1"/>
  <c r="G163" i="1"/>
  <c r="F163" i="1"/>
  <c r="E163" i="1"/>
  <c r="D163" i="1"/>
  <c r="C163" i="1"/>
  <c r="B163" i="1"/>
  <c r="AI131" i="1"/>
  <c r="AH131" i="1"/>
  <c r="AG131" i="1"/>
  <c r="AF131" i="1"/>
  <c r="AE131" i="1"/>
  <c r="AD131" i="1"/>
  <c r="AC131" i="1"/>
  <c r="AB131"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F20" i="1"/>
  <c r="E20" i="1"/>
  <c r="D20" i="1"/>
  <c r="C20" i="1"/>
  <c r="B20" i="1"/>
  <c r="AI83" i="1" l="1"/>
  <c r="AI14" i="13"/>
  <c r="AI18" i="13"/>
  <c r="AI16" i="13"/>
  <c r="AI4" i="14"/>
  <c r="AR11" i="1"/>
  <c r="AU11" i="1"/>
  <c r="AO11" i="1"/>
  <c r="AL11" i="1"/>
  <c r="AD83" i="1"/>
  <c r="AD16" i="13"/>
  <c r="AD14" i="13"/>
  <c r="AD18" i="13"/>
  <c r="AD4" i="14"/>
  <c r="AE83" i="1"/>
  <c r="AE16" i="13"/>
  <c r="AE14" i="13"/>
  <c r="AE18" i="13"/>
  <c r="AE4" i="14"/>
  <c r="AF83" i="1"/>
  <c r="AF14" i="13"/>
  <c r="AF18" i="13"/>
  <c r="AF16" i="13"/>
  <c r="AF4" i="14"/>
  <c r="AH83" i="1"/>
  <c r="AH14" i="13"/>
  <c r="AH18" i="13"/>
  <c r="AH16" i="13"/>
  <c r="AH4" i="14"/>
  <c r="AC83" i="1"/>
  <c r="AC14" i="13"/>
  <c r="AC18" i="13"/>
  <c r="AC16" i="13"/>
  <c r="AC4" i="14"/>
  <c r="AG83" i="1"/>
  <c r="AG16" i="13"/>
  <c r="AG14" i="13"/>
  <c r="AG18" i="13"/>
  <c r="AG4" i="14"/>
  <c r="AI64" i="1"/>
  <c r="AI60" i="1"/>
  <c r="AI62" i="1"/>
  <c r="AC60" i="1"/>
  <c r="AC62" i="1"/>
  <c r="AC64" i="1"/>
  <c r="AE62" i="1"/>
  <c r="AE64" i="1"/>
  <c r="AE60" i="1"/>
  <c r="AD62" i="1"/>
  <c r="AD64" i="1"/>
  <c r="AD60" i="1"/>
  <c r="AF62" i="1"/>
  <c r="AF64" i="1"/>
  <c r="AF60" i="1"/>
  <c r="AH64" i="1"/>
  <c r="AH60" i="1"/>
  <c r="AH62" i="1"/>
  <c r="AG64" i="1"/>
  <c r="AG60" i="1"/>
  <c r="AG62" i="1"/>
  <c r="AE45" i="1"/>
  <c r="AE53" i="1"/>
  <c r="AE47" i="1"/>
  <c r="AE49" i="1"/>
  <c r="AE51" i="1"/>
  <c r="AH47" i="1"/>
  <c r="AH49" i="1"/>
  <c r="AH51" i="1"/>
  <c r="AH45" i="1"/>
  <c r="AH53" i="1"/>
  <c r="AI47" i="1"/>
  <c r="AI49" i="1"/>
  <c r="AI51" i="1"/>
  <c r="AI45" i="1"/>
  <c r="AI53" i="1"/>
  <c r="AD51" i="1"/>
  <c r="AD45" i="1"/>
  <c r="AD53" i="1"/>
  <c r="AD47" i="1"/>
  <c r="AD49" i="1"/>
  <c r="AF45" i="1"/>
  <c r="AF53" i="1"/>
  <c r="AF47" i="1"/>
  <c r="AF49" i="1"/>
  <c r="AF51" i="1"/>
  <c r="AC12" i="1"/>
  <c r="AC51" i="1"/>
  <c r="AC53" i="1"/>
  <c r="AC45" i="1"/>
  <c r="AC47" i="1"/>
  <c r="AC49" i="1"/>
  <c r="AG53" i="1"/>
  <c r="AG45" i="1"/>
  <c r="AG47" i="1"/>
  <c r="AG49" i="1"/>
  <c r="AG51" i="1"/>
  <c r="AG21" i="1"/>
  <c r="AI23" i="1"/>
  <c r="M25" i="1"/>
  <c r="Y25" i="1"/>
  <c r="AE12" i="1"/>
  <c r="AI21" i="1"/>
  <c r="AA25" i="1"/>
  <c r="D25" i="1"/>
  <c r="P25" i="1"/>
  <c r="AB25" i="1"/>
  <c r="AH12" i="1"/>
  <c r="AF21" i="1"/>
  <c r="AH23" i="1"/>
  <c r="L25" i="1"/>
  <c r="X25" i="1"/>
  <c r="G25" i="1"/>
  <c r="T25" i="1"/>
  <c r="AE23" i="1"/>
  <c r="AD21" i="1"/>
  <c r="V25" i="1"/>
  <c r="AE21" i="1"/>
  <c r="AG23" i="1"/>
  <c r="K25" i="1"/>
  <c r="W25" i="1"/>
  <c r="F25" i="1"/>
  <c r="H25" i="1"/>
  <c r="I25" i="1"/>
  <c r="AD12" i="1"/>
  <c r="E25" i="1"/>
  <c r="AI12" i="1"/>
  <c r="S25" i="1"/>
  <c r="J25" i="1"/>
  <c r="AH21" i="1"/>
  <c r="N25" i="1"/>
  <c r="Z25" i="1"/>
  <c r="AF12" i="1"/>
  <c r="Q25" i="1"/>
  <c r="R25" i="1"/>
  <c r="AD23" i="1"/>
  <c r="U25" i="1"/>
  <c r="AF23" i="1"/>
  <c r="C25" i="1"/>
  <c r="O25" i="1"/>
  <c r="AG12" i="1"/>
  <c r="AI24" i="1"/>
  <c r="AH24" i="1"/>
  <c r="AG24" i="1"/>
  <c r="C197" i="1"/>
  <c r="C198" i="1" s="1"/>
  <c r="AC101" i="1"/>
  <c r="K122" i="1"/>
  <c r="K132" i="1" s="1"/>
  <c r="H41" i="1"/>
  <c r="AB101" i="1"/>
  <c r="L122" i="1"/>
  <c r="L132" i="1" s="1"/>
  <c r="G41" i="1"/>
  <c r="M122" i="1"/>
  <c r="M132" i="1" s="1"/>
  <c r="P41" i="1"/>
  <c r="AB41" i="1"/>
  <c r="F101" i="1"/>
  <c r="E41" i="1"/>
  <c r="E42" i="1" s="1"/>
  <c r="H122" i="1"/>
  <c r="H132" i="1" s="1"/>
  <c r="I122" i="1"/>
  <c r="I132" i="1" s="1"/>
  <c r="U122" i="1"/>
  <c r="U132" i="1" s="1"/>
  <c r="AG122" i="1"/>
  <c r="AG132" i="1" s="1"/>
  <c r="S101" i="1"/>
  <c r="AE101" i="1"/>
  <c r="H101" i="1"/>
  <c r="AF101" i="1"/>
  <c r="W122" i="1"/>
  <c r="W132" i="1" s="1"/>
  <c r="Y122" i="1"/>
  <c r="Y132" i="1" s="1"/>
  <c r="D41" i="1"/>
  <c r="K197" i="1"/>
  <c r="K198" i="1" s="1"/>
  <c r="G101" i="1"/>
  <c r="T101" i="1"/>
  <c r="X122" i="1"/>
  <c r="X132" i="1" s="1"/>
  <c r="F41" i="1"/>
  <c r="B197" i="1"/>
  <c r="AD24" i="1"/>
  <c r="AE24" i="1"/>
  <c r="AF24" i="1"/>
  <c r="AC24" i="1"/>
  <c r="AC25" i="1" s="1"/>
  <c r="J122" i="1"/>
  <c r="J132" i="1" s="1"/>
  <c r="AH122" i="1"/>
  <c r="AH132" i="1" s="1"/>
  <c r="F197" i="1"/>
  <c r="R197" i="1"/>
  <c r="AI122" i="1"/>
  <c r="AI132" i="1" s="1"/>
  <c r="G197" i="1"/>
  <c r="O41" i="1"/>
  <c r="L101" i="1"/>
  <c r="X101" i="1"/>
  <c r="Y101" i="1"/>
  <c r="B122" i="1"/>
  <c r="B132" i="1" s="1"/>
  <c r="Z122" i="1"/>
  <c r="Z132" i="1" s="1"/>
  <c r="O122" i="1"/>
  <c r="O132" i="1" s="1"/>
  <c r="AA122" i="1"/>
  <c r="AA132" i="1" s="1"/>
  <c r="R41" i="1"/>
  <c r="O101" i="1"/>
  <c r="S41" i="1"/>
  <c r="D101" i="1"/>
  <c r="P101" i="1"/>
  <c r="T41" i="1"/>
  <c r="E101" i="1"/>
  <c r="Q101" i="1"/>
  <c r="S197" i="1"/>
  <c r="M101" i="1"/>
  <c r="N122" i="1"/>
  <c r="N132" i="1" s="1"/>
  <c r="D197" i="1"/>
  <c r="Q41" i="1"/>
  <c r="C122" i="1"/>
  <c r="C132" i="1" s="1"/>
  <c r="R101" i="1"/>
  <c r="AD101" i="1"/>
  <c r="O197" i="1"/>
  <c r="P122" i="1"/>
  <c r="P132" i="1" s="1"/>
  <c r="I101" i="1"/>
  <c r="U101" i="1"/>
  <c r="AG101" i="1"/>
  <c r="P197" i="1"/>
  <c r="B41" i="1"/>
  <c r="J101" i="1"/>
  <c r="V101" i="1"/>
  <c r="AH101" i="1"/>
  <c r="C41" i="1"/>
  <c r="E197" i="1"/>
  <c r="Q197" i="1"/>
  <c r="B101" i="1"/>
  <c r="Z101" i="1"/>
  <c r="D122" i="1"/>
  <c r="D132" i="1" s="1"/>
  <c r="AB122" i="1"/>
  <c r="AB132" i="1" s="1"/>
  <c r="C101" i="1"/>
  <c r="AA101" i="1"/>
  <c r="E122" i="1"/>
  <c r="E132" i="1" s="1"/>
  <c r="Q122" i="1"/>
  <c r="Q132" i="1" s="1"/>
  <c r="AC122" i="1"/>
  <c r="AC132" i="1" s="1"/>
  <c r="M41" i="1"/>
  <c r="F122" i="1"/>
  <c r="F132" i="1" s="1"/>
  <c r="R122" i="1"/>
  <c r="R132" i="1" s="1"/>
  <c r="AD122" i="1"/>
  <c r="AD132" i="1" s="1"/>
  <c r="N41" i="1"/>
  <c r="G122" i="1"/>
  <c r="G132" i="1" s="1"/>
  <c r="S122" i="1"/>
  <c r="S132" i="1" s="1"/>
  <c r="AE122" i="1"/>
  <c r="AE132" i="1" s="1"/>
  <c r="L197" i="1"/>
  <c r="L198" i="1" s="1"/>
  <c r="T122" i="1"/>
  <c r="T132" i="1" s="1"/>
  <c r="AF122" i="1"/>
  <c r="AF132" i="1" s="1"/>
  <c r="V122" i="1"/>
  <c r="V132" i="1" s="1"/>
  <c r="M197" i="1"/>
  <c r="M198" i="1" s="1"/>
  <c r="N101" i="1"/>
  <c r="N197" i="1"/>
  <c r="K101" i="1"/>
  <c r="W101" i="1"/>
  <c r="AI101" i="1"/>
  <c r="I41" i="1"/>
  <c r="U41" i="1"/>
  <c r="V41" i="1"/>
  <c r="W41" i="1"/>
  <c r="L41" i="1"/>
  <c r="Y41" i="1"/>
  <c r="I197" i="1"/>
  <c r="U197" i="1"/>
  <c r="K41" i="1"/>
  <c r="T197" i="1"/>
  <c r="Z41" i="1"/>
  <c r="J197" i="1"/>
  <c r="V197" i="1"/>
  <c r="J41" i="1"/>
  <c r="X41" i="1"/>
  <c r="H197" i="1"/>
  <c r="AA41" i="1"/>
  <c r="W197" i="1"/>
  <c r="AV11" i="1" l="1"/>
  <c r="AR24" i="1"/>
  <c r="AL24" i="1"/>
  <c r="AO24" i="1"/>
  <c r="AU24" i="1"/>
  <c r="AM4" i="14"/>
  <c r="AK4" i="14"/>
  <c r="AL4" i="14"/>
  <c r="AN4" i="14"/>
  <c r="AS11" i="1"/>
  <c r="AP11" i="1"/>
  <c r="AM11" i="1"/>
  <c r="Q42" i="1"/>
  <c r="AG25" i="1"/>
  <c r="W42" i="1"/>
  <c r="V42" i="1"/>
  <c r="AA42" i="1"/>
  <c r="J42" i="1"/>
  <c r="U42" i="1"/>
  <c r="AE25" i="1"/>
  <c r="P42" i="1"/>
  <c r="AF25" i="1"/>
  <c r="L42" i="1"/>
  <c r="I42" i="1"/>
  <c r="D42" i="1"/>
  <c r="Z42" i="1"/>
  <c r="N42" i="1"/>
  <c r="T42" i="1"/>
  <c r="AD25" i="1"/>
  <c r="AH25" i="1"/>
  <c r="F42" i="1"/>
  <c r="H57" i="1"/>
  <c r="H42" i="1"/>
  <c r="AI25" i="1"/>
  <c r="K42" i="1"/>
  <c r="M42" i="1"/>
  <c r="R57" i="1"/>
  <c r="R42" i="1"/>
  <c r="X42" i="1"/>
  <c r="AB42" i="1"/>
  <c r="G57" i="1"/>
  <c r="G42" i="1"/>
  <c r="O42" i="1"/>
  <c r="C42" i="1"/>
  <c r="S57" i="1"/>
  <c r="S42" i="1"/>
  <c r="Y42" i="1"/>
  <c r="AG41" i="1"/>
  <c r="AI41" i="1"/>
  <c r="AH41" i="1"/>
  <c r="E198" i="1"/>
  <c r="B198" i="1"/>
  <c r="F57" i="1"/>
  <c r="D57" i="1"/>
  <c r="P57" i="1"/>
  <c r="Q198" i="1"/>
  <c r="AB57" i="1"/>
  <c r="R198" i="1"/>
  <c r="C57" i="1"/>
  <c r="E57" i="1"/>
  <c r="Q57" i="1"/>
  <c r="AE41" i="1"/>
  <c r="AD41" i="1"/>
  <c r="AF41" i="1"/>
  <c r="AC41" i="1"/>
  <c r="O198" i="1"/>
  <c r="D198" i="1"/>
  <c r="G198" i="1"/>
  <c r="O57" i="1"/>
  <c r="T57" i="1"/>
  <c r="N57" i="1"/>
  <c r="F198" i="1"/>
  <c r="S198" i="1"/>
  <c r="N198" i="1"/>
  <c r="M57" i="1"/>
  <c r="P198" i="1"/>
  <c r="B57" i="1"/>
  <c r="H198" i="1"/>
  <c r="Y57" i="1"/>
  <c r="T198" i="1"/>
  <c r="L57" i="1"/>
  <c r="V57" i="1"/>
  <c r="X57" i="1"/>
  <c r="W57" i="1"/>
  <c r="J57" i="1"/>
  <c r="J198" i="1"/>
  <c r="Z57" i="1"/>
  <c r="K57" i="1"/>
  <c r="W198" i="1"/>
  <c r="U198" i="1"/>
  <c r="V198" i="1"/>
  <c r="U57" i="1"/>
  <c r="AA57" i="1"/>
  <c r="I198" i="1"/>
  <c r="I57" i="1"/>
  <c r="AS24" i="1" l="1"/>
  <c r="AP24" i="1"/>
  <c r="AV24" i="1"/>
  <c r="AU41" i="1"/>
  <c r="AR41" i="1"/>
  <c r="AL41" i="1"/>
  <c r="AO41" i="1"/>
  <c r="AM24" i="1"/>
  <c r="W58" i="1"/>
  <c r="N58" i="1"/>
  <c r="C58" i="1"/>
  <c r="O58" i="1"/>
  <c r="S58" i="1"/>
  <c r="U66" i="1"/>
  <c r="U58" i="1"/>
  <c r="J66" i="1"/>
  <c r="J58" i="1"/>
  <c r="R66" i="1"/>
  <c r="R58" i="1"/>
  <c r="V58" i="1"/>
  <c r="AA58" i="1"/>
  <c r="Y66" i="1"/>
  <c r="Y58" i="1"/>
  <c r="D66" i="1"/>
  <c r="D58" i="1"/>
  <c r="F58" i="1"/>
  <c r="G58" i="1"/>
  <c r="E58" i="1"/>
  <c r="I58" i="1"/>
  <c r="L58" i="1"/>
  <c r="AB137" i="1"/>
  <c r="AB163" i="1" s="1"/>
  <c r="AB197" i="1" s="1"/>
  <c r="AB58" i="1"/>
  <c r="P58" i="1"/>
  <c r="K58" i="1"/>
  <c r="Q58" i="1"/>
  <c r="X58" i="1"/>
  <c r="T66" i="1"/>
  <c r="T58" i="1"/>
  <c r="H58" i="1"/>
  <c r="Z137" i="1"/>
  <c r="Z163" i="1" s="1"/>
  <c r="Z58" i="1"/>
  <c r="M58" i="1"/>
  <c r="C66" i="1"/>
  <c r="B58" i="1"/>
  <c r="AD42" i="1"/>
  <c r="AF57" i="1"/>
  <c r="AF42" i="1"/>
  <c r="AE42" i="1"/>
  <c r="AG42" i="1"/>
  <c r="AH57" i="1"/>
  <c r="AH42" i="1"/>
  <c r="AI57" i="1"/>
  <c r="AI42" i="1"/>
  <c r="AG57" i="1"/>
  <c r="AC57" i="1"/>
  <c r="AC42" i="1"/>
  <c r="AE57" i="1"/>
  <c r="AD57" i="1"/>
  <c r="N66" i="1" l="1"/>
  <c r="AP41" i="1"/>
  <c r="M66" i="1"/>
  <c r="S66" i="1"/>
  <c r="G66" i="1"/>
  <c r="H66" i="1"/>
  <c r="AM41" i="1"/>
  <c r="AS41" i="1"/>
  <c r="AV41" i="1"/>
  <c r="Z66" i="1"/>
  <c r="X66" i="1"/>
  <c r="AA66" i="1"/>
  <c r="P66" i="1"/>
  <c r="F66" i="1"/>
  <c r="Q66" i="1"/>
  <c r="K66" i="1"/>
  <c r="AA137" i="1"/>
  <c r="AA163" i="1" s="1"/>
  <c r="AA197" i="1" s="1"/>
  <c r="Y137" i="1"/>
  <c r="Y163" i="1" s="1"/>
  <c r="Y197" i="1" s="1"/>
  <c r="X137" i="1"/>
  <c r="X163" i="1" s="1"/>
  <c r="X197" i="1" s="1"/>
  <c r="O66" i="1"/>
  <c r="I66" i="1"/>
  <c r="AE137" i="1"/>
  <c r="AE163" i="1" s="1"/>
  <c r="AE197" i="1" s="1"/>
  <c r="AE198" i="1" s="1"/>
  <c r="AE58" i="1"/>
  <c r="L66" i="1"/>
  <c r="AC137" i="1"/>
  <c r="AC163" i="1" s="1"/>
  <c r="AC197" i="1" s="1"/>
  <c r="AC198" i="1" s="1"/>
  <c r="AC58" i="1"/>
  <c r="V66" i="1"/>
  <c r="AG58" i="1"/>
  <c r="AF137" i="1"/>
  <c r="AF163" i="1" s="1"/>
  <c r="AF197" i="1" s="1"/>
  <c r="AF198" i="1" s="1"/>
  <c r="AF58" i="1"/>
  <c r="AB66" i="1"/>
  <c r="E66" i="1"/>
  <c r="AH58" i="1"/>
  <c r="AI58" i="1"/>
  <c r="W66" i="1"/>
  <c r="AD58" i="1"/>
  <c r="Z197" i="1"/>
  <c r="AB198" i="1"/>
  <c r="AD66" i="1" l="1"/>
  <c r="AG66" i="1"/>
  <c r="AI137" i="1"/>
  <c r="AI163" i="1" s="1"/>
  <c r="AI197" i="1" s="1"/>
  <c r="AI198" i="1" s="1"/>
  <c r="AU65" i="1"/>
  <c r="AR65" i="1"/>
  <c r="AO65" i="1"/>
  <c r="AL65" i="1"/>
  <c r="AH66" i="1"/>
  <c r="AH137" i="1"/>
  <c r="AH163" i="1" s="1"/>
  <c r="AH197" i="1" s="1"/>
  <c r="AH198" i="1" s="1"/>
  <c r="AG137" i="1"/>
  <c r="AG163" i="1" s="1"/>
  <c r="AG197" i="1" s="1"/>
  <c r="AG198" i="1" s="1"/>
  <c r="AD137" i="1"/>
  <c r="AD163" i="1" s="1"/>
  <c r="AD197" i="1" s="1"/>
  <c r="AC66" i="1"/>
  <c r="AP65" i="1" s="1"/>
  <c r="AI66" i="1"/>
  <c r="AE66" i="1"/>
  <c r="AF66" i="1"/>
  <c r="X198" i="1"/>
  <c r="Y198" i="1"/>
  <c r="Z198" i="1"/>
  <c r="AA198" i="1"/>
  <c r="AS65" i="1" l="1"/>
  <c r="AM65" i="1"/>
  <c r="AV65" i="1"/>
  <c r="AD19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Simba Choga</author>
  </authors>
  <commentList>
    <comment ref="AE7" authorId="0" shapeId="0" xr:uid="{5FD952C1-8E87-49A2-AE4A-79BE9ED53548}">
      <text>
        <r>
          <rPr>
            <b/>
            <sz val="9"/>
            <color indexed="81"/>
            <rFont val="Tahoma"/>
            <family val="2"/>
          </rPr>
          <t>Simba Choga:</t>
        </r>
        <r>
          <rPr>
            <sz val="9"/>
            <color indexed="81"/>
            <rFont val="Tahoma"/>
            <family val="2"/>
          </rPr>
          <t xml:space="preserve">
Revenue for the past 5yrs hasn't really grown from FY2021A to FY2025A. It's been stagnant.</t>
        </r>
      </text>
    </comment>
    <comment ref="AE9" authorId="0" shapeId="0" xr:uid="{93E84F22-35CF-4C4B-A959-013104A7CDD3}">
      <text>
        <r>
          <rPr>
            <b/>
            <sz val="9"/>
            <color indexed="81"/>
            <rFont val="Tahoma"/>
            <family val="2"/>
          </rPr>
          <t>Simba Choga:</t>
        </r>
        <r>
          <rPr>
            <sz val="9"/>
            <color indexed="81"/>
            <rFont val="Tahoma"/>
            <family val="2"/>
          </rPr>
          <t xml:space="preserve">
Revenue growth for the past 5years has been really been driven by services.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Simba Choga</author>
  </authors>
  <commentList>
    <comment ref="A11" authorId="0" shapeId="0" xr:uid="{C3AD1222-F99A-4A95-93DF-960FCAF04EF0}">
      <text>
        <r>
          <rPr>
            <b/>
            <sz val="9"/>
            <color indexed="81"/>
            <rFont val="Tahoma"/>
            <family val="2"/>
          </rPr>
          <t>Simba Choga:</t>
        </r>
        <r>
          <rPr>
            <sz val="9"/>
            <color indexed="81"/>
            <rFont val="Tahoma"/>
            <family val="2"/>
          </rPr>
          <t xml:space="preserve">
Slower iPhone unit growth → but growing installed base → more potential Services customers.
Apple can make money from those active users through things such as iCloud, Apple Music, App Store purchases, AppleCare, Apple TV+, and other services.
So even if Apple isn't dramatically increasing the number of new iPhones sold each year, it can still increase revenue by monetizing its growing installed base.
That's why Active iPhone Units can be an important driver in your Apple equity research model.</t>
        </r>
      </text>
    </comment>
    <comment ref="AJ14" authorId="0" shapeId="0" xr:uid="{2E4FDB0F-957C-4793-AB8E-AC1C78BA7D5B}">
      <text>
        <r>
          <rPr>
            <b/>
            <sz val="9"/>
            <color indexed="81"/>
            <rFont val="Tahoma"/>
            <family val="2"/>
          </rPr>
          <t>Simba Choga:</t>
        </r>
        <r>
          <rPr>
            <sz val="9"/>
            <color indexed="81"/>
            <rFont val="Tahoma"/>
            <family val="2"/>
          </rPr>
          <t xml:space="preserve">
2013-2023
</t>
        </r>
      </text>
    </comment>
    <comment ref="AL14" authorId="0" shapeId="0" xr:uid="{65850B10-523E-417F-A476-6A732AC044DD}">
      <text>
        <r>
          <rPr>
            <b/>
            <sz val="9"/>
            <color indexed="81"/>
            <rFont val="Tahoma"/>
            <family val="2"/>
          </rPr>
          <t>Simba Choga:</t>
        </r>
        <r>
          <rPr>
            <sz val="9"/>
            <color indexed="81"/>
            <rFont val="Tahoma"/>
            <family val="2"/>
          </rPr>
          <t xml:space="preserve">
2025
Mac</t>
        </r>
      </text>
    </comment>
    <comment ref="AF15" authorId="0" shapeId="0" xr:uid="{22CE7C24-AEC3-47A0-9C1F-9EACF5074550}">
      <text>
        <r>
          <rPr>
            <b/>
            <sz val="9"/>
            <color indexed="81"/>
            <rFont val="Tahoma"/>
            <family val="2"/>
          </rPr>
          <t>Simba Choga:</t>
        </r>
        <r>
          <rPr>
            <sz val="9"/>
            <color indexed="81"/>
            <rFont val="Tahoma"/>
            <family val="2"/>
          </rPr>
          <t xml:space="preserve">
Took the highest growth rate - past 3 years</t>
        </r>
      </text>
    </comment>
    <comment ref="AJ16" authorId="0" shapeId="0" xr:uid="{51952D11-908C-4B60-A9F3-EFAEDC67DD3F}">
      <text>
        <r>
          <rPr>
            <b/>
            <sz val="9"/>
            <color indexed="81"/>
            <rFont val="Tahoma"/>
            <family val="2"/>
          </rPr>
          <t>Simba Choga:</t>
        </r>
        <r>
          <rPr>
            <sz val="9"/>
            <color indexed="81"/>
            <rFont val="Tahoma"/>
            <family val="2"/>
          </rPr>
          <t xml:space="preserve">
2013-2023
</t>
        </r>
      </text>
    </comment>
    <comment ref="AL16" authorId="0" shapeId="0" xr:uid="{E6601E3A-5F4E-450A-AF21-978E02EA421F}">
      <text>
        <r>
          <rPr>
            <b/>
            <sz val="9"/>
            <color indexed="81"/>
            <rFont val="Tahoma"/>
            <family val="2"/>
          </rPr>
          <t>Simba Choga:</t>
        </r>
        <r>
          <rPr>
            <sz val="9"/>
            <color indexed="81"/>
            <rFont val="Tahoma"/>
            <family val="2"/>
          </rPr>
          <t xml:space="preserve">
2025 - iPad</t>
        </r>
      </text>
    </comment>
    <comment ref="AF17" authorId="0" shapeId="0" xr:uid="{056A5EE0-081B-4A48-8736-D4A6CC21136E}">
      <text>
        <r>
          <rPr>
            <b/>
            <sz val="9"/>
            <color indexed="81"/>
            <rFont val="Tahoma"/>
            <family val="2"/>
          </rPr>
          <t>Simba Choga:</t>
        </r>
        <r>
          <rPr>
            <sz val="9"/>
            <color indexed="81"/>
            <rFont val="Tahoma"/>
            <family val="2"/>
          </rPr>
          <t xml:space="preserve">
Took previous year's growth rate</t>
        </r>
      </text>
    </comment>
    <comment ref="A38" authorId="0" shapeId="0" xr:uid="{EAFF8E6F-589E-4909-9EA0-1BC3E5ACDD4F}">
      <text>
        <r>
          <rPr>
            <b/>
            <sz val="9"/>
            <color indexed="81"/>
            <rFont val="Tahoma"/>
            <family val="2"/>
          </rPr>
          <t>Simba Choga:</t>
        </r>
        <r>
          <rPr>
            <sz val="9"/>
            <color indexed="81"/>
            <rFont val="Tahoma"/>
            <family val="2"/>
          </rPr>
          <t xml:space="preserve">
Slower iPhone unit growth → but growing installed base → more potential Services customers.
Apple can make money from those active users through things such as iCloud, Apple Music, App Store purchases, AppleCare, Apple TV+, and other services.
So even if Apple isn't dramatically increasing the number of new iPhones sold each year, it can still increase revenue by monetizing its growing installed base.
That's why Active iPhone Units can be an important driver in your Apple equity research model.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Simba Choga</author>
  </authors>
  <commentList>
    <comment ref="P4" authorId="0" shapeId="0" xr:uid="{D0F679A2-45EB-4B80-81F4-F07A1649FACA}">
      <text>
        <r>
          <rPr>
            <b/>
            <sz val="9"/>
            <color indexed="81"/>
            <rFont val="Tahoma"/>
            <family val="2"/>
          </rPr>
          <t>Simba Choga:</t>
        </r>
        <r>
          <rPr>
            <sz val="9"/>
            <color indexed="81"/>
            <rFont val="Tahoma"/>
            <family val="2"/>
          </rPr>
          <t xml:space="preserve">
Source
https://www.businessofapps.com/data/apple-statistics/?utm_source=chatgpt.com</t>
        </r>
      </text>
    </comment>
    <comment ref="AM6" authorId="0" shapeId="0" xr:uid="{7EB50FD7-4019-43E7-9A5E-17BE0AD88027}">
      <text>
        <r>
          <rPr>
            <b/>
            <sz val="9"/>
            <color indexed="81"/>
            <rFont val="Tahoma"/>
            <family val="2"/>
          </rPr>
          <t>Simba Choga:</t>
        </r>
        <r>
          <rPr>
            <sz val="9"/>
            <color indexed="81"/>
            <rFont val="Tahoma"/>
            <family val="2"/>
          </rPr>
          <t xml:space="preserve">
past 13yrs have seen low single digit growth from the Mac Book sales.</t>
        </r>
      </text>
    </comment>
    <comment ref="AM8" authorId="0" shapeId="0" xr:uid="{1185DE84-3099-4B4D-8905-FEB2F73A1705}">
      <text>
        <r>
          <rPr>
            <b/>
            <sz val="9"/>
            <color indexed="81"/>
            <rFont val="Tahoma"/>
            <family val="2"/>
          </rPr>
          <t>Simba Choga:</t>
        </r>
        <r>
          <rPr>
            <sz val="9"/>
            <color indexed="81"/>
            <rFont val="Tahoma"/>
            <family val="2"/>
          </rPr>
          <t xml:space="preserve">
For the past 13yrs - ipad sales have remained relatively flat.</t>
        </r>
      </text>
    </comment>
    <comment ref="W10" authorId="0" shapeId="0" xr:uid="{3C1EA928-BE9D-4E4A-BE21-333B01828AF1}">
      <text>
        <r>
          <rPr>
            <b/>
            <sz val="9"/>
            <color indexed="81"/>
            <rFont val="Tahoma"/>
            <family val="2"/>
          </rPr>
          <t>Simba Choga:</t>
        </r>
        <r>
          <rPr>
            <sz val="9"/>
            <color indexed="81"/>
            <rFont val="Tahoma"/>
            <family val="2"/>
          </rPr>
          <t xml:space="preserve">
Source: https://www.businessofapps.com/data/apple-statistics/?utm_source=chatgpt.com</t>
        </r>
      </text>
    </comment>
    <comment ref="X10" authorId="0" shapeId="0" xr:uid="{DB503A52-6298-4D69-8890-C75767345F80}">
      <text>
        <r>
          <rPr>
            <b/>
            <sz val="9"/>
            <color indexed="81"/>
            <rFont val="Tahoma"/>
            <family val="2"/>
          </rPr>
          <t>Simba Choga:</t>
        </r>
        <r>
          <rPr>
            <sz val="9"/>
            <color indexed="81"/>
            <rFont val="Tahoma"/>
            <family val="2"/>
          </rPr>
          <t xml:space="preserve">
Source: https://www.businessofapps.com/data/apple-statistics/?utm_source=chatgpt.com</t>
        </r>
      </text>
    </comment>
    <comment ref="AM10" authorId="0" shapeId="0" xr:uid="{A6F975F3-4441-4081-A1D4-DD146DF1D80A}">
      <text>
        <r>
          <rPr>
            <b/>
            <sz val="9"/>
            <color indexed="81"/>
            <rFont val="Tahoma"/>
            <family val="2"/>
          </rPr>
          <t>Simba Choga:</t>
        </r>
        <r>
          <rPr>
            <sz val="9"/>
            <color indexed="81"/>
            <rFont val="Tahoma"/>
            <family val="2"/>
          </rPr>
          <t xml:space="preserve">
Past 10yrs. However, the past 3yrs show continuous decline.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Simba Choga</author>
  </authors>
  <commentList>
    <comment ref="A4" authorId="0" shapeId="0" xr:uid="{37213297-A497-4F71-B3A2-F456127C7BB5}">
      <text>
        <r>
          <rPr>
            <b/>
            <sz val="9"/>
            <color indexed="81"/>
            <rFont val="Tahoma"/>
            <family val="2"/>
          </rPr>
          <t>Simba Choga:</t>
        </r>
        <r>
          <rPr>
            <sz val="9"/>
            <color indexed="81"/>
            <rFont val="Tahoma"/>
            <family val="2"/>
          </rPr>
          <t xml:space="preserve">
Interest payments on long term debt.</t>
        </r>
      </text>
    </comment>
    <comment ref="A8" authorId="0" shapeId="0" xr:uid="{C86627D9-DF89-4D6C-9757-366FF34B929E}">
      <text>
        <r>
          <rPr>
            <b/>
            <sz val="9"/>
            <color indexed="81"/>
            <rFont val="Tahoma"/>
            <family val="2"/>
          </rPr>
          <t>Simba Choga:</t>
        </r>
        <r>
          <rPr>
            <sz val="9"/>
            <color indexed="81"/>
            <rFont val="Tahoma"/>
            <family val="2"/>
          </rPr>
          <t xml:space="preserve">
Principle + interest for simplicity </t>
        </r>
      </text>
    </comment>
    <comment ref="A9" authorId="0" shapeId="0" xr:uid="{596BA136-ECA3-4584-A331-B5CCAAA8B877}">
      <text>
        <r>
          <rPr>
            <b/>
            <sz val="9"/>
            <color indexed="81"/>
            <rFont val="Tahoma"/>
            <family val="2"/>
          </rPr>
          <t>Simba Choga:</t>
        </r>
        <r>
          <rPr>
            <sz val="9"/>
            <color indexed="81"/>
            <rFont val="Tahoma"/>
            <family val="2"/>
          </rPr>
          <t xml:space="preserve">
total face value (principal) of term debt that the company says it is contractually obligated to repay</t>
        </r>
      </text>
    </comment>
    <comment ref="Z14" authorId="0" shapeId="0" xr:uid="{B2A17356-697C-481C-BDFB-91CFD986D9C7}">
      <text>
        <r>
          <rPr>
            <b/>
            <sz val="9"/>
            <color indexed="81"/>
            <rFont val="Tahoma"/>
            <family val="2"/>
          </rPr>
          <t>Simba Choga:</t>
        </r>
        <r>
          <rPr>
            <sz val="9"/>
            <color indexed="81"/>
            <rFont val="Tahoma"/>
            <family val="2"/>
          </rPr>
          <t xml:space="preserve">
Moderate</t>
        </r>
      </text>
    </comment>
    <comment ref="AA14" authorId="0" shapeId="0" xr:uid="{A4FF1916-4FB9-4A6C-9EF5-42A6BB578AB0}">
      <text>
        <r>
          <rPr>
            <b/>
            <sz val="9"/>
            <color indexed="81"/>
            <rFont val="Tahoma"/>
            <family val="2"/>
          </rPr>
          <t>Simba Choga:</t>
        </r>
        <r>
          <rPr>
            <sz val="9"/>
            <color indexed="81"/>
            <rFont val="Tahoma"/>
            <family val="2"/>
          </rPr>
          <t xml:space="preserve">
Moderate</t>
        </r>
      </text>
    </comment>
    <comment ref="AB14" authorId="0" shapeId="0" xr:uid="{6BD01A05-DD03-4870-A185-F7A115DC8C5F}">
      <text>
        <r>
          <rPr>
            <b/>
            <sz val="9"/>
            <color indexed="81"/>
            <rFont val="Tahoma"/>
            <family val="2"/>
          </rPr>
          <t>Simba Choga:</t>
        </r>
        <r>
          <rPr>
            <sz val="9"/>
            <color indexed="81"/>
            <rFont val="Tahoma"/>
            <family val="2"/>
          </rPr>
          <t xml:space="preserve">
Moderate</t>
        </r>
      </text>
    </comment>
    <comment ref="AC14" authorId="0" shapeId="0" xr:uid="{F33CEC57-FEC7-4AB8-B021-9D5F4F5E3530}">
      <text>
        <r>
          <rPr>
            <b/>
            <sz val="9"/>
            <color indexed="81"/>
            <rFont val="Tahoma"/>
            <family val="2"/>
          </rPr>
          <t>Simba Choga:</t>
        </r>
        <r>
          <rPr>
            <sz val="9"/>
            <color indexed="81"/>
            <rFont val="Tahoma"/>
            <family val="2"/>
          </rPr>
          <t xml:space="preserve">
Moderate</t>
        </r>
      </text>
    </comment>
    <comment ref="AD14" authorId="0" shapeId="0" xr:uid="{A0B84448-7D72-45F2-AF1F-256D1A38D551}">
      <text>
        <r>
          <rPr>
            <b/>
            <sz val="9"/>
            <color indexed="81"/>
            <rFont val="Tahoma"/>
            <family val="2"/>
          </rPr>
          <t>Simba Choga:</t>
        </r>
        <r>
          <rPr>
            <sz val="9"/>
            <color indexed="81"/>
            <rFont val="Tahoma"/>
            <family val="2"/>
          </rPr>
          <t xml:space="preserve">
Moderate</t>
        </r>
      </text>
    </comment>
    <comment ref="AA18" authorId="0" shapeId="0" xr:uid="{3B9F9575-37A7-4B30-8E8B-E80AB21FDC0C}">
      <text>
        <r>
          <rPr>
            <b/>
            <sz val="9"/>
            <color indexed="81"/>
            <rFont val="Tahoma"/>
            <family val="2"/>
          </rPr>
          <t>Simba Choga:</t>
        </r>
        <r>
          <rPr>
            <sz val="9"/>
            <color indexed="81"/>
            <rFont val="Tahoma"/>
            <family val="2"/>
          </rPr>
          <t xml:space="preserve">
Moderate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Simba Choga</author>
  </authors>
  <commentList>
    <comment ref="A75" authorId="0" shapeId="0" xr:uid="{C7F78264-0A3F-4272-ADF9-D821C91F53E4}">
      <text>
        <r>
          <rPr>
            <b/>
            <sz val="9"/>
            <color indexed="81"/>
            <rFont val="Tahoma"/>
            <family val="2"/>
          </rPr>
          <t>Simba Choga:</t>
        </r>
        <r>
          <rPr>
            <sz val="9"/>
            <color indexed="81"/>
            <rFont val="Tahoma"/>
            <family val="2"/>
          </rPr>
          <t xml:space="preserve">
</t>
        </r>
        <r>
          <rPr>
            <b/>
            <sz val="9"/>
            <color indexed="81"/>
            <rFont val="Tahoma"/>
            <family val="2"/>
          </rPr>
          <t>CHTGPT - [Helper]</t>
        </r>
        <r>
          <rPr>
            <sz val="9"/>
            <color indexed="81"/>
            <rFont val="Tahoma"/>
            <family val="2"/>
          </rPr>
          <t xml:space="preserve">
https://www.youtube.com/watch?v=cp6CwhayNZY&amp;list=PL9PrwgRNlv60Xkg-9OeqoJobeXthONaMo:- Manufactures in China -&gt; iPhone and Tablets - not 100% sure about the Macbook. As you could figure out it probably sources it's components for the iPhone, Tablets and Macbook from all over the world. So if oil prices were to rice
-Transportation costs would increase.
-Manufacturing costs would increase etc
Final product would increase
Factor in the trade ware between U.S and China - imported goods into the U.S would have a price increase.</t>
        </r>
      </text>
    </comment>
  </commentList>
</comments>
</file>

<file path=xl/sharedStrings.xml><?xml version="1.0" encoding="utf-8"?>
<sst xmlns="http://schemas.openxmlformats.org/spreadsheetml/2006/main" count="525" uniqueCount="287">
  <si>
    <t>Apple Inc. Historical Financial Statements (FY1992–FY2025)</t>
  </si>
  <si>
    <t>Units: $ millions unless otherwise noted; EPS/dividends in $/share; share counts in thousands.</t>
  </si>
  <si>
    <t>Fiscal Year</t>
  </si>
  <si>
    <t>INCOME STATEMENT</t>
  </si>
  <si>
    <t>Products Net Sales</t>
  </si>
  <si>
    <t>Services Net Sales</t>
  </si>
  <si>
    <t>Net Sales / Revenue</t>
  </si>
  <si>
    <t>Products Cost of Sales</t>
  </si>
  <si>
    <t>Services Cost of Sales</t>
  </si>
  <si>
    <t>Products Gross Profit</t>
  </si>
  <si>
    <t>Services Gross Profit</t>
  </si>
  <si>
    <t>Gross Profit</t>
  </si>
  <si>
    <t>Research &amp; Development</t>
  </si>
  <si>
    <t>Selling, General &amp; Administrative</t>
  </si>
  <si>
    <t>Restructuring Costs</t>
  </si>
  <si>
    <t>In-Process R&amp;D</t>
  </si>
  <si>
    <t>Termination of License Agreement</t>
  </si>
  <si>
    <t>Executive Bonus / Special Compensation</t>
  </si>
  <si>
    <t>Total Operating Expenses</t>
  </si>
  <si>
    <t>Operating Income (EBIT)</t>
  </si>
  <si>
    <t>Gains on Sales of Investments</t>
  </si>
  <si>
    <t>Gains/(Losses) on Non-Current Investments, Net</t>
  </si>
  <si>
    <t>Unrealized Loss on Convertible Securities</t>
  </si>
  <si>
    <t>Interest and Other Income, Net</t>
  </si>
  <si>
    <t>Other Income/(Expense), Net</t>
  </si>
  <si>
    <t>Total Other Income/(Expense)</t>
  </si>
  <si>
    <t>Income Before Income Taxes</t>
  </si>
  <si>
    <t>Provision for Income Taxes</t>
  </si>
  <si>
    <t>Income Before Accounting Changes</t>
  </si>
  <si>
    <t>Cumulative Effect of Accounting Changes</t>
  </si>
  <si>
    <t>Net Income</t>
  </si>
  <si>
    <t>EPS - Basic ($/share)</t>
  </si>
  <si>
    <t>EPS - Diluted ($/share)</t>
  </si>
  <si>
    <t>Shares Used - Basic (000s)</t>
  </si>
  <si>
    <t>Shares Used - Diluted (000s)</t>
  </si>
  <si>
    <t>Cash Dividends Declared per Share</t>
  </si>
  <si>
    <t>BALANCE SHEET</t>
  </si>
  <si>
    <t>Cash &amp; Cash Equivalents (FY1992 source reports Cash + ST Investments combined)</t>
  </si>
  <si>
    <t>Short-Term Investments / Marketable Securities</t>
  </si>
  <si>
    <t>Accounts Receivable, Net</t>
  </si>
  <si>
    <t>Inventories</t>
  </si>
  <si>
    <t>Prepaid Income Taxes</t>
  </si>
  <si>
    <t>Deferred Tax Assets</t>
  </si>
  <si>
    <t>Vendor Non-Trade Receivables</t>
  </si>
  <si>
    <t>Other Current Assets</t>
  </si>
  <si>
    <t>Total Current Assets</t>
  </si>
  <si>
    <t>Property, Plant &amp; Equipment, Net</t>
  </si>
  <si>
    <t>Non-Current Debt &amp; Equity Investments</t>
  </si>
  <si>
    <t>Long-Term Marketable Securities</t>
  </si>
  <si>
    <t>Goodwill</t>
  </si>
  <si>
    <t>Acquired Intangible Assets, Net</t>
  </si>
  <si>
    <t>Other Assets (legacy)</t>
  </si>
  <si>
    <t>Other Non-Current Assets</t>
  </si>
  <si>
    <t>Total Non-Current Assets</t>
  </si>
  <si>
    <t>Total Assets</t>
  </si>
  <si>
    <t>Short-Term Borrowings / Notes Payable</t>
  </si>
  <si>
    <t>Accounts Payable</t>
  </si>
  <si>
    <t>Accrued Compensation &amp; Employee Benefits</t>
  </si>
  <si>
    <t>Accrued Marketing &amp; Distribution</t>
  </si>
  <si>
    <t>Accrued Warranty &amp; Related</t>
  </si>
  <si>
    <t>Accrued Restructuring Costs</t>
  </si>
  <si>
    <t>Accrued Expenses</t>
  </si>
  <si>
    <t>Deferred Revenue - Current</t>
  </si>
  <si>
    <t>Other Current Liabilities</t>
  </si>
  <si>
    <t>Commercial Paper</t>
  </si>
  <si>
    <t>Current Debt / Term Debt</t>
  </si>
  <si>
    <t>Total Current Liabilities</t>
  </si>
  <si>
    <t>Long-Term Debt / Term Debt</t>
  </si>
  <si>
    <t>Deferred Tax Liabilities</t>
  </si>
  <si>
    <t>Deferred Revenue - Non-Current</t>
  </si>
  <si>
    <t>Non-Current Liabilities (legacy aggregate)</t>
  </si>
  <si>
    <t>Other Non-Current Liabilities</t>
  </si>
  <si>
    <t>Total Non-Current Liabilities</t>
  </si>
  <si>
    <t>Total Liabilities</t>
  </si>
  <si>
    <t>Preferred Stock</t>
  </si>
  <si>
    <t>Common Stock &amp; Additional Paid-In Capital</t>
  </si>
  <si>
    <t>Deferred Stock Compensation</t>
  </si>
  <si>
    <t>Retained Earnings</t>
  </si>
  <si>
    <t>Accumulated Deficit</t>
  </si>
  <si>
    <t>Accumulated Other Comprehensive Income/(Loss)</t>
  </si>
  <si>
    <t>Other Equity / Translation Adjustment</t>
  </si>
  <si>
    <t>Total Shareholders' Equity</t>
  </si>
  <si>
    <t>Total Liabilities &amp; Shareholders' Equity</t>
  </si>
  <si>
    <t>CASH FLOW STATEMENT</t>
  </si>
  <si>
    <t>Cash, Cash Equivalents &amp; Restricted Cash - Beginning (restricted cash included from FY2019)</t>
  </si>
  <si>
    <t>Cumulative Effect of Accounting Change (CF adjustment)</t>
  </si>
  <si>
    <t>Depreciation / Amortization / Accretion</t>
  </si>
  <si>
    <t>Net Book Value of PP&amp;E Retirements</t>
  </si>
  <si>
    <t>Deferred Income Tax Provision/(Benefit)</t>
  </si>
  <si>
    <t>Share-/Stock-Based Compensation Expense</t>
  </si>
  <si>
    <t>Other Operating Adjustments</t>
  </si>
  <si>
    <t>Non-Cash Restructuring</t>
  </si>
  <si>
    <t>Loss on Sale/Disposition of PP&amp;E</t>
  </si>
  <si>
    <t>Gains/(Losses) on Investments, Net</t>
  </si>
  <si>
    <t>In-Process R&amp;D (non-cash adjustment)</t>
  </si>
  <si>
    <t>Tax Benefit from Stock Options (operating classification)</t>
  </si>
  <si>
    <t>Change in Accounts Receivable</t>
  </si>
  <si>
    <t>Change in Inventories</t>
  </si>
  <si>
    <t>Change in Deferred Tax Assets</t>
  </si>
  <si>
    <t>Change in Other Current Assets</t>
  </si>
  <si>
    <t>Change in Other Assets / Current &amp; Non-Current Assets</t>
  </si>
  <si>
    <t>Change in Vendor Non-Trade Receivables</t>
  </si>
  <si>
    <t>Change in Accounts Payable</t>
  </si>
  <si>
    <t>Change in Income Taxes Payable</t>
  </si>
  <si>
    <t>Change in Accrued Restructuring Costs</t>
  </si>
  <si>
    <t>Change in Other Current Liabilities</t>
  </si>
  <si>
    <t>Change in Deferred Tax Liabilities</t>
  </si>
  <si>
    <t>Change in Deferred Revenue</t>
  </si>
  <si>
    <t>Change in Other Liabilities / Current &amp; Non-Current Liabilities</t>
  </si>
  <si>
    <t>Cash Flow from Operating Activities</t>
  </si>
  <si>
    <t>Purchase of Short-Term Investments</t>
  </si>
  <si>
    <t>Proceeds from Maturities of Short-Term Investments</t>
  </si>
  <si>
    <t>Proceeds from Sales/Maturities of Short-Term Investments</t>
  </si>
  <si>
    <t>Purchases of Long-Term Investments</t>
  </si>
  <si>
    <t>Purchases of Marketable Securities</t>
  </si>
  <si>
    <t>Proceeds from Maturities of Marketable Securities</t>
  </si>
  <si>
    <t>Proceeds from Sales of Marketable Securities</t>
  </si>
  <si>
    <t>Purchases of PP&amp;E</t>
  </si>
  <si>
    <t>Proceeds from PP&amp;E Retirements</t>
  </si>
  <si>
    <t>Business Acquisitions / Technology Acquisitions</t>
  </si>
  <si>
    <t>Acquisition of Intangible Assets</t>
  </si>
  <si>
    <t>Payments for Strategic Investments</t>
  </si>
  <si>
    <t>Purchases of Non-Marketable Securities</t>
  </si>
  <si>
    <t>Proceeds from Non-Marketable Securities</t>
  </si>
  <si>
    <t>Proceeds from Sales of Equity / Non-Current Investments</t>
  </si>
  <si>
    <t>Other Investing Activities</t>
  </si>
  <si>
    <t>Cash Flow from Investing Activities</t>
  </si>
  <si>
    <t>Change in Notes Payable / Short-Term Borrowings</t>
  </si>
  <si>
    <t>Change in Long-Term Borrowings</t>
  </si>
  <si>
    <t>Payment of Long-Term Debt</t>
  </si>
  <si>
    <t>Issuance of Preferred Stock</t>
  </si>
  <si>
    <t>Issuance of Common Stock</t>
  </si>
  <si>
    <t>Repurchase of Common Stock</t>
  </si>
  <si>
    <t>Cash Dividends / Dividends Paid</t>
  </si>
  <si>
    <t>Excess Tax Benefits from Equity Awards</t>
  </si>
  <si>
    <t>Net Share Settlement of Equity Awards</t>
  </si>
  <si>
    <t>Issuance of Long-Term Debt, Net</t>
  </si>
  <si>
    <t>Repayments of Term Debt</t>
  </si>
  <si>
    <t>Commercial Paper, Net</t>
  </si>
  <si>
    <t>Other Financing Activities</t>
  </si>
  <si>
    <t>Cash Flow from Financing Activities</t>
  </si>
  <si>
    <t>Net Change in Cash / Cash Equivalents / Restricted Cash</t>
  </si>
  <si>
    <t>Cash, Cash Equivalents &amp; Restricted Cash - Ending (restricted cash included from FY2019)</t>
  </si>
  <si>
    <t>Total COGS</t>
  </si>
  <si>
    <t>% Growth</t>
  </si>
  <si>
    <t>% of Revenue</t>
  </si>
  <si>
    <t>EPS - Basic ($/share) % Growth</t>
  </si>
  <si>
    <t>EPS - Diluted ($/share) % Growth</t>
  </si>
  <si>
    <t>33yr</t>
  </si>
  <si>
    <t>Check</t>
  </si>
  <si>
    <t>20yr</t>
  </si>
  <si>
    <t>10yr</t>
  </si>
  <si>
    <t>5yr</t>
  </si>
  <si>
    <t xml:space="preserve">3yr </t>
  </si>
  <si>
    <t>Product</t>
  </si>
  <si>
    <t>iPhone</t>
  </si>
  <si>
    <t>Mac</t>
  </si>
  <si>
    <t>iPad</t>
  </si>
  <si>
    <t>Wearables, Home &amp; Accessories</t>
  </si>
  <si>
    <t>Country / International Net Sales ($mm)</t>
  </si>
  <si>
    <t>Country / Group</t>
  </si>
  <si>
    <t>U.S.</t>
  </si>
  <si>
    <t>China</t>
  </si>
  <si>
    <t>International</t>
  </si>
  <si>
    <t>Total net sales</t>
  </si>
  <si>
    <t>Total Net Sales</t>
  </si>
  <si>
    <t>Source</t>
  </si>
  <si>
    <t>https://backlinko.com/iphone-users?</t>
  </si>
  <si>
    <t>https://www.businessofapps.com/data/apple-statistics/?utm_source=chatgpt.com</t>
  </si>
  <si>
    <t>Americas</t>
  </si>
  <si>
    <t>Europe</t>
  </si>
  <si>
    <t>Japan</t>
  </si>
  <si>
    <t>Rest of Asia Pacific</t>
  </si>
  <si>
    <t>Total Sales</t>
  </si>
  <si>
    <t>Financial Statements</t>
  </si>
  <si>
    <t>Source (2019 - 2025</t>
  </si>
  <si>
    <t>Source (2007 - 2018)</t>
  </si>
  <si>
    <t xml:space="preserve">Source </t>
  </si>
  <si>
    <t>Main Products Net Sales ($mm)</t>
  </si>
  <si>
    <t>Number of iOS Subscriptions</t>
  </si>
  <si>
    <t>Apple Pay Active Users</t>
  </si>
  <si>
    <t>Apple Pay Transaction Volume</t>
  </si>
  <si>
    <t>Apple Music Subscribers</t>
  </si>
  <si>
    <t>Apple TV+ Subscribers</t>
  </si>
  <si>
    <t>Apple News Users</t>
  </si>
  <si>
    <t>Siri Active Users</t>
  </si>
  <si>
    <t>Active Service Users/Subsribers</t>
  </si>
  <si>
    <t>Total Users/Subscribers</t>
  </si>
  <si>
    <t>https://reportify-1252068037.cos.ap-beijing.myqcloud.com/media/production/s_0132ddf6_0132ddf6f76452b09a6eaf33303689a1.pdf</t>
  </si>
  <si>
    <t>https://asymco.com/2026/04/24/the-composition-of-active-devices/?utm_source=chatgpt.com</t>
  </si>
  <si>
    <t>iPhone Units Sold By Region</t>
  </si>
  <si>
    <t xml:space="preserve">Units: $ millions </t>
  </si>
  <si>
    <t>Principal less Carrying</t>
  </si>
  <si>
    <t xml:space="preserve">Gross Disclosed Term Principal </t>
  </si>
  <si>
    <t>Term Debt Carrying Value</t>
  </si>
  <si>
    <t>Total Interest-bearing Debt</t>
  </si>
  <si>
    <t>Non-current Term Debt</t>
  </si>
  <si>
    <t>Current Portion Term Debt</t>
  </si>
  <si>
    <t>Short-term / Current Debt</t>
  </si>
  <si>
    <t>Average 33yr</t>
  </si>
  <si>
    <t>Average 20yr</t>
  </si>
  <si>
    <t>Average 10yr</t>
  </si>
  <si>
    <t>Average 5yr</t>
  </si>
  <si>
    <t>Source URL</t>
  </si>
  <si>
    <t>Company Overview</t>
  </si>
  <si>
    <t>Founded</t>
  </si>
  <si>
    <t>April 1, 1976</t>
  </si>
  <si>
    <t>https://www.apple.com/newsroom/2026/03/apple-to-celebrate-50-years-of-thinking-different/</t>
  </si>
  <si>
    <t>https://investor.apple.com/faq/</t>
  </si>
  <si>
    <t>IPO</t>
  </si>
  <si>
    <t>December 12, 1980</t>
  </si>
  <si>
    <t>S&amp;P 500 addition</t>
  </si>
  <si>
    <t>November 30, 1982</t>
  </si>
  <si>
    <t>https://github.com/datasets/s-and-p-500-companies/blob/main/data/constituents.csv</t>
  </si>
  <si>
    <t>Ticker / Exchange</t>
  </si>
  <si>
    <t>AAPL / Nasdaq</t>
  </si>
  <si>
    <t>Headquarters</t>
  </si>
  <si>
    <t>One Apple Park Way, Cupertino, CA 95014</t>
  </si>
  <si>
    <t>FY2025 employees</t>
  </si>
  <si>
    <t>https://www.sec.gov/Archives/edgar/data/320193/000032019325000079/aapl-20250927.htm</t>
  </si>
  <si>
    <t>FY2025 net sales ($mm)</t>
  </si>
  <si>
    <t>https://www.apple.com/newsroom/pdfs/fy2025-q4/FY25_Q4_Consolidated_Financial_Statements.pdf</t>
  </si>
  <si>
    <t>Customer markets</t>
  </si>
  <si>
    <t>Consumer; small &amp; mid-sized business; education; enterprise; government</t>
  </si>
  <si>
    <t>Distribution</t>
  </si>
  <si>
    <t>Direct retail/online/direct sales force + third-party carriers and other resellers</t>
  </si>
  <si>
    <t>FY2025 direct / indirect sales mix</t>
  </si>
  <si>
    <t>40% / 60%</t>
  </si>
  <si>
    <t>Reportable geographies</t>
  </si>
  <si>
    <t>Americas; Europe; Greater China; Japan; Rest of Asia Pacific</t>
  </si>
  <si>
    <t>Smartphone Business (iPhone)</t>
  </si>
  <si>
    <t>Category</t>
  </si>
  <si>
    <t>Smartphones</t>
  </si>
  <si>
    <t>Products / offering</t>
  </si>
  <si>
    <t>iPhone line; iOS operating system</t>
  </si>
  <si>
    <t>Customers</t>
  </si>
  <si>
    <t>Consumer; SMB; education; enterprise; government</t>
  </si>
  <si>
    <t>Sales channels</t>
  </si>
  <si>
    <t>Apple retail/online/direct sales + cellular carriers and resellers</t>
  </si>
  <si>
    <t>Geographic reach</t>
  </si>
  <si>
    <t>FY2025 revenue ($mm)</t>
  </si>
  <si>
    <t>Revenue contribution</t>
  </si>
  <si>
    <t>Market share</t>
  </si>
  <si>
    <t>https://counterpointresearch.com/en/insights/global-smartphone-shipments-grew-2-percent-YoY-in-2025</t>
  </si>
  <si>
    <t>Market position</t>
  </si>
  <si>
    <t>Global smartphone shipment leader in 2025</t>
  </si>
  <si>
    <t>Mac / MacBook Business</t>
  </si>
  <si>
    <t>Personal computers</t>
  </si>
  <si>
    <t>MacBook Air; MacBook Pro; iMac; Mac mini; Mac Studio; Mac Pro</t>
  </si>
  <si>
    <t>Apple retail/online/direct sales + resellers</t>
  </si>
  <si>
    <t>Just under 10%</t>
  </si>
  <si>
    <t>https://www.idc.com/resource-center/blog/macbook-neo-apples-strategic-play-to-disrupt-the-pc-market/</t>
  </si>
  <si>
    <t>Top-tier global PC vendor; below 10% global unit share in 2025</t>
  </si>
  <si>
    <t>iPad Business</t>
  </si>
  <si>
    <t>Tablets</t>
  </si>
  <si>
    <t>iPad Pro; iPad Air; iPad; iPad mini</t>
  </si>
  <si>
    <t>https://www.idc.com/resource-center/blog/global-tablet-shipments-rise-1-9-in-4q25-as-seasonal-demand-offsets-cooling-replacement-cycle/</t>
  </si>
  <si>
    <t>Global tablet shipment leader in 4Q25</t>
  </si>
  <si>
    <t>Wearables, Home &amp; Accessories Business</t>
  </si>
  <si>
    <t>Wearables; home devices; accessories</t>
  </si>
  <si>
    <t>Apple Watch; AirPods; AirPods Max; Beats; Apple Vision Pro; Apple TV 4K; HomePod; accessories</t>
  </si>
  <si>
    <t>Apple retail/online/direct sales + carriers and resellers</t>
  </si>
  <si>
    <t>Wearables market share</t>
  </si>
  <si>
    <t>https://www.idc.com/promo/wearablevendor/?source=content_type%3Areact%7Cfirst_level_url%3Aarticle%7Csection%3Amain_content%7Cbutton%3Abody_link</t>
  </si>
  <si>
    <t>Largest global wearable-device company by unit share in 4Q25</t>
  </si>
  <si>
    <t>Services Business</t>
  </si>
  <si>
    <t>Digital and support services</t>
  </si>
  <si>
    <t>Services / offering</t>
  </si>
  <si>
    <t>Advertising; AppleCare; cloud services; App Store/digital content; Apple Arcade; Fitness+; Apple Music; News+; Apple TV; Apple Card; Apple Pay</t>
  </si>
  <si>
    <t>Apple device users plus customers of Apple service platforms</t>
  </si>
  <si>
    <t>Apple service platforms and direct customer relationships</t>
  </si>
  <si>
    <t>Services sold in the same major markets as Apple products</t>
  </si>
  <si>
    <t>FY2025 growth driver</t>
  </si>
  <si>
    <t>Advertising, App Store and cloud services</t>
  </si>
  <si>
    <t>What about the chip story? What about the AI Story?</t>
  </si>
  <si>
    <t>Does Apple Manufacture its own products? Does it handle the distribution? Does it have it's own retail outlets (Direct To Consumer), and Online stores?</t>
  </si>
  <si>
    <t>13yrs</t>
  </si>
  <si>
    <t>3yrs</t>
  </si>
  <si>
    <t>New CEO</t>
  </si>
  <si>
    <t>John Ternus (September 1 2026)</t>
  </si>
  <si>
    <t>https://www.apple.com/newsroom/2026/04/tim-cook-to-become-apple-executive-chairman-john-ternus-to-become-apple-ceo/</t>
  </si>
  <si>
    <t>iPhone Duo Launch</t>
  </si>
  <si>
    <t>https://www.reuters.com/business/retail-consumer/apple-expected-unveil-first-folding-phone-with-new-ceo-ternus-command-2026-09-09/</t>
  </si>
  <si>
    <t>Price $2,000 - September 9 2026</t>
  </si>
  <si>
    <t xml:space="preserve">Product </t>
  </si>
  <si>
    <t>Units Sold ('000)</t>
  </si>
  <si>
    <r>
      <t xml:space="preserve">Active iPhone, Mac, </t>
    </r>
    <r>
      <rPr>
        <sz val="11"/>
        <rFont val="Carlito"/>
      </rPr>
      <t>iPad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</si>
</sst>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Red]\(0.00\);\-"/>
    <numFmt numFmtId="165" formatCode="#,##0;[Red]\(#,##0\);\-"/>
    <numFmt numFmtId="166" formatCode="&quot;FY&quot;0&quot;A&quot;"/>
    <numFmt numFmtId="167" formatCode="0.0%"/>
    <numFmt numFmtId="168" formatCode="#,##0.00;[Red]\(#,##0.00\);\-"/>
    <numFmt numFmtId="169" formatCode="#,##0.000;[Red]\(#,##0.000\);\-"/>
    <numFmt numFmtId="170" formatCode="_(* #,##0_);_(* \(#,##0\);_(* &quot;-&quot;??_);_(@_)"/>
    <numFmt numFmtId="171" formatCode="#,##0.0;[Red]\(#,##0.0\);\-"/>
    <numFmt numFmtId="172" formatCode="#,##0.0_);[Red]\(#,##0.0\)"/>
    <numFmt numFmtId="173" formatCode="#,##0.0"/>
    <numFmt numFmtId="174" formatCode="0.0"/>
    <numFmt numFmtId="175" formatCode="_(* #,##0.0_);_(* \(#,##0.0\);_(* &quot;-&quot;??_);_(@_)"/>
    <numFmt numFmtId="176" formatCode="\$#,##0;[Red]\(\$#,##0\);\-"/>
  </numFmts>
  <fonts count="30">
    <font>
      <sz val="11"/>
      <name val="Carlito"/>
    </font>
    <font>
      <sz val="10"/>
      <color rgb="FF000000"/>
      <name val="Arial"/>
      <family val="2"/>
    </font>
    <font>
      <sz val="9"/>
      <color rgb="FF404040"/>
      <name val="Arial"/>
      <family val="2"/>
    </font>
    <font>
      <b/>
      <sz val="10"/>
      <color rgb="FF000000"/>
      <name val="Arial"/>
      <family val="2"/>
    </font>
    <font>
      <b/>
      <sz val="10"/>
      <color rgb="FFFFFFFF"/>
      <name val="Arial"/>
      <family val="2"/>
    </font>
    <font>
      <sz val="10"/>
      <color rgb="FF0000FF"/>
      <name val="Arial"/>
      <family val="2"/>
    </font>
    <font>
      <b/>
      <sz val="10"/>
      <color rgb="FF0000FF"/>
      <name val="Arial"/>
      <family val="2"/>
    </font>
    <font>
      <b/>
      <sz val="14"/>
      <color rgb="FFFFFFFF"/>
      <name val="Arial"/>
      <family val="2"/>
    </font>
    <font>
      <sz val="10"/>
      <name val="Arial"/>
      <family val="2"/>
    </font>
    <font>
      <b/>
      <sz val="11"/>
      <name val="Carlito"/>
    </font>
    <font>
      <sz val="11"/>
      <name val="Carlito"/>
    </font>
    <font>
      <i/>
      <sz val="10"/>
      <color rgb="FF000000"/>
      <name val="Arial"/>
      <family val="2"/>
    </font>
    <font>
      <i/>
      <sz val="11"/>
      <name val="Carlito"/>
    </font>
    <font>
      <sz val="11"/>
      <color theme="1"/>
      <name val="Calibri"/>
      <family val="2"/>
    </font>
    <font>
      <sz val="10"/>
      <color rgb="FFFF0000"/>
      <name val="Arial"/>
      <family val="2"/>
    </font>
    <font>
      <sz val="9"/>
      <color indexed="81"/>
      <name val="Tahoma"/>
      <family val="2"/>
    </font>
    <font>
      <b/>
      <sz val="9"/>
      <color indexed="81"/>
      <name val="Tahoma"/>
      <family val="2"/>
    </font>
    <font>
      <b/>
      <sz val="14"/>
      <color rgb="FFFFFFFF"/>
      <name val="Carlito"/>
    </font>
    <font>
      <b/>
      <sz val="11"/>
      <color rgb="FF000000"/>
      <name val="Carlito"/>
    </font>
    <font>
      <sz val="11"/>
      <color rgb="FF0000FF"/>
      <name val="Carlito"/>
    </font>
    <font>
      <sz val="11"/>
      <color rgb="FF000000"/>
      <name val="Carlito"/>
    </font>
    <font>
      <b/>
      <sz val="12"/>
      <color rgb="FFFFFFFF"/>
      <name val="Carlito"/>
    </font>
    <font>
      <i/>
      <sz val="11"/>
      <color rgb="FF000000"/>
      <name val="Carlito"/>
    </font>
    <font>
      <sz val="11"/>
      <color rgb="FFFF0000"/>
      <name val="Carlito"/>
    </font>
    <font>
      <u/>
      <sz val="11"/>
      <color theme="10"/>
      <name val="Carlito"/>
    </font>
    <font>
      <b/>
      <sz val="11"/>
      <color rgb="FFFFFFFF"/>
      <name val="Carlito"/>
    </font>
    <font>
      <sz val="9"/>
      <color rgb="FF0563C1"/>
      <name val="Carlito"/>
    </font>
    <font>
      <sz val="11"/>
      <color rgb="FF000000"/>
      <name val="Calibri"/>
      <family val="2"/>
      <scheme val="minor"/>
    </font>
    <font>
      <sz val="11"/>
      <name val="Calibri"/>
      <family val="2"/>
      <scheme val="minor"/>
    </font>
    <font>
      <b/>
      <sz val="11"/>
      <color rgb="FFFF0000"/>
      <name val="Carlito"/>
    </font>
  </fonts>
  <fills count="9">
    <fill>
      <patternFill patternType="none"/>
    </fill>
    <fill>
      <patternFill patternType="gray125"/>
    </fill>
    <fill>
      <patternFill patternType="solid">
        <fgColor rgb="FFD9EAF7"/>
      </patternFill>
    </fill>
    <fill>
      <patternFill patternType="solid">
        <fgColor rgb="FF17365D"/>
      </patternFill>
    </fill>
    <fill>
      <patternFill patternType="solid">
        <fgColor rgb="FFEAF2F8"/>
      </patternFill>
    </fill>
    <fill>
      <patternFill patternType="solid">
        <fgColor rgb="FF1F4E78"/>
      </patternFill>
    </fill>
    <fill>
      <patternFill patternType="solid">
        <fgColor theme="0"/>
        <bgColor indexed="64"/>
      </patternFill>
    </fill>
    <fill>
      <patternFill patternType="solid">
        <fgColor rgb="FFFFFFFF"/>
        <bgColor indexed="64"/>
      </patternFill>
    </fill>
    <fill>
      <patternFill patternType="solid">
        <fgColor theme="5" tint="0.59999389629810485"/>
        <bgColor indexed="64"/>
      </patternFill>
    </fill>
  </fills>
  <borders count="12">
    <border>
      <left/>
      <right/>
      <top/>
      <bottom/>
      <diagonal/>
    </border>
    <border>
      <left/>
      <right/>
      <top/>
      <bottom style="thin">
        <color rgb="FF808080"/>
      </bottom>
      <diagonal/>
    </border>
    <border>
      <left/>
      <right/>
      <top style="thin">
        <color rgb="FF000000"/>
      </top>
      <bottom/>
      <diagonal/>
    </border>
    <border>
      <left/>
      <right/>
      <top style="thin">
        <color rgb="FF7F7F7F"/>
      </top>
      <bottom/>
      <diagonal/>
    </border>
    <border>
      <left/>
      <right/>
      <top style="thin">
        <color indexed="64"/>
      </top>
      <bottom/>
      <diagonal/>
    </border>
    <border>
      <left/>
      <right/>
      <top style="thin">
        <color indexed="64"/>
      </top>
      <bottom style="thin">
        <color indexed="64"/>
      </bottom>
      <diagonal/>
    </border>
    <border>
      <left/>
      <right/>
      <top style="thin">
        <color rgb="FF000000"/>
      </top>
      <bottom style="double">
        <color rgb="FF000000"/>
      </bottom>
      <diagonal/>
    </border>
    <border>
      <left/>
      <right/>
      <top style="thin">
        <color indexed="64"/>
      </top>
      <bottom style="medium">
        <color indexed="64"/>
      </bottom>
      <diagonal/>
    </border>
    <border>
      <left/>
      <right/>
      <top/>
      <bottom style="hair">
        <color rgb="FFD9D9D9"/>
      </bottom>
      <diagonal/>
    </border>
    <border>
      <left/>
      <right/>
      <top style="mediumDashed">
        <color indexed="64"/>
      </top>
      <bottom/>
      <diagonal/>
    </border>
    <border>
      <left style="mediumDashed">
        <color indexed="64"/>
      </left>
      <right/>
      <top style="mediumDashed">
        <color indexed="64"/>
      </top>
      <bottom/>
      <diagonal/>
    </border>
    <border>
      <left style="mediumDashed">
        <color indexed="64"/>
      </left>
      <right/>
      <top/>
      <bottom/>
      <diagonal/>
    </border>
  </borders>
  <cellStyleXfs count="7">
    <xf numFmtId="0" fontId="0" fillId="0" borderId="0"/>
    <xf numFmtId="9" fontId="10" fillId="0" borderId="0" applyFont="0" applyFill="0" applyBorder="0" applyAlignment="0" applyProtection="0"/>
    <xf numFmtId="0" fontId="13" fillId="0" borderId="0"/>
    <xf numFmtId="0" fontId="10" fillId="0" borderId="0"/>
    <xf numFmtId="9" fontId="10" fillId="0" borderId="0" applyFont="0" applyFill="0" applyBorder="0" applyAlignment="0" applyProtection="0"/>
    <xf numFmtId="0" fontId="24" fillId="0" borderId="0" applyNumberFormat="0" applyFill="0" applyBorder="0" applyAlignment="0" applyProtection="0"/>
    <xf numFmtId="43" fontId="10" fillId="0" borderId="0" applyFont="0" applyFill="0" applyBorder="0" applyAlignment="0" applyProtection="0"/>
  </cellStyleXfs>
  <cellXfs count="13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left" vertical="center"/>
    </xf>
    <xf numFmtId="164" fontId="5" fillId="0" borderId="0" xfId="0" applyNumberFormat="1" applyFont="1" applyAlignment="1">
      <alignment horizontal="right" vertical="center"/>
    </xf>
    <xf numFmtId="165" fontId="5" fillId="0" borderId="0" xfId="0" applyNumberFormat="1" applyFont="1" applyAlignment="1">
      <alignment horizontal="right" vertical="center"/>
    </xf>
    <xf numFmtId="0" fontId="3" fillId="0" borderId="2" xfId="0" applyFont="1" applyBorder="1" applyAlignment="1">
      <alignment horizontal="left" vertical="center"/>
    </xf>
    <xf numFmtId="165" fontId="5" fillId="0" borderId="0" xfId="0" applyNumberFormat="1" applyFont="1" applyAlignment="1">
      <alignment horizontal="right"/>
    </xf>
    <xf numFmtId="165" fontId="6" fillId="0" borderId="2" xfId="0" applyNumberFormat="1" applyFont="1" applyBorder="1" applyAlignment="1">
      <alignment horizontal="right" vertical="center"/>
    </xf>
    <xf numFmtId="164" fontId="5" fillId="0" borderId="0" xfId="0" applyNumberFormat="1" applyFont="1" applyAlignment="1">
      <alignment horizontal="right"/>
    </xf>
    <xf numFmtId="0" fontId="3" fillId="2" borderId="1" xfId="0" applyFont="1" applyFill="1" applyBorder="1" applyAlignment="1">
      <alignment horizontal="left" vertical="center"/>
    </xf>
    <xf numFmtId="166" fontId="3" fillId="2" borderId="1" xfId="0" applyNumberFormat="1" applyFont="1" applyFill="1" applyBorder="1" applyAlignment="1">
      <alignment horizontal="right" vertical="center"/>
    </xf>
    <xf numFmtId="166" fontId="3" fillId="2" borderId="0" xfId="0" applyNumberFormat="1" applyFont="1" applyFill="1" applyAlignment="1">
      <alignment horizontal="right" vertical="center"/>
    </xf>
    <xf numFmtId="165" fontId="5" fillId="0" borderId="2" xfId="0" applyNumberFormat="1" applyFont="1" applyBorder="1" applyAlignment="1">
      <alignment horizontal="right" vertical="center"/>
    </xf>
    <xf numFmtId="0" fontId="4" fillId="5" borderId="0" xfId="0" applyFont="1" applyFill="1" applyAlignment="1">
      <alignment vertical="center"/>
    </xf>
    <xf numFmtId="165" fontId="4" fillId="5" borderId="0" xfId="0" applyNumberFormat="1" applyFont="1" applyFill="1" applyAlignment="1">
      <alignment vertical="center"/>
    </xf>
    <xf numFmtId="0" fontId="3" fillId="6" borderId="3" xfId="0" applyFont="1" applyFill="1" applyBorder="1" applyAlignment="1">
      <alignment horizontal="left" vertical="center"/>
    </xf>
    <xf numFmtId="165" fontId="1" fillId="6" borderId="3" xfId="0" applyNumberFormat="1" applyFont="1" applyFill="1" applyBorder="1" applyAlignment="1">
      <alignment horizontal="right" vertical="center"/>
    </xf>
    <xf numFmtId="165" fontId="1" fillId="6" borderId="3" xfId="0" applyNumberFormat="1" applyFont="1" applyFill="1" applyBorder="1" applyAlignment="1">
      <alignment horizontal="right"/>
    </xf>
    <xf numFmtId="165" fontId="5" fillId="6" borderId="3" xfId="0" applyNumberFormat="1" applyFont="1" applyFill="1" applyBorder="1" applyAlignment="1">
      <alignment horizontal="right" vertical="center"/>
    </xf>
    <xf numFmtId="0" fontId="3" fillId="0" borderId="0" xfId="0" applyFont="1" applyAlignment="1">
      <alignment horizontal="left" vertical="center"/>
    </xf>
    <xf numFmtId="165" fontId="6" fillId="0" borderId="0" xfId="0" applyNumberFormat="1" applyFont="1" applyAlignment="1">
      <alignment horizontal="right" vertical="center"/>
    </xf>
    <xf numFmtId="165" fontId="8" fillId="0" borderId="4" xfId="0" applyNumberFormat="1" applyFont="1" applyBorder="1" applyAlignment="1">
      <alignment horizontal="right" vertical="center"/>
    </xf>
    <xf numFmtId="0" fontId="9" fillId="0" borderId="0" xfId="0" applyFont="1"/>
    <xf numFmtId="0" fontId="3" fillId="6" borderId="0" xfId="0" applyFont="1" applyFill="1" applyAlignment="1">
      <alignment horizontal="left" vertical="center"/>
    </xf>
    <xf numFmtId="165" fontId="1" fillId="6" borderId="0" xfId="0" applyNumberFormat="1" applyFont="1" applyFill="1" applyAlignment="1">
      <alignment horizontal="right" vertical="center"/>
    </xf>
    <xf numFmtId="165" fontId="1" fillId="6" borderId="0" xfId="0" applyNumberFormat="1" applyFont="1" applyFill="1" applyAlignment="1">
      <alignment horizontal="right"/>
    </xf>
    <xf numFmtId="165" fontId="8" fillId="6" borderId="3" xfId="0" applyNumberFormat="1" applyFont="1" applyFill="1" applyBorder="1" applyAlignment="1">
      <alignment horizontal="right" vertical="center"/>
    </xf>
    <xf numFmtId="165" fontId="8" fillId="6" borderId="3" xfId="0" applyNumberFormat="1" applyFont="1" applyFill="1" applyBorder="1" applyAlignment="1">
      <alignment horizontal="right"/>
    </xf>
    <xf numFmtId="165" fontId="8" fillId="0" borderId="0" xfId="0" applyNumberFormat="1" applyFont="1" applyAlignment="1">
      <alignment horizontal="right"/>
    </xf>
    <xf numFmtId="165" fontId="8" fillId="0" borderId="4" xfId="0" applyNumberFormat="1" applyFont="1" applyBorder="1" applyAlignment="1">
      <alignment horizontal="right"/>
    </xf>
    <xf numFmtId="165" fontId="8" fillId="0" borderId="5" xfId="0" applyNumberFormat="1" applyFont="1" applyBorder="1" applyAlignment="1">
      <alignment horizontal="right"/>
    </xf>
    <xf numFmtId="3" fontId="5" fillId="0" borderId="0" xfId="0" applyNumberFormat="1" applyFont="1" applyAlignment="1">
      <alignment horizontal="right" vertical="center"/>
    </xf>
    <xf numFmtId="3" fontId="1" fillId="6" borderId="3" xfId="0" applyNumberFormat="1" applyFont="1" applyFill="1" applyBorder="1" applyAlignment="1">
      <alignment horizontal="right" vertical="center"/>
    </xf>
    <xf numFmtId="3" fontId="8" fillId="0" borderId="4" xfId="0" applyNumberFormat="1" applyFont="1" applyBorder="1" applyAlignment="1">
      <alignment horizontal="right" vertical="center"/>
    </xf>
    <xf numFmtId="4" fontId="5" fillId="0" borderId="0" xfId="0" applyNumberFormat="1" applyFont="1" applyAlignment="1">
      <alignment horizontal="right" vertical="center"/>
    </xf>
    <xf numFmtId="3" fontId="5" fillId="0" borderId="0" xfId="0" applyNumberFormat="1" applyFont="1" applyAlignment="1">
      <alignment horizontal="right"/>
    </xf>
    <xf numFmtId="3" fontId="5" fillId="6" borderId="3" xfId="0" applyNumberFormat="1" applyFont="1" applyFill="1" applyBorder="1" applyAlignment="1">
      <alignment horizontal="right" vertical="center"/>
    </xf>
    <xf numFmtId="3" fontId="1" fillId="6" borderId="3" xfId="0" applyNumberFormat="1" applyFont="1" applyFill="1" applyBorder="1" applyAlignment="1">
      <alignment horizontal="right"/>
    </xf>
    <xf numFmtId="3" fontId="0" fillId="0" borderId="0" xfId="0" applyNumberFormat="1"/>
    <xf numFmtId="167" fontId="5" fillId="0" borderId="0" xfId="1" applyNumberFormat="1" applyFont="1" applyAlignment="1">
      <alignment horizontal="right"/>
    </xf>
    <xf numFmtId="167" fontId="8" fillId="0" borderId="0" xfId="1" applyNumberFormat="1" applyFont="1" applyAlignment="1">
      <alignment horizontal="right"/>
    </xf>
    <xf numFmtId="0" fontId="11" fillId="0" borderId="0" xfId="0" applyFont="1" applyAlignment="1">
      <alignment horizontal="left" vertical="center"/>
    </xf>
    <xf numFmtId="0" fontId="12" fillId="0" borderId="0" xfId="0" applyFont="1"/>
    <xf numFmtId="168" fontId="5" fillId="0" borderId="0" xfId="0" applyNumberFormat="1" applyFont="1" applyAlignment="1">
      <alignment horizontal="right" vertical="center"/>
    </xf>
    <xf numFmtId="167" fontId="5" fillId="0" borderId="0" xfId="1" applyNumberFormat="1" applyFont="1" applyAlignment="1">
      <alignment horizontal="right" vertical="center"/>
    </xf>
    <xf numFmtId="169" fontId="5" fillId="0" borderId="0" xfId="0" applyNumberFormat="1" applyFont="1" applyAlignment="1">
      <alignment horizontal="right" vertical="center"/>
    </xf>
    <xf numFmtId="167" fontId="8" fillId="0" borderId="0" xfId="1" applyNumberFormat="1" applyFont="1" applyAlignment="1">
      <alignment horizontal="right" vertical="center"/>
    </xf>
    <xf numFmtId="10" fontId="8" fillId="0" borderId="0" xfId="1" applyNumberFormat="1" applyFont="1" applyAlignment="1">
      <alignment horizontal="right" vertical="center"/>
    </xf>
    <xf numFmtId="0" fontId="9" fillId="0" borderId="0" xfId="0" applyFont="1" applyAlignment="1">
      <alignment horizontal="right"/>
    </xf>
    <xf numFmtId="167" fontId="0" fillId="0" borderId="0" xfId="1" applyNumberFormat="1" applyFont="1"/>
    <xf numFmtId="165" fontId="14" fillId="0" borderId="0" xfId="0" applyNumberFormat="1" applyFont="1" applyAlignment="1">
      <alignment horizontal="right"/>
    </xf>
    <xf numFmtId="0" fontId="17" fillId="3" borderId="0" xfId="0" applyFont="1" applyFill="1" applyAlignment="1">
      <alignment horizontal="left" vertical="center"/>
    </xf>
    <xf numFmtId="0" fontId="0" fillId="0" borderId="0" xfId="0" applyAlignment="1">
      <alignment vertical="center"/>
    </xf>
    <xf numFmtId="0" fontId="18" fillId="2" borderId="0" xfId="0" applyFont="1" applyFill="1" applyAlignment="1">
      <alignment horizontal="center" vertical="center"/>
    </xf>
    <xf numFmtId="165" fontId="19" fillId="0" borderId="0" xfId="0" applyNumberFormat="1" applyFont="1" applyAlignment="1">
      <alignment vertical="center"/>
    </xf>
    <xf numFmtId="0" fontId="18" fillId="0" borderId="0" xfId="0" applyFont="1" applyAlignment="1">
      <alignment horizontal="left" vertical="center"/>
    </xf>
    <xf numFmtId="0" fontId="20" fillId="0" borderId="0" xfId="0" applyFont="1" applyAlignment="1">
      <alignment horizontal="left"/>
    </xf>
    <xf numFmtId="165" fontId="19" fillId="0" borderId="0" xfId="0" applyNumberFormat="1" applyFont="1" applyAlignment="1">
      <alignment horizontal="right"/>
    </xf>
    <xf numFmtId="0" fontId="18" fillId="0" borderId="6" xfId="0" applyFont="1" applyBorder="1"/>
    <xf numFmtId="165" fontId="20" fillId="0" borderId="6" xfId="0" applyNumberFormat="1" applyFont="1" applyBorder="1" applyAlignment="1">
      <alignment horizontal="right"/>
    </xf>
    <xf numFmtId="165" fontId="5" fillId="0" borderId="4" xfId="0" applyNumberFormat="1" applyFont="1" applyBorder="1" applyAlignment="1">
      <alignment horizontal="right"/>
    </xf>
    <xf numFmtId="0" fontId="10" fillId="0" borderId="0" xfId="3"/>
    <xf numFmtId="165" fontId="0" fillId="0" borderId="0" xfId="0" applyNumberFormat="1"/>
    <xf numFmtId="0" fontId="17" fillId="3" borderId="0" xfId="3" applyFont="1" applyFill="1" applyAlignment="1">
      <alignment horizontal="left" vertical="center"/>
    </xf>
    <xf numFmtId="0" fontId="10" fillId="0" borderId="0" xfId="3" applyAlignment="1">
      <alignment vertical="center"/>
    </xf>
    <xf numFmtId="0" fontId="18" fillId="2" borderId="0" xfId="3" applyFont="1" applyFill="1" applyAlignment="1">
      <alignment horizontal="center" vertical="center" wrapText="1"/>
    </xf>
    <xf numFmtId="0" fontId="18" fillId="0" borderId="0" xfId="3" applyFont="1" applyAlignment="1">
      <alignment horizontal="left" vertical="center" wrapText="1"/>
    </xf>
    <xf numFmtId="165" fontId="19" fillId="0" borderId="0" xfId="3" applyNumberFormat="1" applyFont="1" applyAlignment="1">
      <alignment vertical="center" wrapText="1"/>
    </xf>
    <xf numFmtId="165" fontId="19" fillId="0" borderId="0" xfId="3" applyNumberFormat="1" applyFont="1" applyAlignment="1">
      <alignment vertical="center"/>
    </xf>
    <xf numFmtId="0" fontId="22" fillId="0" borderId="0" xfId="3" applyFont="1" applyAlignment="1">
      <alignment horizontal="left" vertical="center" wrapText="1"/>
    </xf>
    <xf numFmtId="167" fontId="0" fillId="0" borderId="0" xfId="4" applyNumberFormat="1" applyFont="1" applyAlignment="1">
      <alignment vertical="center"/>
    </xf>
    <xf numFmtId="0" fontId="9" fillId="0" borderId="0" xfId="3" applyFont="1" applyAlignment="1">
      <alignment vertical="center"/>
    </xf>
    <xf numFmtId="165" fontId="10" fillId="0" borderId="4" xfId="3" applyNumberFormat="1" applyBorder="1" applyAlignment="1">
      <alignment vertical="center"/>
    </xf>
    <xf numFmtId="165" fontId="10" fillId="0" borderId="0" xfId="3" applyNumberFormat="1"/>
    <xf numFmtId="165" fontId="23" fillId="0" borderId="4" xfId="3" applyNumberFormat="1" applyFont="1" applyBorder="1" applyAlignment="1">
      <alignment vertical="center"/>
    </xf>
    <xf numFmtId="0" fontId="24" fillId="0" borderId="0" xfId="5"/>
    <xf numFmtId="0" fontId="0" fillId="0" borderId="7" xfId="0" applyBorder="1"/>
    <xf numFmtId="0" fontId="0" fillId="7" borderId="0" xfId="0" applyFill="1"/>
    <xf numFmtId="170" fontId="0" fillId="0" borderId="0" xfId="6" applyNumberFormat="1" applyFont="1"/>
    <xf numFmtId="170" fontId="0" fillId="0" borderId="7" xfId="0" applyNumberFormat="1" applyBorder="1"/>
    <xf numFmtId="0" fontId="9" fillId="0" borderId="0" xfId="0" applyFont="1" applyAlignment="1">
      <alignment vertical="center"/>
    </xf>
    <xf numFmtId="0" fontId="0" fillId="0" borderId="7" xfId="0" applyBorder="1" applyAlignment="1">
      <alignment vertical="center"/>
    </xf>
    <xf numFmtId="165" fontId="23" fillId="0" borderId="6" xfId="0" applyNumberFormat="1" applyFont="1" applyBorder="1" applyAlignment="1">
      <alignment horizontal="right"/>
    </xf>
    <xf numFmtId="0" fontId="9"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165" fontId="0" fillId="0" borderId="7" xfId="0" applyNumberFormat="1" applyBorder="1" applyAlignment="1">
      <alignment vertical="center"/>
    </xf>
    <xf numFmtId="0" fontId="9" fillId="0" borderId="0" xfId="0" applyFont="1" applyAlignment="1">
      <alignment horizontal="right" vertical="center" wrapText="1"/>
    </xf>
    <xf numFmtId="165" fontId="23" fillId="0" borderId="0" xfId="0" applyNumberFormat="1" applyFont="1" applyAlignment="1">
      <alignment vertical="center"/>
    </xf>
    <xf numFmtId="165" fontId="5" fillId="0" borderId="4" xfId="0" applyNumberFormat="1" applyFont="1" applyBorder="1" applyAlignment="1">
      <alignment horizontal="right" vertical="center"/>
    </xf>
    <xf numFmtId="3" fontId="5" fillId="0" borderId="4" xfId="0" applyNumberFormat="1" applyFont="1" applyBorder="1" applyAlignment="1">
      <alignment horizontal="right" vertical="center"/>
    </xf>
    <xf numFmtId="171" fontId="19" fillId="0" borderId="0" xfId="0" applyNumberFormat="1" applyFont="1" applyAlignment="1">
      <alignment wrapText="1"/>
    </xf>
    <xf numFmtId="171" fontId="20" fillId="0" borderId="0" xfId="0" applyNumberFormat="1" applyFont="1" applyAlignment="1">
      <alignment wrapText="1"/>
    </xf>
    <xf numFmtId="0" fontId="9" fillId="0" borderId="7" xfId="0" applyFont="1" applyBorder="1"/>
    <xf numFmtId="171" fontId="19" fillId="0" borderId="7" xfId="0" applyNumberFormat="1" applyFont="1" applyBorder="1" applyAlignment="1">
      <alignment wrapText="1"/>
    </xf>
    <xf numFmtId="171" fontId="0" fillId="0" borderId="7" xfId="0" applyNumberFormat="1" applyBorder="1" applyAlignment="1">
      <alignment wrapText="1"/>
    </xf>
    <xf numFmtId="171" fontId="20" fillId="0" borderId="7" xfId="0" applyNumberFormat="1" applyFont="1" applyBorder="1" applyAlignment="1">
      <alignment wrapText="1"/>
    </xf>
    <xf numFmtId="173" fontId="20" fillId="0" borderId="7" xfId="0" applyNumberFormat="1" applyFont="1" applyBorder="1" applyAlignment="1">
      <alignment wrapText="1"/>
    </xf>
    <xf numFmtId="172" fontId="0" fillId="0" borderId="0" xfId="0" applyNumberFormat="1"/>
    <xf numFmtId="0" fontId="0" fillId="0" borderId="4" xfId="0" applyBorder="1"/>
    <xf numFmtId="174" fontId="0" fillId="0" borderId="0" xfId="0" applyNumberFormat="1"/>
    <xf numFmtId="168" fontId="20" fillId="0" borderId="4" xfId="0" applyNumberFormat="1" applyFont="1" applyBorder="1" applyAlignment="1">
      <alignment wrapText="1"/>
    </xf>
    <xf numFmtId="168" fontId="19" fillId="0" borderId="4" xfId="0" applyNumberFormat="1" applyFont="1" applyBorder="1" applyAlignment="1">
      <alignment wrapText="1"/>
    </xf>
    <xf numFmtId="175" fontId="0" fillId="0" borderId="0" xfId="6" applyNumberFormat="1" applyFont="1"/>
    <xf numFmtId="167" fontId="23" fillId="0" borderId="0" xfId="1" applyNumberFormat="1" applyFont="1"/>
    <xf numFmtId="173" fontId="0" fillId="0" borderId="0" xfId="6" applyNumberFormat="1" applyFont="1"/>
    <xf numFmtId="167" fontId="0" fillId="0" borderId="0" xfId="0" applyNumberFormat="1"/>
    <xf numFmtId="0" fontId="0" fillId="0" borderId="0" xfId="0" applyAlignment="1">
      <alignment vertical="top" wrapText="1"/>
    </xf>
    <xf numFmtId="0" fontId="26" fillId="0" borderId="0" xfId="0" applyFont="1" applyAlignment="1">
      <alignment vertical="top"/>
    </xf>
    <xf numFmtId="0" fontId="26" fillId="0" borderId="8" xfId="0" applyFont="1" applyBorder="1" applyAlignment="1">
      <alignment vertical="top"/>
    </xf>
    <xf numFmtId="0" fontId="27" fillId="0" borderId="0" xfId="0" applyFont="1" applyAlignment="1">
      <alignment horizontal="left" vertical="top" wrapText="1"/>
    </xf>
    <xf numFmtId="0" fontId="28" fillId="0" borderId="0" xfId="0" applyFont="1" applyAlignment="1">
      <alignment vertical="top" wrapText="1"/>
    </xf>
    <xf numFmtId="165" fontId="28" fillId="0" borderId="0" xfId="0" applyNumberFormat="1" applyFont="1" applyAlignment="1">
      <alignment vertical="top" wrapText="1"/>
    </xf>
    <xf numFmtId="176" fontId="28" fillId="0" borderId="0" xfId="0" applyNumberFormat="1" applyFont="1" applyAlignment="1">
      <alignment vertical="top" wrapText="1"/>
    </xf>
    <xf numFmtId="0" fontId="28" fillId="0" borderId="0" xfId="0" applyFont="1" applyAlignment="1">
      <alignment horizontal="left" vertical="top" wrapText="1"/>
    </xf>
    <xf numFmtId="167" fontId="28" fillId="0" borderId="0" xfId="0" applyNumberFormat="1" applyFont="1" applyAlignment="1">
      <alignment vertical="top" wrapText="1"/>
    </xf>
    <xf numFmtId="0" fontId="29" fillId="0" borderId="0" xfId="0" applyFont="1" applyAlignment="1">
      <alignment vertical="top"/>
    </xf>
    <xf numFmtId="167" fontId="10" fillId="0" borderId="0" xfId="1" applyNumberFormat="1" applyFont="1"/>
    <xf numFmtId="167" fontId="23" fillId="0" borderId="0" xfId="4" applyNumberFormat="1" applyFont="1" applyAlignment="1">
      <alignment vertical="center"/>
    </xf>
    <xf numFmtId="167" fontId="10" fillId="0" borderId="0" xfId="1" applyNumberFormat="1"/>
    <xf numFmtId="0" fontId="9" fillId="0" borderId="0" xfId="3" applyFont="1" applyAlignment="1">
      <alignment horizontal="right"/>
    </xf>
    <xf numFmtId="167" fontId="10" fillId="8" borderId="10" xfId="1" applyNumberFormat="1" applyFill="1" applyBorder="1"/>
    <xf numFmtId="0" fontId="10" fillId="0" borderId="9" xfId="3" applyBorder="1"/>
    <xf numFmtId="0" fontId="10" fillId="0" borderId="11" xfId="3" applyBorder="1"/>
    <xf numFmtId="0" fontId="18" fillId="2" borderId="0" xfId="0" applyFont="1" applyFill="1" applyAlignment="1">
      <alignment horizontal="left" vertical="top" wrapText="1"/>
    </xf>
    <xf numFmtId="0" fontId="9" fillId="0" borderId="0" xfId="0" applyFont="1" applyAlignment="1">
      <alignment wrapText="1"/>
    </xf>
    <xf numFmtId="0" fontId="7" fillId="3" borderId="0" xfId="0" applyFont="1" applyFill="1" applyAlignment="1">
      <alignment horizontal="left" vertical="center"/>
    </xf>
    <xf numFmtId="0" fontId="2" fillId="4" borderId="0" xfId="0" applyFont="1" applyFill="1" applyAlignment="1">
      <alignment horizontal="left" vertical="center" wrapText="1"/>
    </xf>
    <xf numFmtId="0" fontId="2" fillId="4" borderId="0" xfId="0" applyFont="1" applyFill="1" applyAlignment="1">
      <alignment vertical="center" wrapText="1"/>
    </xf>
    <xf numFmtId="0" fontId="4" fillId="5" borderId="0" xfId="0" applyFont="1" applyFill="1" applyAlignment="1">
      <alignment horizontal="left" vertical="center"/>
    </xf>
    <xf numFmtId="165" fontId="4" fillId="5" borderId="0" xfId="0" applyNumberFormat="1" applyFont="1" applyFill="1" applyAlignment="1">
      <alignment horizontal="left" vertical="center"/>
    </xf>
    <xf numFmtId="0" fontId="17" fillId="3" borderId="0" xfId="0" applyFont="1" applyFill="1" applyAlignment="1">
      <alignment horizontal="left" vertical="center"/>
    </xf>
    <xf numFmtId="0" fontId="17" fillId="3" borderId="0" xfId="3" applyFont="1" applyFill="1" applyAlignment="1">
      <alignment horizontal="left" vertical="center"/>
    </xf>
    <xf numFmtId="0" fontId="21" fillId="3" borderId="0" xfId="0" applyFont="1" applyFill="1" applyAlignment="1">
      <alignment horizontal="left" vertical="center"/>
    </xf>
    <xf numFmtId="0" fontId="25" fillId="5" borderId="0" xfId="0" applyFont="1" applyFill="1" applyAlignment="1">
      <alignment horizontal="left" vertical="center" wrapText="1"/>
    </xf>
  </cellXfs>
  <cellStyles count="7">
    <cellStyle name="Comma" xfId="6" builtinId="3"/>
    <cellStyle name="Hyperlink" xfId="5" builtinId="8"/>
    <cellStyle name="Normal" xfId="0" builtinId="0"/>
    <cellStyle name="Normal 2" xfId="3" xr:uid="{7E6F59C5-8E63-4D41-B238-6BE770B8B429}"/>
    <cellStyle name="Normal 4" xfId="2" xr:uid="{A6FC857C-E55B-431E-A834-E0F7FFCA818E}"/>
    <cellStyle name="Percent" xfId="1" builtinId="5"/>
    <cellStyle name="Percent 2" xfId="4" xr:uid="{DF77BA88-7115-4049-B28A-FE14DEBB0C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asymco.com/2026/04/24/the-composition-of-active-devices/?utm_source=chatgpt.com" TargetMode="External"/><Relationship Id="rId3" Type="http://schemas.openxmlformats.org/officeDocument/2006/relationships/hyperlink" Target="https://backlinko.com/iphone-users?" TargetMode="External"/><Relationship Id="rId7" Type="http://schemas.openxmlformats.org/officeDocument/2006/relationships/hyperlink" Target="https://asymco.com/2026/04/24/the-composition-of-active-devices/?utm_source=chatgpt.com" TargetMode="External"/><Relationship Id="rId12" Type="http://schemas.openxmlformats.org/officeDocument/2006/relationships/comments" Target="../comments2.xml"/><Relationship Id="rId2" Type="http://schemas.openxmlformats.org/officeDocument/2006/relationships/hyperlink" Target="https://backlinko.com/iphone-users?" TargetMode="External"/><Relationship Id="rId1" Type="http://schemas.openxmlformats.org/officeDocument/2006/relationships/hyperlink" Target="https://backlinko.com/iphone-users?" TargetMode="External"/><Relationship Id="rId6" Type="http://schemas.openxmlformats.org/officeDocument/2006/relationships/hyperlink" Target="https://reportify-1252068037.cos.ap-beijing.myqcloud.com/media/production/s_0132ddf6_0132ddf6f76452b09a6eaf33303689a1.pdf" TargetMode="External"/><Relationship Id="rId11" Type="http://schemas.openxmlformats.org/officeDocument/2006/relationships/vmlDrawing" Target="../drawings/vmlDrawing2.vml"/><Relationship Id="rId5" Type="http://schemas.openxmlformats.org/officeDocument/2006/relationships/hyperlink" Target="https://reportify-1252068037.cos.ap-beijing.myqcloud.com/media/production/s_0132ddf6_0132ddf6f76452b09a6eaf33303689a1.pdf" TargetMode="External"/><Relationship Id="rId10" Type="http://schemas.openxmlformats.org/officeDocument/2006/relationships/hyperlink" Target="https://www.businessofapps.com/data/apple-statistics/?utm_source=chatgpt.com" TargetMode="External"/><Relationship Id="rId4" Type="http://schemas.openxmlformats.org/officeDocument/2006/relationships/hyperlink" Target="https://backlinko.com/iphone-users?" TargetMode="External"/><Relationship Id="rId9" Type="http://schemas.openxmlformats.org/officeDocument/2006/relationships/hyperlink" Target="https://www.businessofapps.com/data/apple-statistics/?utm_source=chatgpt.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usinessofapps.com/data/apple-statistics/?utm_source=chatgpt.com"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reuters.com/business/retail-consumer/apple-expected-unveil-first-folding-phone-with-new-ceo-ternus-command-2026-09-09/" TargetMode="External"/><Relationship Id="rId1" Type="http://schemas.openxmlformats.org/officeDocument/2006/relationships/hyperlink" Target="https://www.apple.com/newsroom/2026/04/tim-cook-to-become-apple-executive-chairman-john-ternus-to-become-apple-ceo/" TargetMode="Externa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01"/>
  <sheetViews>
    <sheetView tabSelected="1" zoomScale="60" zoomScaleNormal="60" workbookViewId="0">
      <pane xSplit="1" ySplit="4" topLeftCell="B37" activePane="bottomRight" state="frozen"/>
      <selection pane="topRight" activeCell="B1" sqref="B1"/>
      <selection pane="bottomLeft" activeCell="A5" sqref="A5"/>
      <selection pane="bottomRight" activeCell="N65" sqref="N65"/>
    </sheetView>
  </sheetViews>
  <sheetFormatPr defaultRowHeight="13.8"/>
  <cols>
    <col min="1" max="1" width="52" customWidth="1"/>
    <col min="2" max="35" width="12.5" customWidth="1"/>
  </cols>
  <sheetData>
    <row r="1" spans="1:48" ht="19.2" customHeight="1">
      <c r="A1" s="128" t="s">
        <v>0</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row>
    <row r="2" spans="1:48" ht="22.35" customHeight="1">
      <c r="A2" s="129" t="s">
        <v>1</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row>
    <row r="3" spans="1:48">
      <c r="A3" s="4"/>
      <c r="B3" s="2"/>
      <c r="C3" s="2"/>
      <c r="D3" s="2"/>
      <c r="E3" s="2"/>
      <c r="F3" s="2"/>
      <c r="G3" s="2"/>
      <c r="H3" s="2"/>
      <c r="I3" s="2"/>
      <c r="J3" s="2"/>
      <c r="K3" s="2"/>
      <c r="L3" s="2"/>
      <c r="M3" s="2"/>
      <c r="N3" s="2"/>
      <c r="O3" s="2"/>
      <c r="P3" s="2"/>
      <c r="Q3" s="2"/>
      <c r="R3" s="2"/>
      <c r="S3" s="2"/>
      <c r="T3" s="2"/>
      <c r="U3" s="2"/>
      <c r="V3" s="2"/>
      <c r="W3" s="2"/>
      <c r="X3" s="1"/>
      <c r="Y3" s="1"/>
      <c r="Z3" s="1"/>
      <c r="AA3" s="1"/>
      <c r="AB3" s="1"/>
      <c r="AC3" s="1"/>
      <c r="AD3" s="1"/>
      <c r="AE3" s="1"/>
      <c r="AF3" s="1"/>
      <c r="AG3" s="1"/>
      <c r="AH3" s="1"/>
      <c r="AI3" s="1"/>
    </row>
    <row r="4" spans="1:48">
      <c r="A4" s="11" t="s">
        <v>2</v>
      </c>
      <c r="B4" s="12">
        <v>1992</v>
      </c>
      <c r="C4" s="12">
        <v>1993</v>
      </c>
      <c r="D4" s="12">
        <v>1994</v>
      </c>
      <c r="E4" s="12">
        <v>1995</v>
      </c>
      <c r="F4" s="12">
        <v>1996</v>
      </c>
      <c r="G4" s="12">
        <v>1997</v>
      </c>
      <c r="H4" s="12">
        <v>1998</v>
      </c>
      <c r="I4" s="12">
        <v>1999</v>
      </c>
      <c r="J4" s="12">
        <v>2000</v>
      </c>
      <c r="K4" s="12">
        <v>2001</v>
      </c>
      <c r="L4" s="12">
        <v>2002</v>
      </c>
      <c r="M4" s="12">
        <v>2003</v>
      </c>
      <c r="N4" s="12">
        <v>2004</v>
      </c>
      <c r="O4" s="12">
        <v>2005</v>
      </c>
      <c r="P4" s="12">
        <v>2006</v>
      </c>
      <c r="Q4" s="12">
        <v>2007</v>
      </c>
      <c r="R4" s="12">
        <v>2008</v>
      </c>
      <c r="S4" s="12">
        <v>2009</v>
      </c>
      <c r="T4" s="12">
        <v>2010</v>
      </c>
      <c r="U4" s="12">
        <v>2011</v>
      </c>
      <c r="V4" s="12">
        <v>2012</v>
      </c>
      <c r="W4" s="12">
        <v>2013</v>
      </c>
      <c r="X4" s="13">
        <v>2014</v>
      </c>
      <c r="Y4" s="13">
        <v>2015</v>
      </c>
      <c r="Z4" s="13">
        <v>2016</v>
      </c>
      <c r="AA4" s="13">
        <v>2017</v>
      </c>
      <c r="AB4" s="13">
        <v>2018</v>
      </c>
      <c r="AC4" s="13">
        <v>2019</v>
      </c>
      <c r="AD4" s="13">
        <v>2020</v>
      </c>
      <c r="AE4" s="13">
        <v>2021</v>
      </c>
      <c r="AF4" s="13">
        <v>2022</v>
      </c>
      <c r="AG4" s="13">
        <v>2023</v>
      </c>
      <c r="AH4" s="13">
        <v>2024</v>
      </c>
      <c r="AI4" s="13">
        <v>2025</v>
      </c>
    </row>
    <row r="5" spans="1:48">
      <c r="A5" s="4"/>
      <c r="B5" s="3"/>
      <c r="C5" s="3"/>
      <c r="D5" s="3"/>
      <c r="E5" s="3"/>
      <c r="F5" s="3"/>
      <c r="G5" s="3"/>
      <c r="H5" s="3"/>
      <c r="I5" s="3"/>
      <c r="J5" s="3"/>
      <c r="K5" s="3"/>
      <c r="L5" s="3"/>
      <c r="M5" s="3"/>
      <c r="N5" s="3"/>
      <c r="O5" s="3"/>
      <c r="P5" s="3"/>
      <c r="Q5" s="3"/>
      <c r="R5" s="3"/>
      <c r="S5" s="3"/>
      <c r="T5" s="3"/>
      <c r="U5" s="3"/>
      <c r="V5" s="3"/>
      <c r="W5" s="3"/>
      <c r="X5" s="1"/>
      <c r="Y5" s="1"/>
      <c r="Z5" s="1"/>
      <c r="AA5" s="1"/>
      <c r="AB5" s="1"/>
      <c r="AC5" s="1"/>
      <c r="AD5" s="1"/>
      <c r="AE5" s="1"/>
      <c r="AF5" s="1"/>
      <c r="AG5" s="1"/>
      <c r="AH5" s="1"/>
      <c r="AI5" s="1"/>
    </row>
    <row r="6" spans="1:48" ht="15.15" customHeight="1">
      <c r="A6" s="131" t="s">
        <v>3</v>
      </c>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L6" s="50" t="s">
        <v>152</v>
      </c>
      <c r="AM6" s="50" t="s">
        <v>149</v>
      </c>
      <c r="AN6" s="50"/>
      <c r="AO6" s="50" t="s">
        <v>153</v>
      </c>
      <c r="AP6" s="50" t="s">
        <v>149</v>
      </c>
    </row>
    <row r="7" spans="1:48">
      <c r="A7" s="4" t="s">
        <v>4</v>
      </c>
      <c r="B7" s="6">
        <v>0</v>
      </c>
      <c r="C7" s="6">
        <v>0</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8">
        <v>0</v>
      </c>
      <c r="Y7" s="8">
        <v>0</v>
      </c>
      <c r="Z7" s="8">
        <v>0</v>
      </c>
      <c r="AA7" s="8">
        <v>0</v>
      </c>
      <c r="AB7" s="8">
        <v>0</v>
      </c>
      <c r="AC7" s="8">
        <v>213883</v>
      </c>
      <c r="AD7" s="8">
        <v>220747</v>
      </c>
      <c r="AE7" s="52">
        <v>297392</v>
      </c>
      <c r="AF7" s="52">
        <v>316199</v>
      </c>
      <c r="AG7" s="52">
        <v>298085</v>
      </c>
      <c r="AH7" s="52">
        <v>294866</v>
      </c>
      <c r="AI7" s="52">
        <v>307003</v>
      </c>
      <c r="AL7" s="51">
        <f>IFERROR((AI7/AD7)^(1/5)-1,"")</f>
        <v>6.8192592176403721E-2</v>
      </c>
      <c r="AM7" s="51">
        <f>IFERROR(PRODUCT(1+AE8,1+AF8,1+AG8,1+AH8,1+AI8)^(1/5)-1,"")</f>
        <v>6.8192592176403943E-2</v>
      </c>
      <c r="AO7" s="51">
        <f>IFERROR((AI7/AF7)^(1/3)-1,"")</f>
        <v>-9.7898452898722566E-3</v>
      </c>
      <c r="AP7" s="51">
        <f>IFERROR(PRODUCT(1+AG8,1+AH8,1+AI8)^(1/3)-1,"")</f>
        <v>-9.7898452898722566E-3</v>
      </c>
    </row>
    <row r="8" spans="1:48">
      <c r="A8" s="43" t="s">
        <v>144</v>
      </c>
      <c r="B8" s="6"/>
      <c r="C8" s="6"/>
      <c r="D8" s="6"/>
      <c r="E8" s="6"/>
      <c r="F8" s="6"/>
      <c r="G8" s="6"/>
      <c r="H8" s="6"/>
      <c r="I8" s="6"/>
      <c r="J8" s="6"/>
      <c r="K8" s="6"/>
      <c r="L8" s="6"/>
      <c r="M8" s="6"/>
      <c r="N8" s="6"/>
      <c r="O8" s="6"/>
      <c r="P8" s="6"/>
      <c r="Q8" s="6"/>
      <c r="R8" s="6"/>
      <c r="S8" s="6"/>
      <c r="T8" s="6"/>
      <c r="U8" s="6"/>
      <c r="V8" s="6"/>
      <c r="W8" s="6"/>
      <c r="X8" s="8"/>
      <c r="Y8" s="8"/>
      <c r="Z8" s="8"/>
      <c r="AA8" s="8"/>
      <c r="AB8" s="8"/>
      <c r="AC8" s="8"/>
      <c r="AD8" s="42">
        <f>IFERROR(AD7/AC7-1,"")</f>
        <v>3.2092312151970948E-2</v>
      </c>
      <c r="AE8" s="42">
        <f t="shared" ref="AE8:AI8" si="0">IFERROR(AE7/AD7-1,"")</f>
        <v>0.34720743656765429</v>
      </c>
      <c r="AF8" s="42">
        <f t="shared" si="0"/>
        <v>6.3239764351428418E-2</v>
      </c>
      <c r="AG8" s="42">
        <f t="shared" si="0"/>
        <v>-5.7286708686618226E-2</v>
      </c>
      <c r="AH8" s="42">
        <f t="shared" si="0"/>
        <v>-1.0798933190197424E-2</v>
      </c>
      <c r="AI8" s="42">
        <f t="shared" si="0"/>
        <v>4.1161069774066972E-2</v>
      </c>
      <c r="AL8" s="51">
        <f>IFERROR((AI9/AD9)^(1/5)-1,"")</f>
        <v>0.15214287250455372</v>
      </c>
      <c r="AM8" s="51">
        <f>IFERROR(PRODUCT(1+AE10,1+AF10,1+AG10,1+AH10,1+AI10)^(1/5)-1,"")</f>
        <v>0.15214287250455372</v>
      </c>
      <c r="AO8" s="51">
        <f>IFERROR((AI9/AF9)^(1/3)-1,"")</f>
        <v>0.1179295469772581</v>
      </c>
      <c r="AP8" s="51">
        <f>IFERROR(PRODUCT(1+AG10,1+AH10,1+AI10)^(1/3)-1,"")</f>
        <v>0.1179295469772581</v>
      </c>
    </row>
    <row r="9" spans="1:48">
      <c r="A9" s="4" t="s">
        <v>5</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8">
        <v>0</v>
      </c>
      <c r="Y9" s="8">
        <v>0</v>
      </c>
      <c r="Z9" s="8">
        <v>0</v>
      </c>
      <c r="AA9" s="8">
        <v>0</v>
      </c>
      <c r="AB9" s="8">
        <v>0</v>
      </c>
      <c r="AC9" s="8">
        <v>46291</v>
      </c>
      <c r="AD9" s="8">
        <v>53768</v>
      </c>
      <c r="AE9" s="52">
        <v>68425</v>
      </c>
      <c r="AF9" s="52">
        <v>78129</v>
      </c>
      <c r="AG9" s="52">
        <v>85200</v>
      </c>
      <c r="AH9" s="52">
        <v>96169</v>
      </c>
      <c r="AI9" s="52">
        <v>109158</v>
      </c>
    </row>
    <row r="10" spans="1:48">
      <c r="A10" s="43" t="s">
        <v>144</v>
      </c>
      <c r="B10" s="6"/>
      <c r="C10" s="6"/>
      <c r="D10" s="6"/>
      <c r="E10" s="6"/>
      <c r="F10" s="6"/>
      <c r="G10" s="6"/>
      <c r="H10" s="6"/>
      <c r="I10" s="6"/>
      <c r="J10" s="6"/>
      <c r="K10" s="6"/>
      <c r="L10" s="6"/>
      <c r="M10" s="6"/>
      <c r="N10" s="6"/>
      <c r="O10" s="6"/>
      <c r="P10" s="6"/>
      <c r="Q10" s="6"/>
      <c r="R10" s="6"/>
      <c r="S10" s="6"/>
      <c r="T10" s="6"/>
      <c r="U10" s="6"/>
      <c r="V10" s="6"/>
      <c r="W10" s="6"/>
      <c r="X10" s="8"/>
      <c r="Y10" s="8"/>
      <c r="Z10" s="8"/>
      <c r="AA10" s="8"/>
      <c r="AB10" s="8"/>
      <c r="AC10" s="8"/>
      <c r="AD10" s="42">
        <f t="shared" ref="AD10:AI10" si="1">IFERROR(AD9/AC9-1,"")</f>
        <v>0.16152167807997242</v>
      </c>
      <c r="AE10" s="42">
        <f t="shared" si="1"/>
        <v>0.27259708376729663</v>
      </c>
      <c r="AF10" s="42">
        <f t="shared" si="1"/>
        <v>0.14181951041286078</v>
      </c>
      <c r="AG10" s="42">
        <f t="shared" si="1"/>
        <v>9.0504166186691215E-2</v>
      </c>
      <c r="AH10" s="42">
        <f t="shared" si="1"/>
        <v>0.12874413145539898</v>
      </c>
      <c r="AI10" s="42">
        <f t="shared" si="1"/>
        <v>0.13506431386413498</v>
      </c>
      <c r="AL10" s="50" t="s">
        <v>148</v>
      </c>
      <c r="AM10" s="50" t="s">
        <v>149</v>
      </c>
      <c r="AN10" s="50"/>
      <c r="AO10" s="50" t="s">
        <v>150</v>
      </c>
      <c r="AP10" s="50" t="s">
        <v>149</v>
      </c>
      <c r="AQ10" s="50"/>
      <c r="AR10" s="50" t="s">
        <v>151</v>
      </c>
      <c r="AS10" s="50" t="s">
        <v>149</v>
      </c>
      <c r="AT10" s="50"/>
      <c r="AU10" s="50" t="s">
        <v>152</v>
      </c>
      <c r="AV10" s="50" t="s">
        <v>149</v>
      </c>
    </row>
    <row r="11" spans="1:48">
      <c r="A11" s="7" t="s">
        <v>6</v>
      </c>
      <c r="B11" s="14">
        <v>7086.5420000000004</v>
      </c>
      <c r="C11" s="14">
        <v>7976.9539999999997</v>
      </c>
      <c r="D11" s="14">
        <v>9188.7479999999996</v>
      </c>
      <c r="E11" s="14">
        <v>11062</v>
      </c>
      <c r="F11" s="14">
        <v>9833</v>
      </c>
      <c r="G11" s="14">
        <v>7081</v>
      </c>
      <c r="H11" s="14">
        <v>5941</v>
      </c>
      <c r="I11" s="14">
        <v>6134</v>
      </c>
      <c r="J11" s="14">
        <v>7983</v>
      </c>
      <c r="K11" s="14">
        <v>5363</v>
      </c>
      <c r="L11" s="14">
        <v>5742</v>
      </c>
      <c r="M11" s="14">
        <v>6207</v>
      </c>
      <c r="N11" s="14">
        <v>8279</v>
      </c>
      <c r="O11" s="14">
        <v>13931</v>
      </c>
      <c r="P11" s="14">
        <v>19315</v>
      </c>
      <c r="Q11" s="14">
        <v>24578</v>
      </c>
      <c r="R11" s="14">
        <v>37491</v>
      </c>
      <c r="S11" s="14">
        <v>42905</v>
      </c>
      <c r="T11" s="14">
        <v>65225</v>
      </c>
      <c r="U11" s="14">
        <v>108249</v>
      </c>
      <c r="V11" s="14">
        <v>156508</v>
      </c>
      <c r="W11" s="9">
        <v>170910</v>
      </c>
      <c r="X11" s="62">
        <v>182795</v>
      </c>
      <c r="Y11" s="62">
        <v>233715</v>
      </c>
      <c r="Z11" s="62">
        <v>215639</v>
      </c>
      <c r="AA11" s="62">
        <v>229234</v>
      </c>
      <c r="AB11" s="62">
        <v>265595</v>
      </c>
      <c r="AC11" s="31">
        <f>AC9+AC7</f>
        <v>260174</v>
      </c>
      <c r="AD11" s="31">
        <f t="shared" ref="AD11:AI11" si="2">AD9+AD7</f>
        <v>274515</v>
      </c>
      <c r="AE11" s="31">
        <f t="shared" si="2"/>
        <v>365817</v>
      </c>
      <c r="AF11" s="31">
        <f t="shared" si="2"/>
        <v>394328</v>
      </c>
      <c r="AG11" s="31">
        <f t="shared" si="2"/>
        <v>383285</v>
      </c>
      <c r="AH11" s="31">
        <f t="shared" si="2"/>
        <v>391035</v>
      </c>
      <c r="AI11" s="31">
        <f t="shared" si="2"/>
        <v>416161</v>
      </c>
      <c r="AL11" s="51">
        <f>IFERROR((AI11/B11)^(1/33)-1,"")</f>
        <v>0.13135999655157371</v>
      </c>
      <c r="AM11" s="51">
        <f>IFERROR(PRODUCT(1+C12,1+D12,1+E12,1+F12,1+G12,1+H12,1+I12,1+J12,1+K12,1+L12,1+M12,1+N12,1+O12,1+P12,1+Q12,1+R12,1+S12,1+T12,1+U12,1+V12,1+W12,1+X12,1+Y12,1+Z12,1+AA12,1+AB12,1+AC12,1+AD12,1+AE12,1+AF12,1+AG12,1+AH12,1+AI12)^(1/33)-1,"")</f>
        <v>0.13135999655157371</v>
      </c>
      <c r="AO11" s="51">
        <f>IFERROR((AI11/O11)^(1/20)-1, "")</f>
        <v>0.18512443983750382</v>
      </c>
      <c r="AP11" s="51">
        <f>IFERROR(PRODUCT(1+P12,1+Q12,1+R12,1+S12,1+T12,1+U12,1+V12,1+W12,1+X12,1+Y12,1+Z12,1+AA12,1+AB12,1+AC12,1+AD12,1+AE12,1+AF12,1+AG12,1+AH12,1+AI12)^(1/20)-1,"")</f>
        <v>0.18512443983750382</v>
      </c>
      <c r="AR11" s="51">
        <f>IFERROR((AI11/Y11)^(1/10)-1,"")</f>
        <v>5.9393927430567706E-2</v>
      </c>
      <c r="AS11" s="51">
        <f>IFERROR(PRODUCT(1+Z12,1+AA12,1+AB12,1+AC12,1+AD12,1+AE12,1+AF12,1+AG12,1+AH12,1+AI12)^(1/10)-1,"")</f>
        <v>5.9393927430567706E-2</v>
      </c>
      <c r="AU11" s="51">
        <f>IFERROR((AI11/AD11)^(1/5)-1,"")</f>
        <v>8.6773549240907411E-2</v>
      </c>
      <c r="AV11" s="51">
        <f>IFERROR(PRODUCT(1+AE12,1+AF12,1+AG12,1+AH12,1+AI12)^(1/5)-1,"")</f>
        <v>8.6773549240907411E-2</v>
      </c>
    </row>
    <row r="12" spans="1:48">
      <c r="A12" s="43" t="s">
        <v>144</v>
      </c>
      <c r="B12" s="6"/>
      <c r="C12" s="42">
        <f t="shared" ref="C12:AI12" si="3">IFERROR(C11/B11-1,"")</f>
        <v>0.1256483063248619</v>
      </c>
      <c r="D12" s="42">
        <f t="shared" si="3"/>
        <v>0.15191187011984764</v>
      </c>
      <c r="E12" s="42">
        <f t="shared" si="3"/>
        <v>0.20386368197277815</v>
      </c>
      <c r="F12" s="42">
        <f t="shared" si="3"/>
        <v>-0.11110106671487974</v>
      </c>
      <c r="G12" s="42">
        <f t="shared" si="3"/>
        <v>-0.27987389403030616</v>
      </c>
      <c r="H12" s="42">
        <f t="shared" si="3"/>
        <v>-0.16099420985736479</v>
      </c>
      <c r="I12" s="42">
        <f t="shared" si="3"/>
        <v>3.2486113448914278E-2</v>
      </c>
      <c r="J12" s="42">
        <f t="shared" si="3"/>
        <v>0.30143462667101395</v>
      </c>
      <c r="K12" s="42">
        <f t="shared" si="3"/>
        <v>-0.32819741951647252</v>
      </c>
      <c r="L12" s="42">
        <f t="shared" si="3"/>
        <v>7.0669401454409808E-2</v>
      </c>
      <c r="M12" s="42">
        <f t="shared" si="3"/>
        <v>8.0982236154649945E-2</v>
      </c>
      <c r="N12" s="42">
        <f t="shared" si="3"/>
        <v>0.33381665861124543</v>
      </c>
      <c r="O12" s="42">
        <f t="shared" si="3"/>
        <v>0.68269114627370464</v>
      </c>
      <c r="P12" s="42">
        <f t="shared" si="3"/>
        <v>0.38647620414902017</v>
      </c>
      <c r="Q12" s="42">
        <f t="shared" si="3"/>
        <v>0.27248252653378202</v>
      </c>
      <c r="R12" s="42">
        <f t="shared" si="3"/>
        <v>0.52538855887378966</v>
      </c>
      <c r="S12" s="42">
        <f t="shared" si="3"/>
        <v>0.14440799125123371</v>
      </c>
      <c r="T12" s="42">
        <f t="shared" si="3"/>
        <v>0.52021908868430256</v>
      </c>
      <c r="U12" s="42">
        <f t="shared" si="3"/>
        <v>0.65962437715599842</v>
      </c>
      <c r="V12" s="42">
        <f t="shared" si="3"/>
        <v>0.44581474193756976</v>
      </c>
      <c r="W12" s="42">
        <f t="shared" si="3"/>
        <v>9.2020855163953197E-2</v>
      </c>
      <c r="X12" s="42">
        <f t="shared" si="3"/>
        <v>6.9539523725937524E-2</v>
      </c>
      <c r="Y12" s="42">
        <f t="shared" si="3"/>
        <v>0.27856341803659834</v>
      </c>
      <c r="Z12" s="42">
        <f t="shared" si="3"/>
        <v>-7.7342061913013738E-2</v>
      </c>
      <c r="AA12" s="42">
        <f t="shared" si="3"/>
        <v>6.304518199398057E-2</v>
      </c>
      <c r="AB12" s="42">
        <f t="shared" si="3"/>
        <v>0.15861957650261305</v>
      </c>
      <c r="AC12" s="42">
        <f t="shared" si="3"/>
        <v>-2.04107758052674E-2</v>
      </c>
      <c r="AD12" s="42">
        <f t="shared" si="3"/>
        <v>5.5120803769784787E-2</v>
      </c>
      <c r="AE12" s="42">
        <f t="shared" si="3"/>
        <v>0.33259384733074704</v>
      </c>
      <c r="AF12" s="42">
        <f t="shared" si="3"/>
        <v>7.7937876041846099E-2</v>
      </c>
      <c r="AG12" s="42">
        <f t="shared" si="3"/>
        <v>-2.800460530319937E-2</v>
      </c>
      <c r="AH12" s="42">
        <f t="shared" si="3"/>
        <v>2.021994077514111E-2</v>
      </c>
      <c r="AI12" s="42">
        <f t="shared" si="3"/>
        <v>6.425511782832749E-2</v>
      </c>
    </row>
    <row r="13" spans="1:48">
      <c r="A13" s="21"/>
      <c r="B13" s="6"/>
      <c r="C13" s="6"/>
      <c r="D13" s="6"/>
      <c r="E13" s="6"/>
      <c r="F13" s="6"/>
      <c r="G13" s="6"/>
      <c r="H13" s="6"/>
      <c r="I13" s="6"/>
      <c r="J13" s="6"/>
      <c r="K13" s="6"/>
      <c r="L13" s="6"/>
      <c r="M13" s="6"/>
      <c r="N13" s="6"/>
      <c r="O13" s="6"/>
      <c r="P13" s="6"/>
      <c r="Q13" s="6"/>
      <c r="R13" s="6"/>
      <c r="S13" s="6"/>
      <c r="T13" s="6"/>
      <c r="U13" s="6"/>
      <c r="V13" s="6"/>
      <c r="W13" s="22"/>
      <c r="X13" s="8"/>
      <c r="Y13" s="8"/>
      <c r="Z13" s="8"/>
      <c r="AA13" s="8"/>
      <c r="AB13" s="8"/>
      <c r="AC13" s="8"/>
      <c r="AD13" s="8"/>
      <c r="AE13" s="8"/>
      <c r="AF13" s="8"/>
      <c r="AG13" s="8"/>
      <c r="AH13" s="8"/>
      <c r="AI13" s="8"/>
    </row>
    <row r="14" spans="1:48">
      <c r="A14" s="4" t="s">
        <v>7</v>
      </c>
      <c r="B14" s="6">
        <v>0</v>
      </c>
      <c r="C14" s="6">
        <v>0</v>
      </c>
      <c r="D14" s="6">
        <v>0</v>
      </c>
      <c r="E14" s="6">
        <v>0</v>
      </c>
      <c r="F14" s="6">
        <v>0</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8">
        <v>0</v>
      </c>
      <c r="Y14" s="8">
        <v>0</v>
      </c>
      <c r="Z14" s="8">
        <v>0</v>
      </c>
      <c r="AA14" s="8">
        <v>0</v>
      </c>
      <c r="AB14" s="8">
        <v>0</v>
      </c>
      <c r="AC14" s="8">
        <v>144996</v>
      </c>
      <c r="AD14" s="8">
        <v>151286</v>
      </c>
      <c r="AE14" s="8">
        <v>192266</v>
      </c>
      <c r="AF14" s="8">
        <v>201471</v>
      </c>
      <c r="AG14" s="8">
        <v>189282</v>
      </c>
      <c r="AH14" s="8">
        <v>185233</v>
      </c>
      <c r="AI14" s="8">
        <v>194116</v>
      </c>
    </row>
    <row r="15" spans="1:48">
      <c r="A15" s="43" t="s">
        <v>144</v>
      </c>
      <c r="B15" s="6"/>
      <c r="C15" s="6"/>
      <c r="D15" s="6"/>
      <c r="E15" s="6"/>
      <c r="F15" s="6"/>
      <c r="G15" s="6"/>
      <c r="H15" s="6"/>
      <c r="I15" s="6"/>
      <c r="J15" s="6"/>
      <c r="K15" s="6"/>
      <c r="L15" s="6"/>
      <c r="M15" s="6"/>
      <c r="N15" s="6"/>
      <c r="O15" s="6"/>
      <c r="P15" s="6"/>
      <c r="Q15" s="6"/>
      <c r="R15" s="6"/>
      <c r="S15" s="6"/>
      <c r="T15" s="6"/>
      <c r="U15" s="6"/>
      <c r="V15" s="6"/>
      <c r="W15" s="6"/>
      <c r="X15" s="8"/>
      <c r="Y15" s="8"/>
      <c r="Z15" s="8"/>
      <c r="AA15" s="8"/>
      <c r="AB15" s="8"/>
      <c r="AC15" s="8"/>
      <c r="AD15" s="42">
        <f t="shared" ref="AD15:AI15" si="4">IFERROR(AD14/AC14-1,"")</f>
        <v>4.3380507048470296E-2</v>
      </c>
      <c r="AE15" s="42">
        <f t="shared" si="4"/>
        <v>0.27087767539626939</v>
      </c>
      <c r="AF15" s="42">
        <f t="shared" si="4"/>
        <v>4.7876379599097074E-2</v>
      </c>
      <c r="AG15" s="42">
        <f t="shared" si="4"/>
        <v>-6.0500022335720827E-2</v>
      </c>
      <c r="AH15" s="42">
        <f t="shared" si="4"/>
        <v>-2.1391363151276876E-2</v>
      </c>
      <c r="AI15" s="42">
        <f t="shared" si="4"/>
        <v>4.7955817807842083E-2</v>
      </c>
    </row>
    <row r="16" spans="1:48">
      <c r="A16" s="4" t="s">
        <v>8</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8">
        <v>0</v>
      </c>
      <c r="Y16" s="8">
        <v>0</v>
      </c>
      <c r="Z16" s="8">
        <v>0</v>
      </c>
      <c r="AA16" s="8">
        <v>0</v>
      </c>
      <c r="AB16" s="8">
        <v>0</v>
      </c>
      <c r="AC16" s="8">
        <v>16786</v>
      </c>
      <c r="AD16" s="8">
        <v>18273</v>
      </c>
      <c r="AE16" s="8">
        <v>20715</v>
      </c>
      <c r="AF16" s="8">
        <v>22075</v>
      </c>
      <c r="AG16" s="8">
        <v>24855</v>
      </c>
      <c r="AH16" s="8">
        <v>25119</v>
      </c>
      <c r="AI16" s="8">
        <v>26844</v>
      </c>
    </row>
    <row r="17" spans="1:48">
      <c r="A17" s="43" t="s">
        <v>144</v>
      </c>
      <c r="B17" s="6"/>
      <c r="C17" s="6"/>
      <c r="D17" s="6"/>
      <c r="E17" s="6"/>
      <c r="F17" s="6"/>
      <c r="G17" s="6"/>
      <c r="H17" s="6"/>
      <c r="I17" s="6"/>
      <c r="J17" s="6"/>
      <c r="K17" s="6"/>
      <c r="L17" s="6"/>
      <c r="M17" s="6"/>
      <c r="N17" s="6"/>
      <c r="O17" s="6"/>
      <c r="P17" s="6"/>
      <c r="Q17" s="6"/>
      <c r="R17" s="6"/>
      <c r="S17" s="6"/>
      <c r="T17" s="6"/>
      <c r="U17" s="6"/>
      <c r="V17" s="6"/>
      <c r="W17" s="6"/>
      <c r="X17" s="8"/>
      <c r="Y17" s="8"/>
      <c r="Z17" s="8"/>
      <c r="AA17" s="8"/>
      <c r="AB17" s="8"/>
      <c r="AC17" s="8"/>
      <c r="AD17" s="42">
        <f t="shared" ref="AD17:AI17" si="5">IFERROR(AD16/AC16-1,"")</f>
        <v>8.8585726200405057E-2</v>
      </c>
      <c r="AE17" s="42">
        <f t="shared" si="5"/>
        <v>0.13363979642094903</v>
      </c>
      <c r="AF17" s="42">
        <f t="shared" si="5"/>
        <v>6.5652908520395847E-2</v>
      </c>
      <c r="AG17" s="42">
        <f t="shared" si="5"/>
        <v>0.12593431483578699</v>
      </c>
      <c r="AH17" s="42">
        <f t="shared" si="5"/>
        <v>1.0621605310802584E-2</v>
      </c>
      <c r="AI17" s="42">
        <f t="shared" si="5"/>
        <v>6.8673115967992304E-2</v>
      </c>
    </row>
    <row r="18" spans="1:48">
      <c r="A18" s="21" t="s">
        <v>143</v>
      </c>
      <c r="B18" s="6">
        <v>3991.337</v>
      </c>
      <c r="C18" s="6">
        <v>5248.8339999999998</v>
      </c>
      <c r="D18" s="6">
        <v>6844.915</v>
      </c>
      <c r="E18" s="6">
        <v>8204</v>
      </c>
      <c r="F18" s="6">
        <v>8865</v>
      </c>
      <c r="G18" s="6">
        <v>5713</v>
      </c>
      <c r="H18" s="6">
        <v>4462</v>
      </c>
      <c r="I18" s="6">
        <v>4438</v>
      </c>
      <c r="J18" s="6">
        <v>5817</v>
      </c>
      <c r="K18" s="6">
        <v>4128</v>
      </c>
      <c r="L18" s="6">
        <v>4139</v>
      </c>
      <c r="M18" s="6">
        <v>4499</v>
      </c>
      <c r="N18" s="6">
        <v>6022</v>
      </c>
      <c r="O18" s="6">
        <v>9889</v>
      </c>
      <c r="P18" s="6">
        <v>13717</v>
      </c>
      <c r="Q18" s="6">
        <v>16426</v>
      </c>
      <c r="R18" s="6">
        <v>24294</v>
      </c>
      <c r="S18" s="6">
        <v>25683</v>
      </c>
      <c r="T18" s="6">
        <v>39541</v>
      </c>
      <c r="U18" s="6">
        <v>64431</v>
      </c>
      <c r="V18" s="6">
        <v>87846</v>
      </c>
      <c r="W18" s="6">
        <v>106606</v>
      </c>
      <c r="X18" s="8">
        <v>112258</v>
      </c>
      <c r="Y18" s="8">
        <v>140089</v>
      </c>
      <c r="Z18" s="8">
        <v>131376</v>
      </c>
      <c r="AA18" s="8">
        <v>141048</v>
      </c>
      <c r="AB18" s="8">
        <v>163756</v>
      </c>
      <c r="AC18" s="8">
        <f>AC16+AC14</f>
        <v>161782</v>
      </c>
      <c r="AD18" s="8">
        <f t="shared" ref="AD18:AI18" si="6">AD16+AD14</f>
        <v>169559</v>
      </c>
      <c r="AE18" s="8">
        <f t="shared" si="6"/>
        <v>212981</v>
      </c>
      <c r="AF18" s="8">
        <f t="shared" si="6"/>
        <v>223546</v>
      </c>
      <c r="AG18" s="8">
        <f t="shared" si="6"/>
        <v>214137</v>
      </c>
      <c r="AH18" s="8">
        <f t="shared" si="6"/>
        <v>210352</v>
      </c>
      <c r="AI18" s="8">
        <f t="shared" si="6"/>
        <v>220960</v>
      </c>
    </row>
    <row r="19" spans="1:48">
      <c r="A19" s="43" t="s">
        <v>144</v>
      </c>
      <c r="B19" s="6"/>
      <c r="C19" s="42">
        <f t="shared" ref="C19:AI19" si="7">IFERROR(C18/B18-1,"")</f>
        <v>0.31505658379635681</v>
      </c>
      <c r="D19" s="42">
        <f t="shared" si="7"/>
        <v>0.3040829639497078</v>
      </c>
      <c r="E19" s="42">
        <f t="shared" si="7"/>
        <v>0.19855396305140394</v>
      </c>
      <c r="F19" s="42">
        <f t="shared" si="7"/>
        <v>8.05704534373477E-2</v>
      </c>
      <c r="G19" s="42">
        <f t="shared" si="7"/>
        <v>-0.35555555555555551</v>
      </c>
      <c r="H19" s="42">
        <f t="shared" si="7"/>
        <v>-0.21897426921057239</v>
      </c>
      <c r="I19" s="42">
        <f t="shared" si="7"/>
        <v>-5.3787539220080394E-3</v>
      </c>
      <c r="J19" s="42">
        <f t="shared" si="7"/>
        <v>0.31072555205047325</v>
      </c>
      <c r="K19" s="42">
        <f t="shared" si="7"/>
        <v>-0.29035585353274884</v>
      </c>
      <c r="L19" s="42">
        <f t="shared" si="7"/>
        <v>2.6647286821706029E-3</v>
      </c>
      <c r="M19" s="42">
        <f t="shared" si="7"/>
        <v>8.697753080454218E-2</v>
      </c>
      <c r="N19" s="42">
        <f t="shared" si="7"/>
        <v>0.33851967103800851</v>
      </c>
      <c r="O19" s="42">
        <f t="shared" si="7"/>
        <v>0.6421454666223847</v>
      </c>
      <c r="P19" s="42">
        <f t="shared" si="7"/>
        <v>0.38709677419354849</v>
      </c>
      <c r="Q19" s="42">
        <f t="shared" si="7"/>
        <v>0.19749216300940442</v>
      </c>
      <c r="R19" s="42">
        <f t="shared" si="7"/>
        <v>0.47899671252891762</v>
      </c>
      <c r="S19" s="42">
        <f t="shared" si="7"/>
        <v>5.7174611015065491E-2</v>
      </c>
      <c r="T19" s="42">
        <f t="shared" si="7"/>
        <v>0.53957870965229926</v>
      </c>
      <c r="U19" s="42">
        <f t="shared" si="7"/>
        <v>0.62947320502769277</v>
      </c>
      <c r="V19" s="42">
        <f t="shared" si="7"/>
        <v>0.36341202216324442</v>
      </c>
      <c r="W19" s="42">
        <f t="shared" si="7"/>
        <v>0.2135555403774787</v>
      </c>
      <c r="X19" s="42">
        <f t="shared" si="7"/>
        <v>5.3017653790593311E-2</v>
      </c>
      <c r="Y19" s="42">
        <f t="shared" si="7"/>
        <v>0.24791997006894828</v>
      </c>
      <c r="Z19" s="42">
        <f t="shared" si="7"/>
        <v>-6.219617528856658E-2</v>
      </c>
      <c r="AA19" s="42">
        <f t="shared" si="7"/>
        <v>7.3620752648885679E-2</v>
      </c>
      <c r="AB19" s="42">
        <f t="shared" si="7"/>
        <v>0.16099483863649255</v>
      </c>
      <c r="AC19" s="42">
        <f t="shared" si="7"/>
        <v>-1.2054520139720082E-2</v>
      </c>
      <c r="AD19" s="42">
        <f t="shared" si="7"/>
        <v>4.8070860787973846E-2</v>
      </c>
      <c r="AE19" s="42">
        <f t="shared" si="7"/>
        <v>0.25608785142634716</v>
      </c>
      <c r="AF19" s="42">
        <f t="shared" si="7"/>
        <v>4.960536385874792E-2</v>
      </c>
      <c r="AG19" s="42">
        <f t="shared" si="7"/>
        <v>-4.208977123276636E-2</v>
      </c>
      <c r="AH19" s="42">
        <f t="shared" si="7"/>
        <v>-1.7675600199872021E-2</v>
      </c>
      <c r="AI19" s="42">
        <f t="shared" si="7"/>
        <v>5.0429755837833712E-2</v>
      </c>
      <c r="AL19" s="50" t="s">
        <v>148</v>
      </c>
      <c r="AM19" s="50" t="s">
        <v>149</v>
      </c>
      <c r="AN19" s="50"/>
      <c r="AO19" s="50" t="s">
        <v>150</v>
      </c>
      <c r="AP19" s="50" t="s">
        <v>149</v>
      </c>
      <c r="AQ19" s="50"/>
      <c r="AR19" s="50" t="s">
        <v>151</v>
      </c>
      <c r="AS19" s="50" t="s">
        <v>149</v>
      </c>
      <c r="AT19" s="50"/>
      <c r="AU19" s="50" t="s">
        <v>152</v>
      </c>
      <c r="AV19" s="50" t="s">
        <v>149</v>
      </c>
    </row>
    <row r="20" spans="1:48">
      <c r="A20" s="17" t="s">
        <v>9</v>
      </c>
      <c r="B20" s="23">
        <f>B7-B14</f>
        <v>0</v>
      </c>
      <c r="C20" s="23">
        <f>C7-C14</f>
        <v>0</v>
      </c>
      <c r="D20" s="23">
        <f>D7-D14</f>
        <v>0</v>
      </c>
      <c r="E20" s="23">
        <f>E7-E14</f>
        <v>0</v>
      </c>
      <c r="F20" s="23">
        <f>F7-F14</f>
        <v>0</v>
      </c>
      <c r="G20" s="23">
        <f>G7-G14</f>
        <v>0</v>
      </c>
      <c r="H20" s="23">
        <f>H7-H14</f>
        <v>0</v>
      </c>
      <c r="I20" s="23">
        <f>I7-I14</f>
        <v>0</v>
      </c>
      <c r="J20" s="23">
        <f>J7-J14</f>
        <v>0</v>
      </c>
      <c r="K20" s="23">
        <f>K7-K14</f>
        <v>0</v>
      </c>
      <c r="L20" s="23">
        <f>L7-L14</f>
        <v>0</v>
      </c>
      <c r="M20" s="23">
        <f>M7-M14</f>
        <v>0</v>
      </c>
      <c r="N20" s="23">
        <f>N7-N14</f>
        <v>0</v>
      </c>
      <c r="O20" s="23">
        <f>O7-O14</f>
        <v>0</v>
      </c>
      <c r="P20" s="23">
        <f>P7-P14</f>
        <v>0</v>
      </c>
      <c r="Q20" s="23">
        <f>Q7-Q14</f>
        <v>0</v>
      </c>
      <c r="R20" s="23">
        <f>R7-R14</f>
        <v>0</v>
      </c>
      <c r="S20" s="23">
        <f>S7-S14</f>
        <v>0</v>
      </c>
      <c r="T20" s="23">
        <f>T7-T14</f>
        <v>0</v>
      </c>
      <c r="U20" s="23">
        <f>U7-U14</f>
        <v>0</v>
      </c>
      <c r="V20" s="23">
        <f>V7-V14</f>
        <v>0</v>
      </c>
      <c r="W20" s="23">
        <f>W7-W14</f>
        <v>0</v>
      </c>
      <c r="X20" s="23">
        <f>X7-X14</f>
        <v>0</v>
      </c>
      <c r="Y20" s="23">
        <f>Y7-Y14</f>
        <v>0</v>
      </c>
      <c r="Z20" s="23">
        <f>Z7-Z14</f>
        <v>0</v>
      </c>
      <c r="AA20" s="23">
        <f>AA7-AA14</f>
        <v>0</v>
      </c>
      <c r="AB20" s="23">
        <f>AB7-AB14</f>
        <v>0</v>
      </c>
      <c r="AC20" s="23">
        <f>AC7-AC14</f>
        <v>68887</v>
      </c>
      <c r="AD20" s="23">
        <f>AD7-AD14</f>
        <v>69461</v>
      </c>
      <c r="AE20" s="23">
        <f>AE7-AE14</f>
        <v>105126</v>
      </c>
      <c r="AF20" s="23">
        <f>AF7-AF14</f>
        <v>114728</v>
      </c>
      <c r="AG20" s="23">
        <f>AG7-AG14</f>
        <v>108803</v>
      </c>
      <c r="AH20" s="23">
        <f>AH7-AH14</f>
        <v>109633</v>
      </c>
      <c r="AI20" s="23">
        <f>AI7-AI14</f>
        <v>112887</v>
      </c>
    </row>
    <row r="21" spans="1:48">
      <c r="A21" s="43" t="s">
        <v>144</v>
      </c>
      <c r="AD21" s="42">
        <f t="shared" ref="AD21:AI21" si="8">IFERROR(AD20/AC20-1,"")</f>
        <v>8.3324865359211131E-3</v>
      </c>
      <c r="AE21" s="42">
        <f t="shared" si="8"/>
        <v>0.5134535926635091</v>
      </c>
      <c r="AF21" s="42">
        <f t="shared" si="8"/>
        <v>9.1338013431501164E-2</v>
      </c>
      <c r="AG21" s="42">
        <f t="shared" si="8"/>
        <v>-5.1643888152848483E-2</v>
      </c>
      <c r="AH21" s="42">
        <f t="shared" si="8"/>
        <v>7.628466126853084E-3</v>
      </c>
      <c r="AI21" s="42">
        <f t="shared" si="8"/>
        <v>2.9680844271341655E-2</v>
      </c>
    </row>
    <row r="22" spans="1:48">
      <c r="A22" s="17" t="s">
        <v>10</v>
      </c>
      <c r="B22" s="23">
        <f>B9-B16</f>
        <v>0</v>
      </c>
      <c r="C22" s="23">
        <f>C9-C16</f>
        <v>0</v>
      </c>
      <c r="D22" s="23">
        <f>D9-D16</f>
        <v>0</v>
      </c>
      <c r="E22" s="23">
        <f>E9-E16</f>
        <v>0</v>
      </c>
      <c r="F22" s="23">
        <f>F9-F16</f>
        <v>0</v>
      </c>
      <c r="G22" s="23">
        <f>G9-G16</f>
        <v>0</v>
      </c>
      <c r="H22" s="23">
        <f>H9-H16</f>
        <v>0</v>
      </c>
      <c r="I22" s="23">
        <f>I9-I16</f>
        <v>0</v>
      </c>
      <c r="J22" s="23">
        <f>J9-J16</f>
        <v>0</v>
      </c>
      <c r="K22" s="23">
        <f>K9-K16</f>
        <v>0</v>
      </c>
      <c r="L22" s="23">
        <f>L9-L16</f>
        <v>0</v>
      </c>
      <c r="M22" s="23">
        <f>M9-M16</f>
        <v>0</v>
      </c>
      <c r="N22" s="23">
        <f>N9-N16</f>
        <v>0</v>
      </c>
      <c r="O22" s="23">
        <f>O9-O16</f>
        <v>0</v>
      </c>
      <c r="P22" s="23">
        <f>P9-P16</f>
        <v>0</v>
      </c>
      <c r="Q22" s="23">
        <f>Q9-Q16</f>
        <v>0</v>
      </c>
      <c r="R22" s="23">
        <f>R9-R16</f>
        <v>0</v>
      </c>
      <c r="S22" s="23">
        <f>S9-S16</f>
        <v>0</v>
      </c>
      <c r="T22" s="23">
        <f>T9-T16</f>
        <v>0</v>
      </c>
      <c r="U22" s="23">
        <f>U9-U16</f>
        <v>0</v>
      </c>
      <c r="V22" s="23">
        <f>V9-V16</f>
        <v>0</v>
      </c>
      <c r="W22" s="23">
        <f>W9-W16</f>
        <v>0</v>
      </c>
      <c r="X22" s="23">
        <f>X9-X16</f>
        <v>0</v>
      </c>
      <c r="Y22" s="23">
        <f>Y9-Y16</f>
        <v>0</v>
      </c>
      <c r="Z22" s="23">
        <f>Z9-Z16</f>
        <v>0</v>
      </c>
      <c r="AA22" s="23">
        <f>AA9-AA16</f>
        <v>0</v>
      </c>
      <c r="AB22" s="23">
        <f>AB9-AB16</f>
        <v>0</v>
      </c>
      <c r="AC22" s="23">
        <f>AC9-AC16</f>
        <v>29505</v>
      </c>
      <c r="AD22" s="23">
        <f>AD9-AD16</f>
        <v>35495</v>
      </c>
      <c r="AE22" s="23">
        <f>AE9-AE16</f>
        <v>47710</v>
      </c>
      <c r="AF22" s="23">
        <f>AF9-AF16</f>
        <v>56054</v>
      </c>
      <c r="AG22" s="23">
        <f>AG9-AG16</f>
        <v>60345</v>
      </c>
      <c r="AH22" s="23">
        <f>AH9-AH16</f>
        <v>71050</v>
      </c>
      <c r="AI22" s="23">
        <f>AI9-AI16</f>
        <v>82314</v>
      </c>
    </row>
    <row r="23" spans="1:48">
      <c r="A23" s="43" t="s">
        <v>144</v>
      </c>
      <c r="AD23" s="42">
        <f t="shared" ref="AD23:AI23" si="9">IFERROR(AD22/AC22-1,"")</f>
        <v>0.20301643789188284</v>
      </c>
      <c r="AE23" s="42">
        <f t="shared" si="9"/>
        <v>0.34413297647555985</v>
      </c>
      <c r="AF23" s="42">
        <f t="shared" si="9"/>
        <v>0.17488996017606362</v>
      </c>
      <c r="AG23" s="42">
        <f t="shared" si="9"/>
        <v>7.6551182788025862E-2</v>
      </c>
      <c r="AH23" s="42">
        <f t="shared" si="9"/>
        <v>0.17739663600961131</v>
      </c>
      <c r="AI23" s="42">
        <f t="shared" si="9"/>
        <v>0.15853624208304007</v>
      </c>
      <c r="AL23" s="50" t="s">
        <v>148</v>
      </c>
      <c r="AM23" s="50" t="s">
        <v>149</v>
      </c>
      <c r="AN23" s="50"/>
      <c r="AO23" s="50" t="s">
        <v>150</v>
      </c>
      <c r="AP23" s="50" t="s">
        <v>149</v>
      </c>
      <c r="AQ23" s="50"/>
      <c r="AR23" s="50" t="s">
        <v>151</v>
      </c>
      <c r="AS23" s="50" t="s">
        <v>149</v>
      </c>
      <c r="AT23" s="50"/>
      <c r="AU23" s="50" t="s">
        <v>152</v>
      </c>
      <c r="AV23" s="50" t="s">
        <v>149</v>
      </c>
    </row>
    <row r="24" spans="1:48">
      <c r="A24" s="17" t="s">
        <v>11</v>
      </c>
      <c r="B24" s="18">
        <f>B11-B18</f>
        <v>3095.2050000000004</v>
      </c>
      <c r="C24" s="18">
        <f>C11-C18</f>
        <v>2728.12</v>
      </c>
      <c r="D24" s="18">
        <f>D11-D18</f>
        <v>2343.8329999999996</v>
      </c>
      <c r="E24" s="18">
        <f>E11-E18</f>
        <v>2858</v>
      </c>
      <c r="F24" s="18">
        <f>F11-F18</f>
        <v>968</v>
      </c>
      <c r="G24" s="18">
        <f>G11-G18</f>
        <v>1368</v>
      </c>
      <c r="H24" s="18">
        <f>H11-H18</f>
        <v>1479</v>
      </c>
      <c r="I24" s="18">
        <f>I11-I18</f>
        <v>1696</v>
      </c>
      <c r="J24" s="18">
        <f>J11-J18</f>
        <v>2166</v>
      </c>
      <c r="K24" s="18">
        <f>K11-K18</f>
        <v>1235</v>
      </c>
      <c r="L24" s="18">
        <f>L11-L18</f>
        <v>1603</v>
      </c>
      <c r="M24" s="18">
        <f>M11-M18</f>
        <v>1708</v>
      </c>
      <c r="N24" s="18">
        <f>N11-N18</f>
        <v>2257</v>
      </c>
      <c r="O24" s="18">
        <f>O11-O18</f>
        <v>4042</v>
      </c>
      <c r="P24" s="18">
        <f>P11-P18</f>
        <v>5598</v>
      </c>
      <c r="Q24" s="18">
        <f>Q11-Q18</f>
        <v>8152</v>
      </c>
      <c r="R24" s="18">
        <f>R11-R18</f>
        <v>13197</v>
      </c>
      <c r="S24" s="18">
        <f>S11-S18</f>
        <v>17222</v>
      </c>
      <c r="T24" s="18">
        <f>T11-T18</f>
        <v>25684</v>
      </c>
      <c r="U24" s="18">
        <f>U11-U18</f>
        <v>43818</v>
      </c>
      <c r="V24" s="18">
        <f>V11-V18</f>
        <v>68662</v>
      </c>
      <c r="W24" s="18">
        <f>W11-W18</f>
        <v>64304</v>
      </c>
      <c r="X24" s="19">
        <f>X11-X18</f>
        <v>70537</v>
      </c>
      <c r="Y24" s="19">
        <f>Y11-Y18</f>
        <v>93626</v>
      </c>
      <c r="Z24" s="19">
        <f>Z11-Z18</f>
        <v>84263</v>
      </c>
      <c r="AA24" s="19">
        <f>AA11-AA18</f>
        <v>88186</v>
      </c>
      <c r="AB24" s="19">
        <f>AB11-AB18</f>
        <v>101839</v>
      </c>
      <c r="AC24" s="19">
        <f>AC11-AC18</f>
        <v>98392</v>
      </c>
      <c r="AD24" s="19">
        <f>AD11-AD18</f>
        <v>104956</v>
      </c>
      <c r="AE24" s="19">
        <f>AE11-AE18</f>
        <v>152836</v>
      </c>
      <c r="AF24" s="19">
        <f>AF11-AF18</f>
        <v>170782</v>
      </c>
      <c r="AG24" s="19">
        <f>AG11-AG18</f>
        <v>169148</v>
      </c>
      <c r="AH24" s="19">
        <f>AH11-AH18</f>
        <v>180683</v>
      </c>
      <c r="AI24" s="19">
        <f>AI11-AI18</f>
        <v>195201</v>
      </c>
      <c r="AL24" s="51">
        <f>IFERROR((AI24/B24)^(1/33)-1,"")</f>
        <v>0.13380709490086806</v>
      </c>
      <c r="AM24" s="51">
        <f>IFERROR(PRODUCT(1+C25,1+D25,1+E25,1+F25,1+G25,1+H25,1+I25,1+J25,1+K25,1+L25,1+M25,1+N25,1+O25,1+P25,1+Q25,1+R25,1+S25,1+T25,1+U25,1+V25,1+W25,1+X25,1+Y25,1+Z25,1+AA25,1+AB25,1+AC25,1+AD25,1+AE25,1+AF25,1+AG25,1+AH25,1+AI25)^(1/33)-1,"")</f>
        <v>0.13380709490086806</v>
      </c>
      <c r="AO24" s="51">
        <f>IFERROR((AI24/O24)^(1/20)-1, "")</f>
        <v>0.21393179485500813</v>
      </c>
      <c r="AP24" s="51">
        <f>IFERROR(PRODUCT(1+P25,1+Q25,1+R25,1+S25,1+T25,1+U25,1+V25,1+W25,1+X25,1+Y25,1+Z25,1+AA25,1+AB25,1+AC25,1+AD25,1+AE25,1+AF25,1+AG25,1+AH25,1+AI25)^(1/20)-1,"")</f>
        <v>0.21393179485500813</v>
      </c>
      <c r="AR24" s="51">
        <f>IFERROR((AI24/Y24)^(1/10)-1,"")</f>
        <v>7.6238581761670643E-2</v>
      </c>
      <c r="AS24" s="51">
        <f>IFERROR(PRODUCT(1+Z25,1+AA25,1+AB25,1+AC25,1+AD25,1+AE25,1+AF25,1+AG25,1+AH25,1+AI25)^(1/10)-1,"")</f>
        <v>7.6238581761670643E-2</v>
      </c>
      <c r="AU24" s="51">
        <f>IFERROR((AI24/AD24)^(1/5)-1,"")</f>
        <v>0.13212649296554235</v>
      </c>
      <c r="AV24" s="51">
        <f>IFERROR(PRODUCT(1+AE25,1+AF25,1+AG25,1+AH25,1+AI25)^(1/5)-1,"")</f>
        <v>0.13212649296554235</v>
      </c>
    </row>
    <row r="25" spans="1:48">
      <c r="A25" s="43" t="s">
        <v>144</v>
      </c>
      <c r="C25" s="42">
        <f t="shared" ref="C25:AI25" si="10">IFERROR(C24/B24-1,"")</f>
        <v>-0.11859796039357662</v>
      </c>
      <c r="D25" s="42">
        <f t="shared" si="10"/>
        <v>-0.14086147236925073</v>
      </c>
      <c r="E25" s="42">
        <f t="shared" si="10"/>
        <v>0.21937015137170635</v>
      </c>
      <c r="F25" s="42">
        <f t="shared" si="10"/>
        <v>-0.66130160951714489</v>
      </c>
      <c r="G25" s="42">
        <f t="shared" si="10"/>
        <v>0.41322314049586772</v>
      </c>
      <c r="H25" s="42">
        <f t="shared" si="10"/>
        <v>8.1140350877193068E-2</v>
      </c>
      <c r="I25" s="42">
        <f t="shared" si="10"/>
        <v>0.1467207572684246</v>
      </c>
      <c r="J25" s="42">
        <f t="shared" si="10"/>
        <v>0.27712264150943389</v>
      </c>
      <c r="K25" s="42">
        <f t="shared" si="10"/>
        <v>-0.42982456140350878</v>
      </c>
      <c r="L25" s="42">
        <f t="shared" si="10"/>
        <v>0.29797570850202426</v>
      </c>
      <c r="M25" s="42">
        <f t="shared" si="10"/>
        <v>6.5502183406113579E-2</v>
      </c>
      <c r="N25" s="42">
        <f t="shared" si="10"/>
        <v>0.3214285714285714</v>
      </c>
      <c r="O25" s="42">
        <f t="shared" si="10"/>
        <v>0.79087284005316794</v>
      </c>
      <c r="P25" s="42">
        <f t="shared" si="10"/>
        <v>0.38495794161306285</v>
      </c>
      <c r="Q25" s="42">
        <f t="shared" si="10"/>
        <v>0.45623436941764917</v>
      </c>
      <c r="R25" s="42">
        <f t="shared" si="10"/>
        <v>0.61886653581943074</v>
      </c>
      <c r="S25" s="42">
        <f t="shared" si="10"/>
        <v>0.30499355914222925</v>
      </c>
      <c r="T25" s="42">
        <f t="shared" si="10"/>
        <v>0.49134827546161897</v>
      </c>
      <c r="U25" s="42">
        <f t="shared" si="10"/>
        <v>0.7060426724809219</v>
      </c>
      <c r="V25" s="42">
        <f t="shared" si="10"/>
        <v>0.56698160573280387</v>
      </c>
      <c r="W25" s="42">
        <f t="shared" si="10"/>
        <v>-6.3470332935248064E-2</v>
      </c>
      <c r="X25" s="42">
        <f t="shared" si="10"/>
        <v>9.6930206519034501E-2</v>
      </c>
      <c r="Y25" s="42">
        <f t="shared" si="10"/>
        <v>0.32733175496547906</v>
      </c>
      <c r="Z25" s="42">
        <f t="shared" si="10"/>
        <v>-0.10000427231751863</v>
      </c>
      <c r="AA25" s="42">
        <f t="shared" si="10"/>
        <v>4.6556614409646091E-2</v>
      </c>
      <c r="AB25" s="42">
        <f t="shared" si="10"/>
        <v>0.15482049304878331</v>
      </c>
      <c r="AC25" s="42">
        <f t="shared" si="10"/>
        <v>-3.3847543671874258E-2</v>
      </c>
      <c r="AD25" s="42">
        <f t="shared" si="10"/>
        <v>6.6712740873241749E-2</v>
      </c>
      <c r="AE25" s="42">
        <f t="shared" si="10"/>
        <v>0.45619116582186825</v>
      </c>
      <c r="AF25" s="42">
        <f t="shared" si="10"/>
        <v>0.1174199795859614</v>
      </c>
      <c r="AG25" s="42">
        <f t="shared" si="10"/>
        <v>-9.5677530418896151E-3</v>
      </c>
      <c r="AH25" s="42">
        <f t="shared" si="10"/>
        <v>6.8194717052522114E-2</v>
      </c>
      <c r="AI25" s="42">
        <f t="shared" si="10"/>
        <v>8.0350669404426478E-2</v>
      </c>
    </row>
    <row r="26" spans="1:48">
      <c r="AD26" s="41"/>
      <c r="AL26" s="50" t="s">
        <v>148</v>
      </c>
      <c r="AM26" s="50" t="s">
        <v>149</v>
      </c>
      <c r="AN26" s="50"/>
      <c r="AO26" s="50" t="s">
        <v>150</v>
      </c>
      <c r="AP26" s="50" t="s">
        <v>149</v>
      </c>
      <c r="AQ26" s="50"/>
      <c r="AR26" s="50" t="s">
        <v>151</v>
      </c>
      <c r="AS26" s="50" t="s">
        <v>149</v>
      </c>
      <c r="AT26" s="50"/>
      <c r="AU26" s="50" t="s">
        <v>152</v>
      </c>
      <c r="AV26" s="50" t="s">
        <v>149</v>
      </c>
    </row>
    <row r="27" spans="1:48">
      <c r="A27" t="s">
        <v>12</v>
      </c>
      <c r="B27" s="8">
        <v>602.13499999999999</v>
      </c>
      <c r="C27" s="8">
        <v>664.56399999999996</v>
      </c>
      <c r="D27" s="8">
        <v>564.303</v>
      </c>
      <c r="E27" s="8">
        <v>614</v>
      </c>
      <c r="F27" s="8">
        <v>604</v>
      </c>
      <c r="G27" s="8">
        <v>485</v>
      </c>
      <c r="H27" s="8">
        <v>303</v>
      </c>
      <c r="I27" s="8">
        <v>314</v>
      </c>
      <c r="J27" s="8">
        <v>380</v>
      </c>
      <c r="K27" s="8">
        <v>430</v>
      </c>
      <c r="L27" s="8">
        <v>446</v>
      </c>
      <c r="M27" s="8">
        <v>471</v>
      </c>
      <c r="N27" s="8">
        <v>491</v>
      </c>
      <c r="O27" s="8">
        <v>535</v>
      </c>
      <c r="P27" s="8">
        <v>712</v>
      </c>
      <c r="Q27" s="8">
        <v>782</v>
      </c>
      <c r="R27" s="8">
        <v>1109</v>
      </c>
      <c r="S27" s="8">
        <v>1333</v>
      </c>
      <c r="T27" s="8">
        <v>1782</v>
      </c>
      <c r="U27" s="8">
        <v>2429</v>
      </c>
      <c r="V27" s="8">
        <v>3381</v>
      </c>
      <c r="W27" s="8">
        <v>4475</v>
      </c>
      <c r="X27" s="8">
        <v>6041</v>
      </c>
      <c r="Y27" s="8">
        <v>8067</v>
      </c>
      <c r="Z27" s="8">
        <v>10045</v>
      </c>
      <c r="AA27" s="8">
        <v>11581</v>
      </c>
      <c r="AB27" s="8">
        <v>14236</v>
      </c>
      <c r="AC27" s="8">
        <v>16217</v>
      </c>
      <c r="AD27" s="8">
        <v>18752</v>
      </c>
      <c r="AE27" s="8">
        <v>21914</v>
      </c>
      <c r="AF27" s="8">
        <v>26251</v>
      </c>
      <c r="AG27" s="8">
        <v>29915</v>
      </c>
      <c r="AH27" s="8">
        <v>31370</v>
      </c>
      <c r="AI27" s="8">
        <v>34550</v>
      </c>
      <c r="AL27" s="51">
        <f>IFERROR((AI27/B27)^(1/33)-1,"")</f>
        <v>0.13056511649141678</v>
      </c>
      <c r="AM27" s="51">
        <f>IFERROR(PRODUCT(1+C28,1+D28,1+E28,1+F28,1+G28,1+H28,1+I28,1+J28,1+K28,1+L28,1+M28,1+N28,1+O28,1+P28,1+Q28,1+R28,1+S28,1+T28,1+U28,1+V28,1+W28,1+X28,1+Y28,1+Z28,1+AA28,1+AB28,1+AC28,1+AD28,1+AE28,1+AF28,1+AG28,1+AH28,1+AI28)^(1/33)-1,"")</f>
        <v>0.13056511649141678</v>
      </c>
      <c r="AO27" s="51">
        <f>IFERROR((AI27/O27)^(1/20)-1, "")</f>
        <v>0.23169935354204152</v>
      </c>
      <c r="AP27" s="51">
        <f>IFERROR(PRODUCT(1+P28,1+Q28,1+R28,1+S28,1+T28,1+U28,1+V28,1+W28,1+X28,1+Y28,1+Z28,1+AA28,1+AB28,1+AC28,1+AD28,1+AE28,1+AF28,1+AG28,1+AH28,1+AI28)^(1/20)-1,"")</f>
        <v>0.23169935354204152</v>
      </c>
      <c r="AR27" s="51">
        <f>IFERROR((AI27/Y27)^(1/10)-1,"")</f>
        <v>0.15657446450149415</v>
      </c>
      <c r="AS27" s="51">
        <f>IFERROR(PRODUCT(1+Z28,1+AA28,1+AB28,1+AC28,1+AD28,1+AE28,1+AF28,1+AG28,1+AH28,1+AI28)^(1/10)-1,"")</f>
        <v>0.15657446450149415</v>
      </c>
      <c r="AU27" s="51">
        <f>IFERROR((AI27/AD27)^(1/5)-1,"")</f>
        <v>0.1300042879508454</v>
      </c>
      <c r="AV27" s="51">
        <f>IFERROR(PRODUCT(1+AE28,1+AF28,1+AG28,1+AH28,1+AI28)^(1/5)-1,"")</f>
        <v>0.1300042879508454</v>
      </c>
    </row>
    <row r="28" spans="1:48">
      <c r="A28" s="43" t="s">
        <v>144</v>
      </c>
      <c r="B28" s="8"/>
      <c r="C28" s="42">
        <f t="shared" ref="C28:AI28" si="11">IFERROR(C27/B27-1,"")</f>
        <v>0.10367940744185278</v>
      </c>
      <c r="D28" s="42">
        <f t="shared" si="11"/>
        <v>-0.15086733557640797</v>
      </c>
      <c r="E28" s="42">
        <f t="shared" si="11"/>
        <v>8.8067935134138908E-2</v>
      </c>
      <c r="F28" s="42">
        <f t="shared" si="11"/>
        <v>-1.6286644951140072E-2</v>
      </c>
      <c r="G28" s="42">
        <f t="shared" si="11"/>
        <v>-0.19701986754966883</v>
      </c>
      <c r="H28" s="42">
        <f t="shared" si="11"/>
        <v>-0.37525773195876289</v>
      </c>
      <c r="I28" s="42">
        <f t="shared" si="11"/>
        <v>3.630363036303641E-2</v>
      </c>
      <c r="J28" s="42">
        <f t="shared" si="11"/>
        <v>0.21019108280254772</v>
      </c>
      <c r="K28" s="42">
        <f t="shared" si="11"/>
        <v>0.13157894736842102</v>
      </c>
      <c r="L28" s="42">
        <f t="shared" si="11"/>
        <v>3.7209302325581506E-2</v>
      </c>
      <c r="M28" s="42">
        <f t="shared" si="11"/>
        <v>5.6053811659192876E-2</v>
      </c>
      <c r="N28" s="42">
        <f t="shared" si="11"/>
        <v>4.2462845010615702E-2</v>
      </c>
      <c r="O28" s="42">
        <f t="shared" si="11"/>
        <v>8.9613034623218013E-2</v>
      </c>
      <c r="P28" s="42">
        <f t="shared" si="11"/>
        <v>0.33084112149532707</v>
      </c>
      <c r="Q28" s="42">
        <f t="shared" si="11"/>
        <v>9.8314606741572996E-2</v>
      </c>
      <c r="R28" s="42">
        <f t="shared" si="11"/>
        <v>0.41815856777493599</v>
      </c>
      <c r="S28" s="42">
        <f t="shared" si="11"/>
        <v>0.20198376916140659</v>
      </c>
      <c r="T28" s="42">
        <f t="shared" si="11"/>
        <v>0.33683420855213808</v>
      </c>
      <c r="U28" s="42">
        <f t="shared" si="11"/>
        <v>0.3630751964085297</v>
      </c>
      <c r="V28" s="42">
        <f t="shared" si="11"/>
        <v>0.39193083573487031</v>
      </c>
      <c r="W28" s="42">
        <f t="shared" si="11"/>
        <v>0.32357290742383915</v>
      </c>
      <c r="X28" s="42">
        <f t="shared" si="11"/>
        <v>0.34994413407821234</v>
      </c>
      <c r="Y28" s="42">
        <f t="shared" si="11"/>
        <v>0.33537493792418482</v>
      </c>
      <c r="Z28" s="42">
        <f t="shared" si="11"/>
        <v>0.24519647948431889</v>
      </c>
      <c r="AA28" s="42">
        <f t="shared" si="11"/>
        <v>0.15291189646590353</v>
      </c>
      <c r="AB28" s="42">
        <f t="shared" si="11"/>
        <v>0.22925481391935065</v>
      </c>
      <c r="AC28" s="42">
        <f t="shared" si="11"/>
        <v>0.13915425681371163</v>
      </c>
      <c r="AD28" s="42">
        <f t="shared" si="11"/>
        <v>0.15631744465684161</v>
      </c>
      <c r="AE28" s="42">
        <f t="shared" si="11"/>
        <v>0.16862201365187723</v>
      </c>
      <c r="AF28" s="42">
        <f t="shared" si="11"/>
        <v>0.19791001186456136</v>
      </c>
      <c r="AG28" s="42">
        <f t="shared" si="11"/>
        <v>0.1395756352138966</v>
      </c>
      <c r="AH28" s="42">
        <f t="shared" si="11"/>
        <v>4.8637807120173848E-2</v>
      </c>
      <c r="AI28" s="42">
        <f t="shared" si="11"/>
        <v>0.10137073637233018</v>
      </c>
    </row>
    <row r="29" spans="1:48">
      <c r="A29" t="s">
        <v>13</v>
      </c>
      <c r="B29" s="8">
        <v>1687.2619999999999</v>
      </c>
      <c r="C29" s="8">
        <v>1632.3620000000001</v>
      </c>
      <c r="D29" s="8">
        <v>1384.1110000000001</v>
      </c>
      <c r="E29" s="8">
        <v>1583</v>
      </c>
      <c r="F29" s="8">
        <v>1568</v>
      </c>
      <c r="G29" s="8">
        <v>1286</v>
      </c>
      <c r="H29" s="8">
        <v>908</v>
      </c>
      <c r="I29" s="8">
        <v>996</v>
      </c>
      <c r="J29" s="8">
        <v>1166</v>
      </c>
      <c r="K29" s="8">
        <v>1138</v>
      </c>
      <c r="L29" s="8">
        <v>1111</v>
      </c>
      <c r="M29" s="8">
        <v>1212</v>
      </c>
      <c r="N29" s="8">
        <v>1430</v>
      </c>
      <c r="O29" s="8">
        <v>1864</v>
      </c>
      <c r="P29" s="8">
        <v>2433</v>
      </c>
      <c r="Q29" s="8">
        <v>2963</v>
      </c>
      <c r="R29" s="8">
        <v>3761</v>
      </c>
      <c r="S29" s="8">
        <v>4149</v>
      </c>
      <c r="T29" s="8">
        <v>5517</v>
      </c>
      <c r="U29" s="8">
        <v>7599</v>
      </c>
      <c r="V29" s="8">
        <v>10040</v>
      </c>
      <c r="W29" s="8">
        <v>10830</v>
      </c>
      <c r="X29" s="8">
        <v>11993</v>
      </c>
      <c r="Y29" s="8">
        <v>14329</v>
      </c>
      <c r="Z29" s="8">
        <v>14194</v>
      </c>
      <c r="AA29" s="8">
        <v>15261</v>
      </c>
      <c r="AB29" s="8">
        <v>16705</v>
      </c>
      <c r="AC29" s="8">
        <v>18245</v>
      </c>
      <c r="AD29" s="8">
        <v>19916</v>
      </c>
      <c r="AE29" s="8">
        <v>21973</v>
      </c>
      <c r="AF29" s="8">
        <v>25094</v>
      </c>
      <c r="AG29" s="8">
        <v>24932</v>
      </c>
      <c r="AH29" s="8">
        <v>26097</v>
      </c>
      <c r="AI29" s="8">
        <v>27601</v>
      </c>
      <c r="AL29" s="51">
        <f>IFERROR((AI29/B29)^(1/33)-1,"")</f>
        <v>8.8378789123827461E-2</v>
      </c>
      <c r="AM29" s="51">
        <f>IFERROR(PRODUCT(1+C30,1+D30,1+E30,1+F30,1+G30,1+H30,1+I30,1+J30,1+K30,1+L30,1+M30,1+N30,1+O30,1+P30,1+Q30,1+R30,1+S30,1+T30,1+U30,1+V30,1+W30,1+X30,1+Y30,1+Z30,1+AA30,1+AB30,1+AC30,1+AD30,1+AE30,1+AF30,1+AG30,1+AH30,1+AI30)^(1/33)-1,"")</f>
        <v>8.8378789123827461E-2</v>
      </c>
      <c r="AO29" s="51">
        <f>IFERROR((AI29/O29)^(1/20)-1, "")</f>
        <v>0.14425796839337601</v>
      </c>
      <c r="AP29" s="51">
        <f>IFERROR(PRODUCT(1+P30,1+Q30,1+R30,1+S30,1+T30,1+U30,1+V30,1+W30,1+X30,1+Y30,1+Z30,1+AA30,1+AB30,1+AC30,1+AD30,1+AE30,1+AF30,1+AG30,1+AH30,1+AI30)^(1/20)-1,"")</f>
        <v>0.14425796839337601</v>
      </c>
      <c r="AR29" s="51">
        <f>IFERROR((AI29/Y29)^(1/10)-1,"")</f>
        <v>6.7753228968645995E-2</v>
      </c>
      <c r="AS29" s="51">
        <f>IFERROR(PRODUCT(1+Z30,1+AA30,1+AB30,1+AC30,1+AD30,1+AE30,1+AF30,1+AG30,1+AH30,1+AI30)^(1/10)-1,"")</f>
        <v>6.7753228968645995E-2</v>
      </c>
      <c r="AU29" s="51">
        <f>IFERROR((AI29/AD29)^(1/5)-1,"")</f>
        <v>6.7442622257265938E-2</v>
      </c>
      <c r="AV29" s="51">
        <f>IFERROR(PRODUCT(1+AE30,1+AF30,1+AG30,1+AH30,1+AI30)^(1/5)-1,"")</f>
        <v>6.7442622257265938E-2</v>
      </c>
    </row>
    <row r="30" spans="1:48">
      <c r="A30" s="43" t="s">
        <v>144</v>
      </c>
      <c r="B30" s="8"/>
      <c r="C30" s="42">
        <f t="shared" ref="C30:AI30" si="12">IFERROR(C29/B29-1,"")</f>
        <v>-3.2537922385497797E-2</v>
      </c>
      <c r="D30" s="42">
        <f t="shared" si="12"/>
        <v>-0.15208084971348268</v>
      </c>
      <c r="E30" s="42">
        <f t="shared" si="12"/>
        <v>0.14369440023235125</v>
      </c>
      <c r="F30" s="42">
        <f t="shared" si="12"/>
        <v>-9.4756790903347543E-3</v>
      </c>
      <c r="G30" s="42">
        <f t="shared" si="12"/>
        <v>-0.17984693877551017</v>
      </c>
      <c r="H30" s="42">
        <f t="shared" si="12"/>
        <v>-0.29393468118195953</v>
      </c>
      <c r="I30" s="42">
        <f t="shared" si="12"/>
        <v>9.6916299559471453E-2</v>
      </c>
      <c r="J30" s="42">
        <f t="shared" si="12"/>
        <v>0.17068273092369468</v>
      </c>
      <c r="K30" s="42">
        <f t="shared" si="12"/>
        <v>-2.4013722126929649E-2</v>
      </c>
      <c r="L30" s="42">
        <f t="shared" si="12"/>
        <v>-2.3725834797891032E-2</v>
      </c>
      <c r="M30" s="42">
        <f t="shared" si="12"/>
        <v>9.0909090909090828E-2</v>
      </c>
      <c r="N30" s="42">
        <f t="shared" si="12"/>
        <v>0.17986798679867988</v>
      </c>
      <c r="O30" s="42">
        <f t="shared" si="12"/>
        <v>0.30349650349650359</v>
      </c>
      <c r="P30" s="42">
        <f t="shared" si="12"/>
        <v>0.30525751072961382</v>
      </c>
      <c r="Q30" s="42">
        <f t="shared" si="12"/>
        <v>0.21783806000822037</v>
      </c>
      <c r="R30" s="42">
        <f t="shared" si="12"/>
        <v>0.2693216334795816</v>
      </c>
      <c r="S30" s="42">
        <f t="shared" si="12"/>
        <v>0.10316405211379953</v>
      </c>
      <c r="T30" s="42">
        <f t="shared" si="12"/>
        <v>0.32971800433839471</v>
      </c>
      <c r="U30" s="42">
        <f t="shared" si="12"/>
        <v>0.37737901033170207</v>
      </c>
      <c r="V30" s="42">
        <f t="shared" si="12"/>
        <v>0.32122647716804842</v>
      </c>
      <c r="W30" s="42">
        <f t="shared" si="12"/>
        <v>7.8685258964143356E-2</v>
      </c>
      <c r="X30" s="42">
        <f t="shared" si="12"/>
        <v>0.10738688827331488</v>
      </c>
      <c r="Y30" s="42">
        <f t="shared" si="12"/>
        <v>0.19478028850162588</v>
      </c>
      <c r="Z30" s="42">
        <f t="shared" si="12"/>
        <v>-9.4214529974178118E-3</v>
      </c>
      <c r="AA30" s="42">
        <f t="shared" si="12"/>
        <v>7.5172608144286279E-2</v>
      </c>
      <c r="AB30" s="42">
        <f t="shared" si="12"/>
        <v>9.4620273900792862E-2</v>
      </c>
      <c r="AC30" s="42">
        <f t="shared" si="12"/>
        <v>9.2187967674348892E-2</v>
      </c>
      <c r="AD30" s="42">
        <f t="shared" si="12"/>
        <v>9.1586736092080123E-2</v>
      </c>
      <c r="AE30" s="42">
        <f t="shared" si="12"/>
        <v>0.10328379192608961</v>
      </c>
      <c r="AF30" s="42">
        <f t="shared" si="12"/>
        <v>0.14203795567287125</v>
      </c>
      <c r="AG30" s="42">
        <f t="shared" si="12"/>
        <v>-6.4557264684784732E-3</v>
      </c>
      <c r="AH30" s="42">
        <f t="shared" si="12"/>
        <v>4.6727097705759668E-2</v>
      </c>
      <c r="AI30" s="42">
        <f t="shared" si="12"/>
        <v>5.7631145342376566E-2</v>
      </c>
    </row>
    <row r="31" spans="1:48">
      <c r="A31" s="4" t="s">
        <v>14</v>
      </c>
      <c r="B31" s="6">
        <v>0</v>
      </c>
      <c r="C31" s="6">
        <v>320.85599999999999</v>
      </c>
      <c r="D31" s="33">
        <v>-126.855</v>
      </c>
      <c r="E31" s="33">
        <v>-23</v>
      </c>
      <c r="F31" s="6">
        <v>179</v>
      </c>
      <c r="G31" s="6">
        <v>217</v>
      </c>
      <c r="H31" s="6">
        <v>0</v>
      </c>
      <c r="I31" s="6">
        <v>27</v>
      </c>
      <c r="J31" s="6">
        <v>8</v>
      </c>
      <c r="K31" s="6">
        <v>0</v>
      </c>
      <c r="L31" s="6">
        <v>30</v>
      </c>
      <c r="M31" s="6">
        <v>26</v>
      </c>
      <c r="N31" s="6">
        <v>23</v>
      </c>
      <c r="O31" s="6">
        <v>0</v>
      </c>
      <c r="P31" s="6">
        <v>0</v>
      </c>
      <c r="Q31" s="6">
        <v>0</v>
      </c>
      <c r="R31" s="6">
        <v>0</v>
      </c>
      <c r="S31" s="6">
        <v>0</v>
      </c>
      <c r="T31" s="6">
        <v>0</v>
      </c>
      <c r="U31" s="6">
        <v>0</v>
      </c>
      <c r="V31" s="6">
        <v>0</v>
      </c>
      <c r="W31" s="6">
        <v>0</v>
      </c>
      <c r="X31" s="8">
        <v>0</v>
      </c>
      <c r="Y31" s="8">
        <v>0</v>
      </c>
      <c r="Z31" s="8">
        <v>0</v>
      </c>
      <c r="AA31" s="8">
        <v>0</v>
      </c>
      <c r="AB31" s="8">
        <v>0</v>
      </c>
      <c r="AC31" s="8">
        <v>0</v>
      </c>
      <c r="AD31" s="8">
        <v>0</v>
      </c>
      <c r="AE31" s="8">
        <v>0</v>
      </c>
      <c r="AF31" s="8">
        <v>0</v>
      </c>
      <c r="AG31" s="8">
        <v>0</v>
      </c>
      <c r="AH31" s="8">
        <v>0</v>
      </c>
      <c r="AI31" s="8">
        <v>0</v>
      </c>
    </row>
    <row r="32" spans="1:48">
      <c r="A32" s="43" t="s">
        <v>144</v>
      </c>
      <c r="B32" s="6"/>
      <c r="C32" s="42" t="str">
        <f t="shared" ref="C32:AI32" si="13">IFERROR(C31/B31-1,"")</f>
        <v/>
      </c>
      <c r="D32" s="42">
        <f t="shared" si="13"/>
        <v>-1.3953642755628692</v>
      </c>
      <c r="E32" s="42">
        <f t="shared" si="13"/>
        <v>-0.81869063103543416</v>
      </c>
      <c r="F32" s="42">
        <f t="shared" si="13"/>
        <v>-8.7826086956521738</v>
      </c>
      <c r="G32" s="42">
        <f t="shared" si="13"/>
        <v>0.2122905027932962</v>
      </c>
      <c r="H32" s="42">
        <f t="shared" si="13"/>
        <v>-1</v>
      </c>
      <c r="I32" s="42" t="str">
        <f t="shared" si="13"/>
        <v/>
      </c>
      <c r="J32" s="42">
        <f t="shared" si="13"/>
        <v>-0.70370370370370372</v>
      </c>
      <c r="K32" s="42">
        <f t="shared" si="13"/>
        <v>-1</v>
      </c>
      <c r="L32" s="42" t="str">
        <f t="shared" si="13"/>
        <v/>
      </c>
      <c r="M32" s="42">
        <f t="shared" si="13"/>
        <v>-0.1333333333333333</v>
      </c>
      <c r="N32" s="42">
        <f t="shared" si="13"/>
        <v>-0.11538461538461542</v>
      </c>
      <c r="O32" s="42">
        <f t="shared" si="13"/>
        <v>-1</v>
      </c>
      <c r="P32" s="42" t="str">
        <f t="shared" si="13"/>
        <v/>
      </c>
      <c r="Q32" s="42" t="str">
        <f t="shared" si="13"/>
        <v/>
      </c>
      <c r="R32" s="42" t="str">
        <f t="shared" si="13"/>
        <v/>
      </c>
      <c r="S32" s="42" t="str">
        <f t="shared" si="13"/>
        <v/>
      </c>
      <c r="T32" s="42" t="str">
        <f t="shared" si="13"/>
        <v/>
      </c>
      <c r="U32" s="42" t="str">
        <f t="shared" si="13"/>
        <v/>
      </c>
      <c r="V32" s="42" t="str">
        <f t="shared" si="13"/>
        <v/>
      </c>
      <c r="W32" s="42" t="str">
        <f t="shared" si="13"/>
        <v/>
      </c>
      <c r="X32" s="42" t="str">
        <f t="shared" si="13"/>
        <v/>
      </c>
      <c r="Y32" s="42" t="str">
        <f t="shared" si="13"/>
        <v/>
      </c>
      <c r="Z32" s="42" t="str">
        <f t="shared" si="13"/>
        <v/>
      </c>
      <c r="AA32" s="42" t="str">
        <f t="shared" si="13"/>
        <v/>
      </c>
      <c r="AB32" s="42" t="str">
        <f t="shared" si="13"/>
        <v/>
      </c>
      <c r="AC32" s="42" t="str">
        <f t="shared" si="13"/>
        <v/>
      </c>
      <c r="AD32" s="42" t="str">
        <f t="shared" si="13"/>
        <v/>
      </c>
      <c r="AE32" s="42" t="str">
        <f t="shared" si="13"/>
        <v/>
      </c>
      <c r="AF32" s="42" t="str">
        <f t="shared" si="13"/>
        <v/>
      </c>
      <c r="AG32" s="42" t="str">
        <f t="shared" si="13"/>
        <v/>
      </c>
      <c r="AH32" s="42" t="str">
        <f t="shared" si="13"/>
        <v/>
      </c>
      <c r="AI32" s="42" t="str">
        <f t="shared" si="13"/>
        <v/>
      </c>
    </row>
    <row r="33" spans="1:48">
      <c r="A33" s="4" t="s">
        <v>15</v>
      </c>
      <c r="B33" s="6">
        <v>0</v>
      </c>
      <c r="C33" s="6">
        <v>0</v>
      </c>
      <c r="D33" s="6">
        <v>0</v>
      </c>
      <c r="E33" s="6">
        <v>0</v>
      </c>
      <c r="F33" s="6">
        <v>0</v>
      </c>
      <c r="G33" s="6">
        <v>375</v>
      </c>
      <c r="H33" s="6">
        <v>7</v>
      </c>
      <c r="I33" s="6">
        <v>0</v>
      </c>
      <c r="J33" s="6">
        <v>0</v>
      </c>
      <c r="K33" s="6">
        <v>11</v>
      </c>
      <c r="L33" s="6">
        <v>1</v>
      </c>
      <c r="M33" s="6">
        <v>0</v>
      </c>
      <c r="N33" s="6">
        <v>0</v>
      </c>
      <c r="O33" s="6">
        <v>0</v>
      </c>
      <c r="P33" s="6">
        <v>0</v>
      </c>
      <c r="Q33" s="6">
        <v>0</v>
      </c>
      <c r="R33" s="6">
        <v>0</v>
      </c>
      <c r="S33" s="6">
        <v>0</v>
      </c>
      <c r="T33" s="6">
        <v>0</v>
      </c>
      <c r="U33" s="6">
        <v>0</v>
      </c>
      <c r="V33" s="6">
        <v>0</v>
      </c>
      <c r="W33" s="6">
        <v>0</v>
      </c>
      <c r="X33" s="8">
        <v>0</v>
      </c>
      <c r="Y33" s="8">
        <v>0</v>
      </c>
      <c r="Z33" s="8">
        <v>0</v>
      </c>
      <c r="AA33" s="8">
        <v>0</v>
      </c>
      <c r="AB33" s="8">
        <v>0</v>
      </c>
      <c r="AC33" s="8">
        <v>0</v>
      </c>
      <c r="AD33" s="8">
        <v>0</v>
      </c>
      <c r="AE33" s="8">
        <v>0</v>
      </c>
      <c r="AF33" s="8">
        <v>0</v>
      </c>
      <c r="AG33" s="8">
        <v>0</v>
      </c>
      <c r="AH33" s="8">
        <v>0</v>
      </c>
      <c r="AI33" s="8">
        <v>0</v>
      </c>
    </row>
    <row r="34" spans="1:48">
      <c r="A34" s="43" t="s">
        <v>144</v>
      </c>
      <c r="B34" s="6"/>
      <c r="C34" s="42" t="str">
        <f t="shared" ref="C34:AI34" si="14">IFERROR(C33/B33-1,"")</f>
        <v/>
      </c>
      <c r="D34" s="42" t="str">
        <f t="shared" si="14"/>
        <v/>
      </c>
      <c r="E34" s="42" t="str">
        <f t="shared" si="14"/>
        <v/>
      </c>
      <c r="F34" s="42" t="str">
        <f t="shared" si="14"/>
        <v/>
      </c>
      <c r="G34" s="42" t="str">
        <f t="shared" si="14"/>
        <v/>
      </c>
      <c r="H34" s="42">
        <f t="shared" si="14"/>
        <v>-0.98133333333333328</v>
      </c>
      <c r="I34" s="42">
        <f t="shared" si="14"/>
        <v>-1</v>
      </c>
      <c r="J34" s="42" t="str">
        <f t="shared" si="14"/>
        <v/>
      </c>
      <c r="K34" s="42" t="str">
        <f t="shared" si="14"/>
        <v/>
      </c>
      <c r="L34" s="42">
        <f t="shared" si="14"/>
        <v>-0.90909090909090906</v>
      </c>
      <c r="M34" s="42">
        <f t="shared" si="14"/>
        <v>-1</v>
      </c>
      <c r="N34" s="42" t="str">
        <f t="shared" si="14"/>
        <v/>
      </c>
      <c r="O34" s="42" t="str">
        <f t="shared" si="14"/>
        <v/>
      </c>
      <c r="P34" s="42" t="str">
        <f t="shared" si="14"/>
        <v/>
      </c>
      <c r="Q34" s="42" t="str">
        <f t="shared" si="14"/>
        <v/>
      </c>
      <c r="R34" s="42" t="str">
        <f t="shared" si="14"/>
        <v/>
      </c>
      <c r="S34" s="42" t="str">
        <f t="shared" si="14"/>
        <v/>
      </c>
      <c r="T34" s="42" t="str">
        <f t="shared" si="14"/>
        <v/>
      </c>
      <c r="U34" s="42" t="str">
        <f t="shared" si="14"/>
        <v/>
      </c>
      <c r="V34" s="42" t="str">
        <f t="shared" si="14"/>
        <v/>
      </c>
      <c r="W34" s="42" t="str">
        <f t="shared" si="14"/>
        <v/>
      </c>
      <c r="X34" s="42" t="str">
        <f t="shared" si="14"/>
        <v/>
      </c>
      <c r="Y34" s="42" t="str">
        <f t="shared" si="14"/>
        <v/>
      </c>
      <c r="Z34" s="42" t="str">
        <f t="shared" si="14"/>
        <v/>
      </c>
      <c r="AA34" s="42" t="str">
        <f t="shared" si="14"/>
        <v/>
      </c>
      <c r="AB34" s="42" t="str">
        <f t="shared" si="14"/>
        <v/>
      </c>
      <c r="AC34" s="42" t="str">
        <f t="shared" si="14"/>
        <v/>
      </c>
      <c r="AD34" s="42" t="str">
        <f t="shared" si="14"/>
        <v/>
      </c>
      <c r="AE34" s="42" t="str">
        <f t="shared" si="14"/>
        <v/>
      </c>
      <c r="AF34" s="42" t="str">
        <f t="shared" si="14"/>
        <v/>
      </c>
      <c r="AG34" s="42" t="str">
        <f t="shared" si="14"/>
        <v/>
      </c>
      <c r="AH34" s="42" t="str">
        <f t="shared" si="14"/>
        <v/>
      </c>
      <c r="AI34" s="42" t="str">
        <f t="shared" si="14"/>
        <v/>
      </c>
    </row>
    <row r="35" spans="1:48">
      <c r="A35" s="4" t="s">
        <v>16</v>
      </c>
      <c r="B35" s="6">
        <v>0</v>
      </c>
      <c r="C35" s="6">
        <v>0</v>
      </c>
      <c r="D35" s="6">
        <v>0</v>
      </c>
      <c r="E35" s="6">
        <v>0</v>
      </c>
      <c r="F35" s="6">
        <v>0</v>
      </c>
      <c r="G35" s="6">
        <v>75</v>
      </c>
      <c r="H35" s="6">
        <v>0</v>
      </c>
      <c r="I35" s="6">
        <v>0</v>
      </c>
      <c r="J35" s="6">
        <v>0</v>
      </c>
      <c r="K35" s="6">
        <v>0</v>
      </c>
      <c r="L35" s="6">
        <v>0</v>
      </c>
      <c r="M35" s="6">
        <v>0</v>
      </c>
      <c r="N35" s="6">
        <v>0</v>
      </c>
      <c r="O35" s="6">
        <v>0</v>
      </c>
      <c r="P35" s="6">
        <v>0</v>
      </c>
      <c r="Q35" s="6">
        <v>0</v>
      </c>
      <c r="R35" s="6">
        <v>0</v>
      </c>
      <c r="S35" s="6">
        <v>0</v>
      </c>
      <c r="T35" s="6">
        <v>0</v>
      </c>
      <c r="U35" s="6">
        <v>0</v>
      </c>
      <c r="V35" s="6">
        <v>0</v>
      </c>
      <c r="W35" s="6">
        <v>0</v>
      </c>
      <c r="X35" s="8">
        <v>0</v>
      </c>
      <c r="Y35" s="8">
        <v>0</v>
      </c>
      <c r="Z35" s="8">
        <v>0</v>
      </c>
      <c r="AA35" s="8">
        <v>0</v>
      </c>
      <c r="AB35" s="8">
        <v>0</v>
      </c>
      <c r="AC35" s="8">
        <v>0</v>
      </c>
      <c r="AD35" s="8">
        <v>0</v>
      </c>
      <c r="AE35" s="8">
        <v>0</v>
      </c>
      <c r="AF35" s="8">
        <v>0</v>
      </c>
      <c r="AG35" s="8">
        <v>0</v>
      </c>
      <c r="AH35" s="8">
        <v>0</v>
      </c>
      <c r="AI35" s="8">
        <v>0</v>
      </c>
    </row>
    <row r="36" spans="1:48">
      <c r="A36" s="43" t="s">
        <v>144</v>
      </c>
      <c r="B36" s="6"/>
      <c r="C36" s="42" t="str">
        <f t="shared" ref="C36:AI36" si="15">IFERROR(C35/B35-1,"")</f>
        <v/>
      </c>
      <c r="D36" s="42" t="str">
        <f t="shared" si="15"/>
        <v/>
      </c>
      <c r="E36" s="42" t="str">
        <f t="shared" si="15"/>
        <v/>
      </c>
      <c r="F36" s="42" t="str">
        <f t="shared" si="15"/>
        <v/>
      </c>
      <c r="G36" s="42" t="str">
        <f t="shared" si="15"/>
        <v/>
      </c>
      <c r="H36" s="42">
        <f t="shared" si="15"/>
        <v>-1</v>
      </c>
      <c r="I36" s="42" t="str">
        <f t="shared" si="15"/>
        <v/>
      </c>
      <c r="J36" s="42" t="str">
        <f t="shared" si="15"/>
        <v/>
      </c>
      <c r="K36" s="42" t="str">
        <f t="shared" si="15"/>
        <v/>
      </c>
      <c r="L36" s="42" t="str">
        <f t="shared" si="15"/>
        <v/>
      </c>
      <c r="M36" s="42" t="str">
        <f t="shared" si="15"/>
        <v/>
      </c>
      <c r="N36" s="42" t="str">
        <f t="shared" si="15"/>
        <v/>
      </c>
      <c r="O36" s="42" t="str">
        <f t="shared" si="15"/>
        <v/>
      </c>
      <c r="P36" s="42" t="str">
        <f t="shared" si="15"/>
        <v/>
      </c>
      <c r="Q36" s="42" t="str">
        <f t="shared" si="15"/>
        <v/>
      </c>
      <c r="R36" s="42" t="str">
        <f t="shared" si="15"/>
        <v/>
      </c>
      <c r="S36" s="42" t="str">
        <f t="shared" si="15"/>
        <v/>
      </c>
      <c r="T36" s="42" t="str">
        <f t="shared" si="15"/>
        <v/>
      </c>
      <c r="U36" s="42" t="str">
        <f t="shared" si="15"/>
        <v/>
      </c>
      <c r="V36" s="42" t="str">
        <f t="shared" si="15"/>
        <v/>
      </c>
      <c r="W36" s="42" t="str">
        <f t="shared" si="15"/>
        <v/>
      </c>
      <c r="X36" s="42" t="str">
        <f t="shared" si="15"/>
        <v/>
      </c>
      <c r="Y36" s="42" t="str">
        <f t="shared" si="15"/>
        <v/>
      </c>
      <c r="Z36" s="42" t="str">
        <f t="shared" si="15"/>
        <v/>
      </c>
      <c r="AA36" s="42" t="str">
        <f t="shared" si="15"/>
        <v/>
      </c>
      <c r="AB36" s="42" t="str">
        <f t="shared" si="15"/>
        <v/>
      </c>
      <c r="AC36" s="42" t="str">
        <f t="shared" si="15"/>
        <v/>
      </c>
      <c r="AD36" s="42" t="str">
        <f t="shared" si="15"/>
        <v/>
      </c>
      <c r="AE36" s="42" t="str">
        <f t="shared" si="15"/>
        <v/>
      </c>
      <c r="AF36" s="42" t="str">
        <f t="shared" si="15"/>
        <v/>
      </c>
      <c r="AG36" s="42" t="str">
        <f t="shared" si="15"/>
        <v/>
      </c>
      <c r="AH36" s="42" t="str">
        <f t="shared" si="15"/>
        <v/>
      </c>
      <c r="AI36" s="42" t="str">
        <f t="shared" si="15"/>
        <v/>
      </c>
    </row>
    <row r="37" spans="1:48">
      <c r="A37" s="4" t="s">
        <v>17</v>
      </c>
      <c r="B37" s="6">
        <v>0</v>
      </c>
      <c r="C37" s="6">
        <v>0</v>
      </c>
      <c r="D37" s="6">
        <v>0</v>
      </c>
      <c r="E37" s="6">
        <v>0</v>
      </c>
      <c r="F37" s="6">
        <v>0</v>
      </c>
      <c r="G37" s="6">
        <v>0</v>
      </c>
      <c r="H37" s="6">
        <v>0</v>
      </c>
      <c r="I37" s="6">
        <v>0</v>
      </c>
      <c r="J37" s="6">
        <v>90</v>
      </c>
      <c r="K37" s="6">
        <v>0</v>
      </c>
      <c r="L37" s="33">
        <v>-2</v>
      </c>
      <c r="M37" s="6">
        <v>0</v>
      </c>
      <c r="N37" s="6">
        <v>0</v>
      </c>
      <c r="O37" s="6">
        <v>0</v>
      </c>
      <c r="P37" s="6">
        <v>0</v>
      </c>
      <c r="Q37" s="6">
        <v>0</v>
      </c>
      <c r="R37" s="6">
        <v>0</v>
      </c>
      <c r="S37" s="6">
        <v>0</v>
      </c>
      <c r="T37" s="6">
        <v>0</v>
      </c>
      <c r="U37" s="6">
        <v>0</v>
      </c>
      <c r="V37" s="6">
        <v>0</v>
      </c>
      <c r="W37" s="6">
        <v>0</v>
      </c>
      <c r="X37" s="8">
        <v>0</v>
      </c>
      <c r="Y37" s="8">
        <v>0</v>
      </c>
      <c r="Z37" s="8">
        <v>0</v>
      </c>
      <c r="AA37" s="8">
        <v>0</v>
      </c>
      <c r="AB37" s="8">
        <v>0</v>
      </c>
      <c r="AC37" s="8">
        <v>0</v>
      </c>
      <c r="AD37" s="8">
        <v>0</v>
      </c>
      <c r="AE37" s="8">
        <v>0</v>
      </c>
      <c r="AF37" s="8">
        <v>0</v>
      </c>
      <c r="AG37" s="8">
        <v>0</v>
      </c>
      <c r="AH37" s="8">
        <v>0</v>
      </c>
      <c r="AI37" s="8">
        <v>0</v>
      </c>
    </row>
    <row r="38" spans="1:48">
      <c r="A38" s="43" t="s">
        <v>144</v>
      </c>
      <c r="B38" s="42" t="str">
        <f t="shared" ref="B38:AI38" si="16">IFERROR(B37/A37-1,"")</f>
        <v/>
      </c>
      <c r="C38" s="42" t="str">
        <f t="shared" si="16"/>
        <v/>
      </c>
      <c r="D38" s="42" t="str">
        <f t="shared" si="16"/>
        <v/>
      </c>
      <c r="E38" s="42" t="str">
        <f t="shared" si="16"/>
        <v/>
      </c>
      <c r="F38" s="42" t="str">
        <f t="shared" si="16"/>
        <v/>
      </c>
      <c r="G38" s="42" t="str">
        <f t="shared" si="16"/>
        <v/>
      </c>
      <c r="H38" s="42" t="str">
        <f t="shared" si="16"/>
        <v/>
      </c>
      <c r="I38" s="42" t="str">
        <f t="shared" si="16"/>
        <v/>
      </c>
      <c r="J38" s="42" t="str">
        <f t="shared" si="16"/>
        <v/>
      </c>
      <c r="K38" s="42">
        <f t="shared" si="16"/>
        <v>-1</v>
      </c>
      <c r="L38" s="42" t="str">
        <f t="shared" si="16"/>
        <v/>
      </c>
      <c r="M38" s="42">
        <f t="shared" si="16"/>
        <v>-1</v>
      </c>
      <c r="N38" s="42" t="str">
        <f t="shared" si="16"/>
        <v/>
      </c>
      <c r="O38" s="42" t="str">
        <f t="shared" si="16"/>
        <v/>
      </c>
      <c r="P38" s="42" t="str">
        <f t="shared" si="16"/>
        <v/>
      </c>
      <c r="Q38" s="42" t="str">
        <f t="shared" si="16"/>
        <v/>
      </c>
      <c r="R38" s="42" t="str">
        <f t="shared" si="16"/>
        <v/>
      </c>
      <c r="S38" s="42" t="str">
        <f t="shared" si="16"/>
        <v/>
      </c>
      <c r="T38" s="42" t="str">
        <f t="shared" si="16"/>
        <v/>
      </c>
      <c r="U38" s="42" t="str">
        <f t="shared" si="16"/>
        <v/>
      </c>
      <c r="V38" s="42" t="str">
        <f t="shared" si="16"/>
        <v/>
      </c>
      <c r="W38" s="42" t="str">
        <f t="shared" si="16"/>
        <v/>
      </c>
      <c r="X38" s="42" t="str">
        <f t="shared" si="16"/>
        <v/>
      </c>
      <c r="Y38" s="42" t="str">
        <f t="shared" si="16"/>
        <v/>
      </c>
      <c r="Z38" s="42" t="str">
        <f t="shared" si="16"/>
        <v/>
      </c>
      <c r="AA38" s="42" t="str">
        <f t="shared" si="16"/>
        <v/>
      </c>
      <c r="AB38" s="42" t="str">
        <f t="shared" si="16"/>
        <v/>
      </c>
      <c r="AC38" s="42" t="str">
        <f t="shared" si="16"/>
        <v/>
      </c>
      <c r="AD38" s="42" t="str">
        <f t="shared" si="16"/>
        <v/>
      </c>
      <c r="AE38" s="42" t="str">
        <f t="shared" si="16"/>
        <v/>
      </c>
      <c r="AF38" s="42" t="str">
        <f t="shared" si="16"/>
        <v/>
      </c>
      <c r="AG38" s="42" t="str">
        <f t="shared" si="16"/>
        <v/>
      </c>
      <c r="AH38" s="42" t="str">
        <f t="shared" si="16"/>
        <v/>
      </c>
      <c r="AI38" s="42" t="str">
        <f t="shared" si="16"/>
        <v/>
      </c>
    </row>
    <row r="39" spans="1:48">
      <c r="A39" s="17" t="s">
        <v>18</v>
      </c>
      <c r="B39" s="18">
        <f>B27+B29+B31+B33+B35+B37</f>
        <v>2289.3969999999999</v>
      </c>
      <c r="C39" s="18">
        <f t="shared" ref="C39:AI39" si="17">C27+C29+C31+C33+C35+C37</f>
        <v>2617.7820000000002</v>
      </c>
      <c r="D39" s="18">
        <f t="shared" si="17"/>
        <v>1821.5590000000002</v>
      </c>
      <c r="E39" s="18">
        <f t="shared" si="17"/>
        <v>2174</v>
      </c>
      <c r="F39" s="18">
        <f t="shared" si="17"/>
        <v>2351</v>
      </c>
      <c r="G39" s="18">
        <f t="shared" si="17"/>
        <v>2438</v>
      </c>
      <c r="H39" s="18">
        <f t="shared" si="17"/>
        <v>1218</v>
      </c>
      <c r="I39" s="18">
        <f t="shared" si="17"/>
        <v>1337</v>
      </c>
      <c r="J39" s="18">
        <f t="shared" si="17"/>
        <v>1644</v>
      </c>
      <c r="K39" s="18">
        <f t="shared" si="17"/>
        <v>1579</v>
      </c>
      <c r="L39" s="18">
        <f t="shared" si="17"/>
        <v>1586</v>
      </c>
      <c r="M39" s="18">
        <f t="shared" si="17"/>
        <v>1709</v>
      </c>
      <c r="N39" s="18">
        <f t="shared" si="17"/>
        <v>1944</v>
      </c>
      <c r="O39" s="18">
        <f t="shared" si="17"/>
        <v>2399</v>
      </c>
      <c r="P39" s="18">
        <f t="shared" si="17"/>
        <v>3145</v>
      </c>
      <c r="Q39" s="18">
        <f t="shared" si="17"/>
        <v>3745</v>
      </c>
      <c r="R39" s="18">
        <f t="shared" si="17"/>
        <v>4870</v>
      </c>
      <c r="S39" s="18">
        <f t="shared" si="17"/>
        <v>5482</v>
      </c>
      <c r="T39" s="18">
        <f t="shared" si="17"/>
        <v>7299</v>
      </c>
      <c r="U39" s="18">
        <f t="shared" si="17"/>
        <v>10028</v>
      </c>
      <c r="V39" s="18">
        <f t="shared" si="17"/>
        <v>13421</v>
      </c>
      <c r="W39" s="18">
        <f t="shared" si="17"/>
        <v>15305</v>
      </c>
      <c r="X39" s="18">
        <f t="shared" si="17"/>
        <v>18034</v>
      </c>
      <c r="Y39" s="18">
        <f t="shared" si="17"/>
        <v>22396</v>
      </c>
      <c r="Z39" s="18">
        <f t="shared" si="17"/>
        <v>24239</v>
      </c>
      <c r="AA39" s="18">
        <f t="shared" si="17"/>
        <v>26842</v>
      </c>
      <c r="AB39" s="18">
        <f t="shared" si="17"/>
        <v>30941</v>
      </c>
      <c r="AC39" s="18">
        <f t="shared" si="17"/>
        <v>34462</v>
      </c>
      <c r="AD39" s="18">
        <f t="shared" si="17"/>
        <v>38668</v>
      </c>
      <c r="AE39" s="18">
        <f t="shared" si="17"/>
        <v>43887</v>
      </c>
      <c r="AF39" s="18">
        <f t="shared" si="17"/>
        <v>51345</v>
      </c>
      <c r="AG39" s="18">
        <f t="shared" si="17"/>
        <v>54847</v>
      </c>
      <c r="AH39" s="18">
        <f t="shared" si="17"/>
        <v>57467</v>
      </c>
      <c r="AI39" s="18">
        <f t="shared" si="17"/>
        <v>62151</v>
      </c>
    </row>
    <row r="40" spans="1:48">
      <c r="A40" s="43" t="s">
        <v>144</v>
      </c>
      <c r="B40" s="18"/>
      <c r="C40" s="42">
        <f t="shared" ref="C40:C42" si="18">IFERROR(C39/B39-1,"")</f>
        <v>0.1434373330619374</v>
      </c>
      <c r="D40" s="42">
        <f t="shared" ref="D40" si="19">IFERROR(D39/C39-1,"")</f>
        <v>-0.30415939906378753</v>
      </c>
      <c r="E40" s="42">
        <f t="shared" ref="E40" si="20">IFERROR(E39/D39-1,"")</f>
        <v>0.19348316469573579</v>
      </c>
      <c r="F40" s="42">
        <f t="shared" ref="F40" si="21">IFERROR(F39/E39-1,"")</f>
        <v>8.1416743330266828E-2</v>
      </c>
      <c r="G40" s="42">
        <f t="shared" ref="G40" si="22">IFERROR(G39/F39-1,"")</f>
        <v>3.7005529561888517E-2</v>
      </c>
      <c r="H40" s="42">
        <f t="shared" ref="H40" si="23">IFERROR(H39/G39-1,"")</f>
        <v>-0.5004101722723544</v>
      </c>
      <c r="I40" s="42">
        <f t="shared" ref="I40" si="24">IFERROR(I39/H39-1,"")</f>
        <v>9.7701149425287293E-2</v>
      </c>
      <c r="J40" s="42">
        <f t="shared" ref="J40" si="25">IFERROR(J39/I39-1,"")</f>
        <v>0.22961854899027667</v>
      </c>
      <c r="K40" s="42">
        <f t="shared" ref="K40" si="26">IFERROR(K39/J39-1,"")</f>
        <v>-3.9537712895377108E-2</v>
      </c>
      <c r="L40" s="42">
        <f t="shared" ref="L40" si="27">IFERROR(L39/K39-1,"")</f>
        <v>4.4331855604813342E-3</v>
      </c>
      <c r="M40" s="42">
        <f t="shared" ref="M40" si="28">IFERROR(M39/L39-1,"")</f>
        <v>7.7553593947036648E-2</v>
      </c>
      <c r="N40" s="42">
        <f t="shared" ref="N40" si="29">IFERROR(N39/M39-1,"")</f>
        <v>0.13750731421884144</v>
      </c>
      <c r="O40" s="42">
        <f t="shared" ref="O40" si="30">IFERROR(O39/N39-1,"")</f>
        <v>0.23405349794238672</v>
      </c>
      <c r="P40" s="42">
        <f t="shared" ref="P40" si="31">IFERROR(P39/O39-1,"")</f>
        <v>0.31096290120883707</v>
      </c>
      <c r="Q40" s="42">
        <f t="shared" ref="Q40" si="32">IFERROR(Q39/P39-1,"")</f>
        <v>0.19077901430842603</v>
      </c>
      <c r="R40" s="42">
        <f t="shared" ref="R40" si="33">IFERROR(R39/Q39-1,"")</f>
        <v>0.30040053404539391</v>
      </c>
      <c r="S40" s="42">
        <f t="shared" ref="S40" si="34">IFERROR(S39/R39-1,"")</f>
        <v>0.12566735112936356</v>
      </c>
      <c r="T40" s="42">
        <f t="shared" ref="T40" si="35">IFERROR(T39/S39-1,"")</f>
        <v>0.3314483765049252</v>
      </c>
      <c r="U40" s="42">
        <f t="shared" ref="U40" si="36">IFERROR(U39/T39-1,"")</f>
        <v>0.37388683381285115</v>
      </c>
      <c r="V40" s="42">
        <f t="shared" ref="V40" si="37">IFERROR(V39/U39-1,"")</f>
        <v>0.33835261268448336</v>
      </c>
      <c r="W40" s="42">
        <f t="shared" ref="W40" si="38">IFERROR(W39/V39-1,"")</f>
        <v>0.1403770210863573</v>
      </c>
      <c r="X40" s="42">
        <f t="shared" ref="X40" si="39">IFERROR(X39/W39-1,"")</f>
        <v>0.17830774256778836</v>
      </c>
      <c r="Y40" s="42">
        <f t="shared" ref="Y40" si="40">IFERROR(Y39/X39-1,"")</f>
        <v>0.24187645558389703</v>
      </c>
      <c r="Z40" s="42">
        <f t="shared" ref="Z40" si="41">IFERROR(Z39/Y39-1,"")</f>
        <v>8.229148062153957E-2</v>
      </c>
      <c r="AA40" s="42">
        <f t="shared" ref="AA40" si="42">IFERROR(AA39/Z39-1,"")</f>
        <v>0.1073889186847643</v>
      </c>
      <c r="AB40" s="42">
        <f t="shared" ref="AB40" si="43">IFERROR(AB39/AA39-1,"")</f>
        <v>0.15270844199389022</v>
      </c>
      <c r="AC40" s="42">
        <f t="shared" ref="AC40" si="44">IFERROR(AC39/AB39-1,"")</f>
        <v>0.11379722698038197</v>
      </c>
      <c r="AD40" s="42">
        <f t="shared" ref="AD40" si="45">IFERROR(AD39/AC39-1,"")</f>
        <v>0.12204747257849236</v>
      </c>
      <c r="AE40" s="42">
        <f t="shared" ref="AE40" si="46">IFERROR(AE39/AD39-1,"")</f>
        <v>0.13496948381090301</v>
      </c>
      <c r="AF40" s="42">
        <f t="shared" ref="AF40" si="47">IFERROR(AF39/AE39-1,"")</f>
        <v>0.16993642764372141</v>
      </c>
      <c r="AG40" s="42">
        <f t="shared" ref="AG40" si="48">IFERROR(AG39/AF39-1,"")</f>
        <v>6.8205278021228999E-2</v>
      </c>
      <c r="AH40" s="42">
        <f t="shared" ref="AH40" si="49">IFERROR(AH39/AG39-1,"")</f>
        <v>4.7769249001768488E-2</v>
      </c>
      <c r="AI40" s="42">
        <f t="shared" ref="AI40" si="50">IFERROR(AI39/AH39-1,"")</f>
        <v>8.1507647867471666E-2</v>
      </c>
      <c r="AL40" s="50" t="s">
        <v>148</v>
      </c>
      <c r="AM40" s="50" t="s">
        <v>149</v>
      </c>
      <c r="AN40" s="50"/>
      <c r="AO40" s="50" t="s">
        <v>150</v>
      </c>
      <c r="AP40" s="50" t="s">
        <v>149</v>
      </c>
      <c r="AQ40" s="50"/>
      <c r="AR40" s="50" t="s">
        <v>151</v>
      </c>
      <c r="AS40" s="50" t="s">
        <v>149</v>
      </c>
      <c r="AT40" s="50"/>
      <c r="AU40" s="50" t="s">
        <v>152</v>
      </c>
      <c r="AV40" s="50" t="s">
        <v>149</v>
      </c>
    </row>
    <row r="41" spans="1:48">
      <c r="A41" s="17" t="s">
        <v>19</v>
      </c>
      <c r="B41" s="18">
        <f t="shared" ref="B41:AI41" si="51">B24-B39</f>
        <v>805.80800000000045</v>
      </c>
      <c r="C41" s="18">
        <f t="shared" si="51"/>
        <v>110.33799999999974</v>
      </c>
      <c r="D41" s="18">
        <f t="shared" si="51"/>
        <v>522.27399999999943</v>
      </c>
      <c r="E41" s="18">
        <f t="shared" si="51"/>
        <v>684</v>
      </c>
      <c r="F41" s="34">
        <f t="shared" si="51"/>
        <v>-1383</v>
      </c>
      <c r="G41" s="34">
        <f t="shared" si="51"/>
        <v>-1070</v>
      </c>
      <c r="H41" s="18">
        <f t="shared" si="51"/>
        <v>261</v>
      </c>
      <c r="I41" s="18">
        <f t="shared" si="51"/>
        <v>359</v>
      </c>
      <c r="J41" s="18">
        <f t="shared" si="51"/>
        <v>522</v>
      </c>
      <c r="K41" s="34">
        <f t="shared" si="51"/>
        <v>-344</v>
      </c>
      <c r="L41" s="18">
        <f t="shared" si="51"/>
        <v>17</v>
      </c>
      <c r="M41" s="34">
        <f t="shared" si="51"/>
        <v>-1</v>
      </c>
      <c r="N41" s="18">
        <f t="shared" si="51"/>
        <v>313</v>
      </c>
      <c r="O41" s="18">
        <f t="shared" si="51"/>
        <v>1643</v>
      </c>
      <c r="P41" s="18">
        <f t="shared" si="51"/>
        <v>2453</v>
      </c>
      <c r="Q41" s="18">
        <f t="shared" si="51"/>
        <v>4407</v>
      </c>
      <c r="R41" s="18">
        <f t="shared" si="51"/>
        <v>8327</v>
      </c>
      <c r="S41" s="18">
        <f t="shared" si="51"/>
        <v>11740</v>
      </c>
      <c r="T41" s="18">
        <f t="shared" si="51"/>
        <v>18385</v>
      </c>
      <c r="U41" s="18">
        <f t="shared" si="51"/>
        <v>33790</v>
      </c>
      <c r="V41" s="18">
        <f t="shared" si="51"/>
        <v>55241</v>
      </c>
      <c r="W41" s="18">
        <f t="shared" si="51"/>
        <v>48999</v>
      </c>
      <c r="X41" s="19">
        <f t="shared" si="51"/>
        <v>52503</v>
      </c>
      <c r="Y41" s="19">
        <f t="shared" si="51"/>
        <v>71230</v>
      </c>
      <c r="Z41" s="19">
        <f t="shared" si="51"/>
        <v>60024</v>
      </c>
      <c r="AA41" s="19">
        <f t="shared" si="51"/>
        <v>61344</v>
      </c>
      <c r="AB41" s="19">
        <f t="shared" si="51"/>
        <v>70898</v>
      </c>
      <c r="AC41" s="19">
        <f t="shared" si="51"/>
        <v>63930</v>
      </c>
      <c r="AD41" s="19">
        <f t="shared" si="51"/>
        <v>66288</v>
      </c>
      <c r="AE41" s="19">
        <f t="shared" si="51"/>
        <v>108949</v>
      </c>
      <c r="AF41" s="19">
        <f t="shared" si="51"/>
        <v>119437</v>
      </c>
      <c r="AG41" s="19">
        <f t="shared" si="51"/>
        <v>114301</v>
      </c>
      <c r="AH41" s="19">
        <f t="shared" si="51"/>
        <v>123216</v>
      </c>
      <c r="AI41" s="19">
        <f t="shared" si="51"/>
        <v>133050</v>
      </c>
      <c r="AL41" s="51">
        <f>IFERROR((AI41/B41)^(1/33)-1,"")</f>
        <v>0.16736200707890969</v>
      </c>
      <c r="AM41" s="51">
        <f>IFERROR(PRODUCT(1+C42,1+D42,1+E42,1+F42,1+G42,1+H42,1+I42,1+J42,1+K42,1+L42,1+M42,1+N42,1+O42,1+P42,1+Q42,1+R42,1+S42,1+T42,1+U42,1+V42,1+W42,1+X42,1+Y42,1+Z42,1+AA42,1+AB42,1+AC42,1+AD42,1+AE42,1+AF42,1+AG42,1+AH42,1+AI42)^(1/33)-1,"")</f>
        <v>0.16736200707890969</v>
      </c>
      <c r="AO41" s="51">
        <f>IFERROR((AI41/O41)^(1/20)-1, "")</f>
        <v>0.24571549287785377</v>
      </c>
      <c r="AP41" s="51">
        <f>IFERROR(PRODUCT(1+P42,1+Q42,1+R42,1+S42,1+T42,1+U42,1+V42,1+W42,1+X42,1+Y42,1+Z42,1+AA42,1+AB42,1+AC42,1+AD42,1+AE42,1+AF42,1+AG42,1+AH42,1+AI42)^(1/20)-1,"")</f>
        <v>0.24571549287785377</v>
      </c>
      <c r="AR41" s="51">
        <f>IFERROR((AI41/Y41)^(1/10)-1,"")</f>
        <v>6.4474331586604761E-2</v>
      </c>
      <c r="AS41" s="51">
        <f>IFERROR(PRODUCT(1+Z42,1+AA42,1+AB42,1+AC42,1+AD42,1+AE42,1+AF42,1+AG42,1+AH42,1+AI42)^(1/10)-1,"")</f>
        <v>6.4474331586604761E-2</v>
      </c>
      <c r="AU41" s="51">
        <f>IFERROR((AI41/AD41)^(1/5)-1,"")</f>
        <v>0.14951857284756986</v>
      </c>
      <c r="AV41" s="51">
        <f>IFERROR(PRODUCT(1+AE42,1+AF42,1+AG42,1+AH42,1+AI42)^(1/5)-1,"")</f>
        <v>0.14951857284756986</v>
      </c>
    </row>
    <row r="42" spans="1:48">
      <c r="A42" s="43" t="s">
        <v>144</v>
      </c>
      <c r="B42" s="26"/>
      <c r="C42" s="42">
        <f t="shared" si="18"/>
        <v>-0.86307160018267415</v>
      </c>
      <c r="D42" s="42">
        <f t="shared" ref="D42" si="52">IFERROR(D41/C41-1,"")</f>
        <v>3.7334010041871402</v>
      </c>
      <c r="E42" s="42">
        <f t="shared" ref="E42" si="53">IFERROR(E41/D41-1,"")</f>
        <v>0.30965738290629208</v>
      </c>
      <c r="F42" s="42">
        <f t="shared" ref="F42" si="54">IFERROR(F41/E41-1,"")</f>
        <v>-3.0219298245614037</v>
      </c>
      <c r="G42" s="42">
        <f t="shared" ref="G42" si="55">IFERROR(G41/F41-1,"")</f>
        <v>-0.22631959508315258</v>
      </c>
      <c r="H42" s="42">
        <f t="shared" ref="H42" si="56">IFERROR(H41/G41-1,"")</f>
        <v>-1.2439252336448599</v>
      </c>
      <c r="I42" s="42">
        <f t="shared" ref="I42" si="57">IFERROR(I41/H41-1,"")</f>
        <v>0.37547892720306519</v>
      </c>
      <c r="J42" s="42">
        <f t="shared" ref="J42" si="58">IFERROR(J41/I41-1,"")</f>
        <v>0.45403899721448471</v>
      </c>
      <c r="K42" s="42">
        <f t="shared" ref="K42" si="59">IFERROR(K41/J41-1,"")</f>
        <v>-1.6590038314176245</v>
      </c>
      <c r="L42" s="42">
        <f t="shared" ref="L42" si="60">IFERROR(L41/K41-1,"")</f>
        <v>-1.0494186046511629</v>
      </c>
      <c r="M42" s="42">
        <f t="shared" ref="M42" si="61">IFERROR(M41/L41-1,"")</f>
        <v>-1.0588235294117647</v>
      </c>
      <c r="N42" s="42">
        <f t="shared" ref="N42" si="62">IFERROR(N41/M41-1,"")</f>
        <v>-314</v>
      </c>
      <c r="O42" s="42">
        <f t="shared" ref="O42" si="63">IFERROR(O41/N41-1,"")</f>
        <v>4.2492012779552715</v>
      </c>
      <c r="P42" s="42">
        <f t="shared" ref="P42" si="64">IFERROR(P41/O41-1,"")</f>
        <v>0.49300060864272677</v>
      </c>
      <c r="Q42" s="42">
        <f t="shared" ref="Q42" si="65">IFERROR(Q41/P41-1,"")</f>
        <v>0.79657562168772933</v>
      </c>
      <c r="R42" s="42">
        <f t="shared" ref="R42" si="66">IFERROR(R41/Q41-1,"")</f>
        <v>0.88949398683911962</v>
      </c>
      <c r="S42" s="42">
        <f t="shared" ref="S42" si="67">IFERROR(S41/R41-1,"")</f>
        <v>0.40987150234177983</v>
      </c>
      <c r="T42" s="42">
        <f t="shared" ref="T42" si="68">IFERROR(T41/S41-1,"")</f>
        <v>0.56601362862010229</v>
      </c>
      <c r="U42" s="42">
        <f t="shared" ref="U42" si="69">IFERROR(U41/T41-1,"")</f>
        <v>0.83791134076692964</v>
      </c>
      <c r="V42" s="42">
        <f t="shared" ref="V42" si="70">IFERROR(V41/U41-1,"")</f>
        <v>0.63483279076649901</v>
      </c>
      <c r="W42" s="42">
        <f t="shared" ref="W42" si="71">IFERROR(W41/V41-1,"")</f>
        <v>-0.11299578211835415</v>
      </c>
      <c r="X42" s="42">
        <f t="shared" ref="X42" si="72">IFERROR(X41/W41-1,"")</f>
        <v>7.151166350333682E-2</v>
      </c>
      <c r="Y42" s="42">
        <f t="shared" ref="Y42" si="73">IFERROR(Y41/X41-1,"")</f>
        <v>0.35668437994019397</v>
      </c>
      <c r="Z42" s="42">
        <f t="shared" ref="Z42" si="74">IFERROR(Z41/Y41-1,"")</f>
        <v>-0.15732135336234732</v>
      </c>
      <c r="AA42" s="42">
        <f t="shared" ref="AA42" si="75">IFERROR(AA41/Z41-1,"")</f>
        <v>2.1991203518592517E-2</v>
      </c>
      <c r="AB42" s="42">
        <f t="shared" ref="AB42" si="76">IFERROR(AB41/AA41-1,"")</f>
        <v>0.15574465310380803</v>
      </c>
      <c r="AC42" s="42">
        <f t="shared" ref="AC42" si="77">IFERROR(AC41/AB41-1,"")</f>
        <v>-9.8282038985584963E-2</v>
      </c>
      <c r="AD42" s="42">
        <f t="shared" ref="AD42" si="78">IFERROR(AD41/AC41-1,"")</f>
        <v>3.6884091975598388E-2</v>
      </c>
      <c r="AE42" s="42">
        <f t="shared" ref="AE42" si="79">IFERROR(AE41/AD41-1,"")</f>
        <v>0.64357048032826447</v>
      </c>
      <c r="AF42" s="42">
        <f t="shared" ref="AF42" si="80">IFERROR(AF41/AE41-1,"")</f>
        <v>9.6265225013538513E-2</v>
      </c>
      <c r="AG42" s="42">
        <f t="shared" ref="AG42" si="81">IFERROR(AG41/AF41-1,"")</f>
        <v>-4.3001749876503959E-2</v>
      </c>
      <c r="AH42" s="42">
        <f t="shared" ref="AH42" si="82">IFERROR(AH41/AG41-1,"")</f>
        <v>7.7995818059334532E-2</v>
      </c>
      <c r="AI42" s="42">
        <f t="shared" ref="AI42" si="83">IFERROR(AI41/AH41-1,"")</f>
        <v>7.9811063498246959E-2</v>
      </c>
    </row>
    <row r="44" spans="1:48">
      <c r="A44" t="s">
        <v>20</v>
      </c>
      <c r="B44" s="6">
        <v>0</v>
      </c>
      <c r="C44" s="6">
        <v>0</v>
      </c>
      <c r="D44" s="6">
        <v>0</v>
      </c>
      <c r="E44" s="6">
        <v>0</v>
      </c>
      <c r="F44" s="6">
        <v>0</v>
      </c>
      <c r="G44" s="6">
        <v>0</v>
      </c>
      <c r="H44" s="6">
        <v>40</v>
      </c>
      <c r="I44" s="6">
        <v>230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v>
      </c>
      <c r="AG44" s="6">
        <v>0</v>
      </c>
      <c r="AH44" s="6">
        <v>0</v>
      </c>
      <c r="AI44" s="6">
        <v>0</v>
      </c>
    </row>
    <row r="45" spans="1:48" ht="14.4">
      <c r="A45" s="44" t="s">
        <v>145</v>
      </c>
      <c r="B45" s="6"/>
      <c r="C45" s="6">
        <f>IFERROR(C44/C$11,"")</f>
        <v>0</v>
      </c>
      <c r="D45" s="6">
        <f t="shared" ref="D45:AI45" si="84">IFERROR(D44/D$11,"")</f>
        <v>0</v>
      </c>
      <c r="E45" s="6">
        <f t="shared" si="84"/>
        <v>0</v>
      </c>
      <c r="F45" s="6">
        <f t="shared" si="84"/>
        <v>0</v>
      </c>
      <c r="G45" s="6">
        <f t="shared" si="84"/>
        <v>0</v>
      </c>
      <c r="H45" s="48">
        <f t="shared" si="84"/>
        <v>6.7328732536609997E-3</v>
      </c>
      <c r="I45" s="48">
        <f t="shared" si="84"/>
        <v>3.7495924356048253E-2</v>
      </c>
      <c r="J45" s="6">
        <f t="shared" si="84"/>
        <v>0</v>
      </c>
      <c r="K45" s="6">
        <f t="shared" si="84"/>
        <v>0</v>
      </c>
      <c r="L45" s="6">
        <f t="shared" si="84"/>
        <v>0</v>
      </c>
      <c r="M45" s="6">
        <f t="shared" si="84"/>
        <v>0</v>
      </c>
      <c r="N45" s="6">
        <f t="shared" si="84"/>
        <v>0</v>
      </c>
      <c r="O45" s="6">
        <f t="shared" si="84"/>
        <v>0</v>
      </c>
      <c r="P45" s="6">
        <f t="shared" si="84"/>
        <v>0</v>
      </c>
      <c r="Q45" s="6">
        <f t="shared" si="84"/>
        <v>0</v>
      </c>
      <c r="R45" s="6">
        <f t="shared" si="84"/>
        <v>0</v>
      </c>
      <c r="S45" s="6">
        <f t="shared" si="84"/>
        <v>0</v>
      </c>
      <c r="T45" s="6">
        <f t="shared" si="84"/>
        <v>0</v>
      </c>
      <c r="U45" s="6">
        <f t="shared" si="84"/>
        <v>0</v>
      </c>
      <c r="V45" s="6">
        <f t="shared" si="84"/>
        <v>0</v>
      </c>
      <c r="W45" s="6">
        <f t="shared" si="84"/>
        <v>0</v>
      </c>
      <c r="X45" s="6">
        <f t="shared" si="84"/>
        <v>0</v>
      </c>
      <c r="Y45" s="6">
        <f t="shared" si="84"/>
        <v>0</v>
      </c>
      <c r="Z45" s="6">
        <f t="shared" si="84"/>
        <v>0</v>
      </c>
      <c r="AA45" s="6">
        <f t="shared" si="84"/>
        <v>0</v>
      </c>
      <c r="AB45" s="6">
        <f t="shared" si="84"/>
        <v>0</v>
      </c>
      <c r="AC45" s="6">
        <f t="shared" si="84"/>
        <v>0</v>
      </c>
      <c r="AD45" s="6">
        <f t="shared" si="84"/>
        <v>0</v>
      </c>
      <c r="AE45" s="6">
        <f t="shared" si="84"/>
        <v>0</v>
      </c>
      <c r="AF45" s="6">
        <f t="shared" si="84"/>
        <v>0</v>
      </c>
      <c r="AG45" s="6">
        <f t="shared" si="84"/>
        <v>0</v>
      </c>
      <c r="AH45" s="6">
        <f t="shared" si="84"/>
        <v>0</v>
      </c>
      <c r="AI45" s="6">
        <f t="shared" si="84"/>
        <v>0</v>
      </c>
    </row>
    <row r="46" spans="1:48">
      <c r="A46" t="s">
        <v>21</v>
      </c>
      <c r="B46" s="6">
        <v>0</v>
      </c>
      <c r="C46" s="6">
        <v>0</v>
      </c>
      <c r="D46" s="6">
        <v>0</v>
      </c>
      <c r="E46" s="6">
        <v>0</v>
      </c>
      <c r="F46" s="6">
        <v>0</v>
      </c>
      <c r="G46" s="6">
        <v>0</v>
      </c>
      <c r="H46" s="6">
        <v>0</v>
      </c>
      <c r="I46" s="6">
        <v>0</v>
      </c>
      <c r="J46" s="6">
        <v>367</v>
      </c>
      <c r="K46" s="6">
        <v>88</v>
      </c>
      <c r="L46" s="33">
        <v>-42</v>
      </c>
      <c r="M46" s="6">
        <v>10</v>
      </c>
      <c r="N46" s="6">
        <v>0</v>
      </c>
      <c r="O46" s="6">
        <v>0</v>
      </c>
      <c r="P46" s="6">
        <v>0</v>
      </c>
      <c r="Q46" s="6">
        <v>0</v>
      </c>
      <c r="R46" s="6">
        <v>0</v>
      </c>
      <c r="S46" s="6">
        <v>0</v>
      </c>
      <c r="T46" s="6">
        <v>0</v>
      </c>
      <c r="U46" s="6">
        <v>0</v>
      </c>
      <c r="V46" s="6">
        <v>0</v>
      </c>
      <c r="W46" s="6">
        <v>0</v>
      </c>
      <c r="X46" s="8">
        <v>0</v>
      </c>
      <c r="Y46" s="8">
        <v>0</v>
      </c>
      <c r="Z46" s="8">
        <v>0</v>
      </c>
      <c r="AA46" s="8">
        <v>0</v>
      </c>
      <c r="AB46" s="8">
        <v>0</v>
      </c>
      <c r="AC46" s="8">
        <v>0</v>
      </c>
      <c r="AD46" s="8">
        <v>0</v>
      </c>
      <c r="AE46" s="8">
        <v>0</v>
      </c>
      <c r="AF46" s="8">
        <v>0</v>
      </c>
      <c r="AG46" s="8">
        <v>0</v>
      </c>
      <c r="AH46" s="8">
        <v>0</v>
      </c>
      <c r="AI46" s="8">
        <v>0</v>
      </c>
    </row>
    <row r="47" spans="1:48" ht="14.4">
      <c r="A47" s="44" t="s">
        <v>145</v>
      </c>
      <c r="B47" s="6"/>
      <c r="C47" s="45">
        <f>IFERROR(C46/C$11,"")</f>
        <v>0</v>
      </c>
      <c r="D47" s="45">
        <f t="shared" ref="D47:AI47" si="85">IFERROR(D46/D$11,"")</f>
        <v>0</v>
      </c>
      <c r="E47" s="45">
        <f t="shared" si="85"/>
        <v>0</v>
      </c>
      <c r="F47" s="45">
        <f t="shared" si="85"/>
        <v>0</v>
      </c>
      <c r="G47" s="45">
        <f t="shared" si="85"/>
        <v>0</v>
      </c>
      <c r="H47" s="45">
        <f t="shared" si="85"/>
        <v>0</v>
      </c>
      <c r="I47" s="45">
        <f t="shared" si="85"/>
        <v>0</v>
      </c>
      <c r="J47" s="48">
        <f t="shared" si="85"/>
        <v>4.5972691970437178E-2</v>
      </c>
      <c r="K47" s="48">
        <f t="shared" si="85"/>
        <v>1.6408726459071415E-2</v>
      </c>
      <c r="L47" s="48">
        <f t="shared" si="85"/>
        <v>-7.3145245559038665E-3</v>
      </c>
      <c r="M47" s="48">
        <f t="shared" si="85"/>
        <v>1.6110842597067826E-3</v>
      </c>
      <c r="N47" s="45">
        <f t="shared" si="85"/>
        <v>0</v>
      </c>
      <c r="O47" s="45">
        <f t="shared" si="85"/>
        <v>0</v>
      </c>
      <c r="P47" s="45">
        <f t="shared" si="85"/>
        <v>0</v>
      </c>
      <c r="Q47" s="45">
        <f t="shared" si="85"/>
        <v>0</v>
      </c>
      <c r="R47" s="45">
        <f t="shared" si="85"/>
        <v>0</v>
      </c>
      <c r="S47" s="45">
        <f t="shared" si="85"/>
        <v>0</v>
      </c>
      <c r="T47" s="45">
        <f t="shared" si="85"/>
        <v>0</v>
      </c>
      <c r="U47" s="45">
        <f t="shared" si="85"/>
        <v>0</v>
      </c>
      <c r="V47" s="45">
        <f t="shared" si="85"/>
        <v>0</v>
      </c>
      <c r="W47" s="45">
        <f t="shared" si="85"/>
        <v>0</v>
      </c>
      <c r="X47" s="45">
        <f t="shared" si="85"/>
        <v>0</v>
      </c>
      <c r="Y47" s="45">
        <f t="shared" si="85"/>
        <v>0</v>
      </c>
      <c r="Z47" s="45">
        <f t="shared" si="85"/>
        <v>0</v>
      </c>
      <c r="AA47" s="45">
        <f t="shared" si="85"/>
        <v>0</v>
      </c>
      <c r="AB47" s="45">
        <f t="shared" si="85"/>
        <v>0</v>
      </c>
      <c r="AC47" s="45">
        <f t="shared" si="85"/>
        <v>0</v>
      </c>
      <c r="AD47" s="45">
        <f t="shared" si="85"/>
        <v>0</v>
      </c>
      <c r="AE47" s="45">
        <f t="shared" si="85"/>
        <v>0</v>
      </c>
      <c r="AF47" s="45">
        <f t="shared" si="85"/>
        <v>0</v>
      </c>
      <c r="AG47" s="45">
        <f t="shared" si="85"/>
        <v>0</v>
      </c>
      <c r="AH47" s="45">
        <f t="shared" si="85"/>
        <v>0</v>
      </c>
      <c r="AI47" s="45">
        <f t="shared" si="85"/>
        <v>0</v>
      </c>
    </row>
    <row r="48" spans="1:48">
      <c r="A48" t="s">
        <v>22</v>
      </c>
      <c r="B48" s="6">
        <v>0</v>
      </c>
      <c r="C48" s="6">
        <v>0</v>
      </c>
      <c r="D48" s="6">
        <v>0</v>
      </c>
      <c r="E48" s="6">
        <v>0</v>
      </c>
      <c r="F48" s="6">
        <v>0</v>
      </c>
      <c r="G48" s="6">
        <v>0</v>
      </c>
      <c r="H48" s="6">
        <v>0</v>
      </c>
      <c r="I48" s="6">
        <v>0</v>
      </c>
      <c r="J48" s="6">
        <v>0</v>
      </c>
      <c r="K48" s="33">
        <v>-13</v>
      </c>
      <c r="L48" s="6">
        <v>0</v>
      </c>
      <c r="M48" s="6">
        <v>0</v>
      </c>
      <c r="N48" s="6">
        <v>0</v>
      </c>
      <c r="O48" s="6">
        <v>0</v>
      </c>
      <c r="P48" s="6">
        <v>0</v>
      </c>
      <c r="Q48" s="6">
        <v>0</v>
      </c>
      <c r="R48" s="6">
        <v>0</v>
      </c>
      <c r="S48" s="6">
        <v>0</v>
      </c>
      <c r="T48" s="6">
        <v>0</v>
      </c>
      <c r="U48" s="6">
        <v>0</v>
      </c>
      <c r="V48" s="6">
        <v>0</v>
      </c>
      <c r="W48" s="6">
        <v>0</v>
      </c>
      <c r="X48" s="8">
        <v>0</v>
      </c>
      <c r="Y48" s="8">
        <v>0</v>
      </c>
      <c r="Z48" s="8">
        <v>0</v>
      </c>
      <c r="AA48" s="8">
        <v>0</v>
      </c>
      <c r="AB48" s="8">
        <v>0</v>
      </c>
      <c r="AC48" s="8">
        <v>0</v>
      </c>
      <c r="AD48" s="8">
        <v>0</v>
      </c>
      <c r="AE48" s="8">
        <v>0</v>
      </c>
      <c r="AF48" s="8">
        <v>0</v>
      </c>
      <c r="AG48" s="8">
        <v>0</v>
      </c>
      <c r="AH48" s="8">
        <v>0</v>
      </c>
      <c r="AI48" s="8">
        <v>0</v>
      </c>
    </row>
    <row r="49" spans="1:48" ht="14.4">
      <c r="A49" s="44" t="s">
        <v>145</v>
      </c>
      <c r="B49" s="6"/>
      <c r="C49" s="45">
        <f>IFERROR(C48/C$11,"")</f>
        <v>0</v>
      </c>
      <c r="D49" s="45">
        <f t="shared" ref="D49:AI49" si="86">IFERROR(D48/D$11,"")</f>
        <v>0</v>
      </c>
      <c r="E49" s="45">
        <f t="shared" si="86"/>
        <v>0</v>
      </c>
      <c r="F49" s="45">
        <f t="shared" si="86"/>
        <v>0</v>
      </c>
      <c r="G49" s="45">
        <f t="shared" si="86"/>
        <v>0</v>
      </c>
      <c r="H49" s="45">
        <f t="shared" si="86"/>
        <v>0</v>
      </c>
      <c r="I49" s="45">
        <f t="shared" si="86"/>
        <v>0</v>
      </c>
      <c r="J49" s="45">
        <f t="shared" si="86"/>
        <v>0</v>
      </c>
      <c r="K49" s="49">
        <f t="shared" si="86"/>
        <v>-2.4240164087264591E-3</v>
      </c>
      <c r="L49" s="47">
        <f t="shared" si="86"/>
        <v>0</v>
      </c>
      <c r="M49" s="47">
        <f t="shared" si="86"/>
        <v>0</v>
      </c>
      <c r="N49" s="47">
        <f t="shared" si="86"/>
        <v>0</v>
      </c>
      <c r="O49" s="47">
        <f t="shared" si="86"/>
        <v>0</v>
      </c>
      <c r="P49" s="47">
        <f t="shared" si="86"/>
        <v>0</v>
      </c>
      <c r="Q49" s="47">
        <f t="shared" si="86"/>
        <v>0</v>
      </c>
      <c r="R49" s="47">
        <f t="shared" si="86"/>
        <v>0</v>
      </c>
      <c r="S49" s="47">
        <f t="shared" si="86"/>
        <v>0</v>
      </c>
      <c r="T49" s="47">
        <f t="shared" si="86"/>
        <v>0</v>
      </c>
      <c r="U49" s="47">
        <f t="shared" si="86"/>
        <v>0</v>
      </c>
      <c r="V49" s="47">
        <f t="shared" si="86"/>
        <v>0</v>
      </c>
      <c r="W49" s="47">
        <f t="shared" si="86"/>
        <v>0</v>
      </c>
      <c r="X49" s="47">
        <f t="shared" si="86"/>
        <v>0</v>
      </c>
      <c r="Y49" s="47">
        <f t="shared" si="86"/>
        <v>0</v>
      </c>
      <c r="Z49" s="47">
        <f t="shared" si="86"/>
        <v>0</v>
      </c>
      <c r="AA49" s="47">
        <f t="shared" si="86"/>
        <v>0</v>
      </c>
      <c r="AB49" s="47">
        <f t="shared" si="86"/>
        <v>0</v>
      </c>
      <c r="AC49" s="47">
        <f t="shared" si="86"/>
        <v>0</v>
      </c>
      <c r="AD49" s="47">
        <f t="shared" si="86"/>
        <v>0</v>
      </c>
      <c r="AE49" s="47">
        <f t="shared" si="86"/>
        <v>0</v>
      </c>
      <c r="AF49" s="47">
        <f t="shared" si="86"/>
        <v>0</v>
      </c>
      <c r="AG49" s="47">
        <f t="shared" si="86"/>
        <v>0</v>
      </c>
      <c r="AH49" s="47">
        <f t="shared" si="86"/>
        <v>0</v>
      </c>
      <c r="AI49" s="47">
        <f t="shared" si="86"/>
        <v>0</v>
      </c>
    </row>
    <row r="50" spans="1:48">
      <c r="A50" t="s">
        <v>23</v>
      </c>
      <c r="B50" s="6">
        <v>49.634</v>
      </c>
      <c r="C50" s="6">
        <v>29.321000000000002</v>
      </c>
      <c r="D50" s="33">
        <v>-21.988</v>
      </c>
      <c r="E50" s="33">
        <v>-10</v>
      </c>
      <c r="F50" s="6">
        <v>88</v>
      </c>
      <c r="G50" s="6">
        <v>25</v>
      </c>
      <c r="H50" s="6">
        <v>28</v>
      </c>
      <c r="I50" s="6">
        <v>87</v>
      </c>
      <c r="J50" s="6">
        <v>203</v>
      </c>
      <c r="K50" s="6">
        <v>217</v>
      </c>
      <c r="L50" s="6">
        <v>112</v>
      </c>
      <c r="M50" s="6">
        <v>83</v>
      </c>
      <c r="N50" s="6">
        <v>0</v>
      </c>
      <c r="O50" s="6">
        <v>0</v>
      </c>
      <c r="P50" s="6">
        <v>0</v>
      </c>
      <c r="Q50" s="6">
        <v>0</v>
      </c>
      <c r="R50" s="6">
        <v>0</v>
      </c>
      <c r="S50" s="6">
        <v>0</v>
      </c>
      <c r="T50" s="6">
        <v>0</v>
      </c>
      <c r="U50" s="6">
        <v>0</v>
      </c>
      <c r="V50" s="6">
        <v>0</v>
      </c>
      <c r="W50" s="6">
        <v>0</v>
      </c>
      <c r="X50" s="8">
        <v>0</v>
      </c>
      <c r="Y50" s="8">
        <v>0</v>
      </c>
      <c r="Z50" s="8">
        <v>0</v>
      </c>
      <c r="AA50" s="8">
        <v>0</v>
      </c>
      <c r="AB50" s="8">
        <v>0</v>
      </c>
      <c r="AC50" s="8">
        <v>0</v>
      </c>
      <c r="AD50" s="8">
        <v>0</v>
      </c>
      <c r="AE50" s="8">
        <v>0</v>
      </c>
      <c r="AF50" s="8">
        <v>0</v>
      </c>
      <c r="AG50" s="8">
        <v>0</v>
      </c>
      <c r="AH50" s="8">
        <v>0</v>
      </c>
      <c r="AI50" s="8">
        <v>0</v>
      </c>
    </row>
    <row r="51" spans="1:48" ht="14.4">
      <c r="A51" s="44" t="s">
        <v>145</v>
      </c>
      <c r="B51" s="46">
        <f>IFERROR(B50/B$11,"")</f>
        <v>7.0039802205363348E-3</v>
      </c>
      <c r="C51" s="46">
        <f>IFERROR(C50/C$11,"")</f>
        <v>3.6757138125655484E-3</v>
      </c>
      <c r="D51" s="46">
        <f t="shared" ref="D51:AI51" si="87">IFERROR(D50/D$11,"")</f>
        <v>-2.392926653337321E-3</v>
      </c>
      <c r="E51" s="46">
        <f t="shared" si="87"/>
        <v>-9.0399566082082806E-4</v>
      </c>
      <c r="F51" s="46">
        <f t="shared" si="87"/>
        <v>8.9494559137597886E-3</v>
      </c>
      <c r="G51" s="46">
        <f t="shared" si="87"/>
        <v>3.5305747775737891E-3</v>
      </c>
      <c r="H51" s="46">
        <f t="shared" si="87"/>
        <v>4.7130112775626998E-3</v>
      </c>
      <c r="I51" s="46">
        <f t="shared" si="87"/>
        <v>1.4183240952070427E-2</v>
      </c>
      <c r="J51" s="46">
        <f t="shared" si="87"/>
        <v>2.5429036702993863E-2</v>
      </c>
      <c r="K51" s="46">
        <f t="shared" si="87"/>
        <v>4.046242774566474E-2</v>
      </c>
      <c r="L51" s="46">
        <f t="shared" si="87"/>
        <v>1.9505398815743643E-2</v>
      </c>
      <c r="M51" s="46">
        <f t="shared" si="87"/>
        <v>1.3371999355566296E-2</v>
      </c>
      <c r="N51" s="6">
        <f t="shared" si="87"/>
        <v>0</v>
      </c>
      <c r="O51" s="6">
        <f t="shared" si="87"/>
        <v>0</v>
      </c>
      <c r="P51" s="6">
        <f t="shared" si="87"/>
        <v>0</v>
      </c>
      <c r="Q51" s="6">
        <f t="shared" si="87"/>
        <v>0</v>
      </c>
      <c r="R51" s="6">
        <f t="shared" si="87"/>
        <v>0</v>
      </c>
      <c r="S51" s="6">
        <f t="shared" si="87"/>
        <v>0</v>
      </c>
      <c r="T51" s="6">
        <f t="shared" si="87"/>
        <v>0</v>
      </c>
      <c r="U51" s="6">
        <f t="shared" si="87"/>
        <v>0</v>
      </c>
      <c r="V51" s="6">
        <f t="shared" si="87"/>
        <v>0</v>
      </c>
      <c r="W51" s="6">
        <f t="shared" si="87"/>
        <v>0</v>
      </c>
      <c r="X51" s="6">
        <f t="shared" si="87"/>
        <v>0</v>
      </c>
      <c r="Y51" s="6">
        <f t="shared" si="87"/>
        <v>0</v>
      </c>
      <c r="Z51" s="6">
        <f t="shared" si="87"/>
        <v>0</v>
      </c>
      <c r="AA51" s="6">
        <f t="shared" si="87"/>
        <v>0</v>
      </c>
      <c r="AB51" s="6">
        <f t="shared" si="87"/>
        <v>0</v>
      </c>
      <c r="AC51" s="6">
        <f t="shared" si="87"/>
        <v>0</v>
      </c>
      <c r="AD51" s="6">
        <f t="shared" si="87"/>
        <v>0</v>
      </c>
      <c r="AE51" s="6">
        <f t="shared" si="87"/>
        <v>0</v>
      </c>
      <c r="AF51" s="6">
        <f t="shared" si="87"/>
        <v>0</v>
      </c>
      <c r="AG51" s="6">
        <f t="shared" si="87"/>
        <v>0</v>
      </c>
      <c r="AH51" s="6">
        <f t="shared" si="87"/>
        <v>0</v>
      </c>
      <c r="AI51" s="6">
        <f t="shared" si="87"/>
        <v>0</v>
      </c>
    </row>
    <row r="52" spans="1:48">
      <c r="A52" t="s">
        <v>24</v>
      </c>
      <c r="B52" s="6">
        <v>0</v>
      </c>
      <c r="C52" s="6">
        <v>0</v>
      </c>
      <c r="D52" s="6">
        <v>0</v>
      </c>
      <c r="E52" s="6">
        <v>0</v>
      </c>
      <c r="F52" s="6">
        <v>0</v>
      </c>
      <c r="G52" s="6">
        <v>0</v>
      </c>
      <c r="H52" s="6">
        <v>0</v>
      </c>
      <c r="I52" s="6">
        <v>0</v>
      </c>
      <c r="J52" s="6">
        <v>0</v>
      </c>
      <c r="K52" s="6">
        <v>0</v>
      </c>
      <c r="L52" s="6">
        <v>0</v>
      </c>
      <c r="M52" s="6">
        <v>0</v>
      </c>
      <c r="N52" s="6">
        <v>57</v>
      </c>
      <c r="O52" s="6">
        <v>165</v>
      </c>
      <c r="P52" s="6">
        <v>365</v>
      </c>
      <c r="Q52" s="6">
        <v>599</v>
      </c>
      <c r="R52" s="6">
        <v>620</v>
      </c>
      <c r="S52" s="6">
        <v>326</v>
      </c>
      <c r="T52" s="6">
        <v>155</v>
      </c>
      <c r="U52" s="6">
        <v>415</v>
      </c>
      <c r="V52" s="6">
        <v>522</v>
      </c>
      <c r="W52" s="6">
        <v>1156</v>
      </c>
      <c r="X52" s="6">
        <v>980</v>
      </c>
      <c r="Y52" s="6">
        <v>1285</v>
      </c>
      <c r="Z52" s="6">
        <v>1348</v>
      </c>
      <c r="AA52" s="6">
        <v>2745</v>
      </c>
      <c r="AB52" s="6">
        <v>2005</v>
      </c>
      <c r="AC52" s="6">
        <v>1807</v>
      </c>
      <c r="AD52" s="6">
        <v>803</v>
      </c>
      <c r="AE52" s="33">
        <v>258</v>
      </c>
      <c r="AF52" s="33">
        <v>-334</v>
      </c>
      <c r="AG52" s="33">
        <v>-565</v>
      </c>
      <c r="AH52" s="33">
        <v>269</v>
      </c>
      <c r="AI52" s="33">
        <v>-321</v>
      </c>
    </row>
    <row r="53" spans="1:48" ht="14.4">
      <c r="A53" s="44" t="s">
        <v>145</v>
      </c>
      <c r="B53" s="22"/>
      <c r="C53" s="6">
        <f t="shared" ref="C53:AI53" si="88">IFERROR(C52/C$11,"")</f>
        <v>0</v>
      </c>
      <c r="D53" s="6">
        <f t="shared" si="88"/>
        <v>0</v>
      </c>
      <c r="E53" s="6">
        <f t="shared" si="88"/>
        <v>0</v>
      </c>
      <c r="F53" s="6">
        <f t="shared" si="88"/>
        <v>0</v>
      </c>
      <c r="G53" s="6">
        <f t="shared" si="88"/>
        <v>0</v>
      </c>
      <c r="H53" s="6">
        <f t="shared" si="88"/>
        <v>0</v>
      </c>
      <c r="I53" s="6">
        <f t="shared" si="88"/>
        <v>0</v>
      </c>
      <c r="J53" s="6">
        <f t="shared" si="88"/>
        <v>0</v>
      </c>
      <c r="K53" s="6">
        <f t="shared" si="88"/>
        <v>0</v>
      </c>
      <c r="L53" s="6">
        <f t="shared" si="88"/>
        <v>0</v>
      </c>
      <c r="M53" s="6">
        <f t="shared" si="88"/>
        <v>0</v>
      </c>
      <c r="N53" s="46">
        <f t="shared" si="88"/>
        <v>6.8848894794057251E-3</v>
      </c>
      <c r="O53" s="46">
        <f t="shared" si="88"/>
        <v>1.1844088722991889E-2</v>
      </c>
      <c r="P53" s="46">
        <f t="shared" si="88"/>
        <v>1.8897230132021745E-2</v>
      </c>
      <c r="Q53" s="46">
        <f t="shared" si="88"/>
        <v>2.4371389047115305E-2</v>
      </c>
      <c r="R53" s="46">
        <f t="shared" si="88"/>
        <v>1.6537302285881943E-2</v>
      </c>
      <c r="S53" s="46">
        <f t="shared" si="88"/>
        <v>7.5981820300664261E-3</v>
      </c>
      <c r="T53" s="46">
        <f t="shared" si="88"/>
        <v>2.3763894212341895E-3</v>
      </c>
      <c r="U53" s="46">
        <f t="shared" si="88"/>
        <v>3.8337536605418986E-3</v>
      </c>
      <c r="V53" s="46">
        <f t="shared" si="88"/>
        <v>3.3352927645871138E-3</v>
      </c>
      <c r="W53" s="46">
        <f t="shared" si="88"/>
        <v>6.7637938096073956E-3</v>
      </c>
      <c r="X53" s="46">
        <f t="shared" si="88"/>
        <v>5.3611969692825296E-3</v>
      </c>
      <c r="Y53" s="46">
        <f t="shared" si="88"/>
        <v>5.4981494555334486E-3</v>
      </c>
      <c r="Z53" s="46">
        <f t="shared" si="88"/>
        <v>6.2511883286418502E-3</v>
      </c>
      <c r="AA53" s="46">
        <f t="shared" si="88"/>
        <v>1.1974663444340717E-2</v>
      </c>
      <c r="AB53" s="46">
        <f t="shared" si="88"/>
        <v>7.5490878969860127E-3</v>
      </c>
      <c r="AC53" s="46">
        <f t="shared" si="88"/>
        <v>6.9453519567673943E-3</v>
      </c>
      <c r="AD53" s="46">
        <f t="shared" si="88"/>
        <v>2.9251589166347921E-3</v>
      </c>
      <c r="AE53" s="46">
        <f t="shared" si="88"/>
        <v>7.0527066812094575E-4</v>
      </c>
      <c r="AF53" s="46">
        <f t="shared" si="88"/>
        <v>-8.4701061045626988E-4</v>
      </c>
      <c r="AG53" s="46">
        <f t="shared" si="88"/>
        <v>-1.4740989081231982E-3</v>
      </c>
      <c r="AH53" s="46">
        <f t="shared" si="88"/>
        <v>6.8791796130781137E-4</v>
      </c>
      <c r="AI53" s="46">
        <f t="shared" si="88"/>
        <v>-7.7133609348305101E-4</v>
      </c>
    </row>
    <row r="54" spans="1:48">
      <c r="A54" s="24" t="s">
        <v>25</v>
      </c>
      <c r="B54" s="35">
        <f>B44+B46+B48+B50+B52</f>
        <v>49.634</v>
      </c>
      <c r="C54" s="35">
        <f t="shared" ref="C54:AI54" si="89">C44+C46+C48+C50+C52</f>
        <v>29.321000000000002</v>
      </c>
      <c r="D54" s="35">
        <f t="shared" si="89"/>
        <v>-21.988</v>
      </c>
      <c r="E54" s="35">
        <f t="shared" si="89"/>
        <v>-10</v>
      </c>
      <c r="F54" s="35">
        <f t="shared" si="89"/>
        <v>88</v>
      </c>
      <c r="G54" s="35">
        <f t="shared" si="89"/>
        <v>25</v>
      </c>
      <c r="H54" s="35">
        <f t="shared" si="89"/>
        <v>68</v>
      </c>
      <c r="I54" s="35">
        <f t="shared" si="89"/>
        <v>317</v>
      </c>
      <c r="J54" s="35">
        <f t="shared" si="89"/>
        <v>570</v>
      </c>
      <c r="K54" s="35">
        <f t="shared" si="89"/>
        <v>292</v>
      </c>
      <c r="L54" s="35">
        <f t="shared" si="89"/>
        <v>70</v>
      </c>
      <c r="M54" s="35">
        <f t="shared" si="89"/>
        <v>93</v>
      </c>
      <c r="N54" s="35">
        <f t="shared" si="89"/>
        <v>57</v>
      </c>
      <c r="O54" s="35">
        <f t="shared" si="89"/>
        <v>165</v>
      </c>
      <c r="P54" s="35">
        <f t="shared" si="89"/>
        <v>365</v>
      </c>
      <c r="Q54" s="35">
        <f t="shared" si="89"/>
        <v>599</v>
      </c>
      <c r="R54" s="35">
        <f t="shared" si="89"/>
        <v>620</v>
      </c>
      <c r="S54" s="35">
        <f t="shared" si="89"/>
        <v>326</v>
      </c>
      <c r="T54" s="35">
        <f t="shared" si="89"/>
        <v>155</v>
      </c>
      <c r="U54" s="35">
        <f t="shared" si="89"/>
        <v>415</v>
      </c>
      <c r="V54" s="35">
        <f t="shared" si="89"/>
        <v>522</v>
      </c>
      <c r="W54" s="35">
        <f t="shared" si="89"/>
        <v>1156</v>
      </c>
      <c r="X54" s="35">
        <f t="shared" si="89"/>
        <v>980</v>
      </c>
      <c r="Y54" s="35">
        <f t="shared" si="89"/>
        <v>1285</v>
      </c>
      <c r="Z54" s="35">
        <f t="shared" si="89"/>
        <v>1348</v>
      </c>
      <c r="AA54" s="35">
        <f t="shared" si="89"/>
        <v>2745</v>
      </c>
      <c r="AB54" s="35">
        <f t="shared" si="89"/>
        <v>2005</v>
      </c>
      <c r="AC54" s="35">
        <f t="shared" si="89"/>
        <v>1807</v>
      </c>
      <c r="AD54" s="35">
        <f t="shared" si="89"/>
        <v>803</v>
      </c>
      <c r="AE54" s="35">
        <f t="shared" si="89"/>
        <v>258</v>
      </c>
      <c r="AF54" s="35">
        <f t="shared" si="89"/>
        <v>-334</v>
      </c>
      <c r="AG54" s="35">
        <f t="shared" si="89"/>
        <v>-565</v>
      </c>
      <c r="AH54" s="35">
        <f t="shared" si="89"/>
        <v>269</v>
      </c>
      <c r="AI54" s="35">
        <f t="shared" si="89"/>
        <v>-321</v>
      </c>
    </row>
    <row r="55" spans="1:48" ht="14.4">
      <c r="A55" s="44"/>
      <c r="B55" s="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row>
    <row r="56" spans="1:48">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spans="1:48">
      <c r="A57" t="s">
        <v>26</v>
      </c>
      <c r="B57" s="6">
        <f t="shared" ref="B57:AI57" si="90">B41+B54</f>
        <v>855.44200000000046</v>
      </c>
      <c r="C57" s="6">
        <f t="shared" si="90"/>
        <v>139.65899999999974</v>
      </c>
      <c r="D57" s="6">
        <f t="shared" si="90"/>
        <v>500.28599999999943</v>
      </c>
      <c r="E57" s="6">
        <f t="shared" si="90"/>
        <v>674</v>
      </c>
      <c r="F57" s="33">
        <f t="shared" si="90"/>
        <v>-1295</v>
      </c>
      <c r="G57" s="33">
        <f t="shared" si="90"/>
        <v>-1045</v>
      </c>
      <c r="H57" s="6">
        <f t="shared" si="90"/>
        <v>329</v>
      </c>
      <c r="I57" s="6">
        <f t="shared" si="90"/>
        <v>676</v>
      </c>
      <c r="J57" s="6">
        <f t="shared" si="90"/>
        <v>1092</v>
      </c>
      <c r="K57" s="33">
        <f t="shared" si="90"/>
        <v>-52</v>
      </c>
      <c r="L57" s="6">
        <f t="shared" si="90"/>
        <v>87</v>
      </c>
      <c r="M57" s="6">
        <f t="shared" si="90"/>
        <v>92</v>
      </c>
      <c r="N57" s="6">
        <f t="shared" si="90"/>
        <v>370</v>
      </c>
      <c r="O57" s="6">
        <f t="shared" si="90"/>
        <v>1808</v>
      </c>
      <c r="P57" s="6">
        <f t="shared" si="90"/>
        <v>2818</v>
      </c>
      <c r="Q57" s="6">
        <f t="shared" si="90"/>
        <v>5006</v>
      </c>
      <c r="R57" s="6">
        <f t="shared" si="90"/>
        <v>8947</v>
      </c>
      <c r="S57" s="6">
        <f t="shared" si="90"/>
        <v>12066</v>
      </c>
      <c r="T57" s="6">
        <f t="shared" si="90"/>
        <v>18540</v>
      </c>
      <c r="U57" s="6">
        <f t="shared" si="90"/>
        <v>34205</v>
      </c>
      <c r="V57" s="6">
        <f t="shared" si="90"/>
        <v>55763</v>
      </c>
      <c r="W57" s="6">
        <f t="shared" si="90"/>
        <v>50155</v>
      </c>
      <c r="X57" s="6">
        <f t="shared" si="90"/>
        <v>53483</v>
      </c>
      <c r="Y57" s="6">
        <f t="shared" si="90"/>
        <v>72515</v>
      </c>
      <c r="Z57" s="6">
        <f t="shared" si="90"/>
        <v>61372</v>
      </c>
      <c r="AA57" s="6">
        <f t="shared" si="90"/>
        <v>64089</v>
      </c>
      <c r="AB57" s="6">
        <f t="shared" si="90"/>
        <v>72903</v>
      </c>
      <c r="AC57" s="6">
        <f t="shared" si="90"/>
        <v>65737</v>
      </c>
      <c r="AD57" s="6">
        <f t="shared" si="90"/>
        <v>67091</v>
      </c>
      <c r="AE57" s="6">
        <f t="shared" si="90"/>
        <v>109207</v>
      </c>
      <c r="AF57" s="6">
        <f t="shared" si="90"/>
        <v>119103</v>
      </c>
      <c r="AG57" s="6">
        <f t="shared" si="90"/>
        <v>113736</v>
      </c>
      <c r="AH57" s="6">
        <f t="shared" si="90"/>
        <v>123485</v>
      </c>
      <c r="AI57" s="6">
        <f t="shared" si="90"/>
        <v>132729</v>
      </c>
    </row>
    <row r="58" spans="1:48" ht="14.4">
      <c r="A58" s="44" t="s">
        <v>145</v>
      </c>
      <c r="B58" s="48">
        <f>IFERROR(B57/B$11,"")</f>
        <v>0.12071360051206928</v>
      </c>
      <c r="C58" s="48">
        <f t="shared" ref="C58:AI58" si="91">IFERROR(C57/C$11,"")</f>
        <v>1.7507810625459259E-2</v>
      </c>
      <c r="D58" s="48">
        <f t="shared" si="91"/>
        <v>5.4445502259937856E-2</v>
      </c>
      <c r="E58" s="48">
        <f t="shared" si="91"/>
        <v>6.092930753932381E-2</v>
      </c>
      <c r="F58" s="48">
        <f t="shared" si="91"/>
        <v>-0.13169937963998779</v>
      </c>
      <c r="G58" s="48">
        <f t="shared" si="91"/>
        <v>-0.14757802570258438</v>
      </c>
      <c r="H58" s="48">
        <f t="shared" si="91"/>
        <v>5.5377882511361727E-2</v>
      </c>
      <c r="I58" s="48">
        <f t="shared" si="91"/>
        <v>0.11020541245516792</v>
      </c>
      <c r="J58" s="48">
        <f t="shared" si="91"/>
        <v>0.13679068019541527</v>
      </c>
      <c r="K58" s="48">
        <f t="shared" si="91"/>
        <v>-9.6960656349058365E-3</v>
      </c>
      <c r="L58" s="48">
        <f t="shared" si="91"/>
        <v>1.5151515151515152E-2</v>
      </c>
      <c r="M58" s="48">
        <f t="shared" si="91"/>
        <v>1.4821975189302401E-2</v>
      </c>
      <c r="N58" s="48">
        <f t="shared" si="91"/>
        <v>4.4691387848774008E-2</v>
      </c>
      <c r="O58" s="48">
        <f t="shared" si="91"/>
        <v>0.12978249946163234</v>
      </c>
      <c r="P58" s="48">
        <f t="shared" si="91"/>
        <v>0.14589697126585555</v>
      </c>
      <c r="Q58" s="48">
        <f t="shared" si="91"/>
        <v>0.20367808609325413</v>
      </c>
      <c r="R58" s="48">
        <f t="shared" si="91"/>
        <v>0.23864394121255769</v>
      </c>
      <c r="S58" s="48">
        <f t="shared" si="91"/>
        <v>0.28122596433982056</v>
      </c>
      <c r="T58" s="48">
        <f t="shared" si="91"/>
        <v>0.2842468378689153</v>
      </c>
      <c r="U58" s="48">
        <f t="shared" si="91"/>
        <v>0.31598444327430275</v>
      </c>
      <c r="V58" s="48">
        <f t="shared" si="91"/>
        <v>0.35629488588442765</v>
      </c>
      <c r="W58" s="48">
        <f t="shared" si="91"/>
        <v>0.29345854543326899</v>
      </c>
      <c r="X58" s="48">
        <f t="shared" si="91"/>
        <v>0.29258458929401787</v>
      </c>
      <c r="Y58" s="48">
        <f t="shared" si="91"/>
        <v>0.31027105662880006</v>
      </c>
      <c r="Z58" s="48">
        <f t="shared" si="91"/>
        <v>0.28460528939570301</v>
      </c>
      <c r="AA58" s="48">
        <f t="shared" si="91"/>
        <v>0.27957894553164014</v>
      </c>
      <c r="AB58" s="48">
        <f t="shared" si="91"/>
        <v>0.27448935409175623</v>
      </c>
      <c r="AC58" s="48">
        <f t="shared" si="91"/>
        <v>0.25266552384173668</v>
      </c>
      <c r="AD58" s="48">
        <f t="shared" si="91"/>
        <v>0.24439830246070343</v>
      </c>
      <c r="AE58" s="48">
        <f t="shared" si="91"/>
        <v>0.29852904594373691</v>
      </c>
      <c r="AF58" s="48">
        <f t="shared" si="91"/>
        <v>0.30204043334482966</v>
      </c>
      <c r="AG58" s="48">
        <f t="shared" si="91"/>
        <v>0.29674002374212399</v>
      </c>
      <c r="AH58" s="48">
        <f t="shared" si="91"/>
        <v>0.31579014666206351</v>
      </c>
      <c r="AI58" s="48">
        <f t="shared" si="91"/>
        <v>0.31893666153243577</v>
      </c>
    </row>
    <row r="59" spans="1:48">
      <c r="A59" t="s">
        <v>27</v>
      </c>
      <c r="B59" s="6">
        <v>325.06900000000002</v>
      </c>
      <c r="C59" s="6">
        <v>53.07</v>
      </c>
      <c r="D59" s="6">
        <v>190.108</v>
      </c>
      <c r="E59" s="6">
        <v>250</v>
      </c>
      <c r="F59" s="33">
        <v>-479</v>
      </c>
      <c r="G59" s="6">
        <v>0</v>
      </c>
      <c r="H59" s="6">
        <v>20</v>
      </c>
      <c r="I59" s="6">
        <v>75</v>
      </c>
      <c r="J59" s="6">
        <v>306</v>
      </c>
      <c r="K59" s="33">
        <v>-15</v>
      </c>
      <c r="L59" s="6">
        <v>22</v>
      </c>
      <c r="M59" s="6">
        <v>24</v>
      </c>
      <c r="N59" s="6">
        <v>104</v>
      </c>
      <c r="O59" s="6">
        <v>480</v>
      </c>
      <c r="P59" s="6">
        <v>829</v>
      </c>
      <c r="Q59" s="6">
        <v>1511</v>
      </c>
      <c r="R59" s="6">
        <v>2828</v>
      </c>
      <c r="S59" s="6">
        <v>3831</v>
      </c>
      <c r="T59" s="6">
        <v>4527</v>
      </c>
      <c r="U59" s="6">
        <v>8283</v>
      </c>
      <c r="V59" s="6">
        <v>14030</v>
      </c>
      <c r="W59" s="6">
        <v>13118</v>
      </c>
      <c r="X59" s="6">
        <v>13973</v>
      </c>
      <c r="Y59" s="6">
        <v>19121</v>
      </c>
      <c r="Z59" s="6">
        <v>15685</v>
      </c>
      <c r="AA59" s="6">
        <v>15738</v>
      </c>
      <c r="AB59" s="6">
        <v>13372</v>
      </c>
      <c r="AC59" s="6">
        <v>10481</v>
      </c>
      <c r="AD59" s="6">
        <v>9680</v>
      </c>
      <c r="AE59" s="6">
        <v>14527</v>
      </c>
      <c r="AF59" s="6">
        <v>19300</v>
      </c>
      <c r="AG59" s="6">
        <v>16741</v>
      </c>
      <c r="AH59" s="6">
        <v>29749</v>
      </c>
      <c r="AI59" s="6">
        <v>20719</v>
      </c>
    </row>
    <row r="60" spans="1:48" ht="14.4">
      <c r="A60" s="44" t="s">
        <v>145</v>
      </c>
      <c r="B60" s="48">
        <f>IFERROR(B59/B$11,"")</f>
        <v>4.5871314951636495E-2</v>
      </c>
      <c r="C60" s="48">
        <f t="shared" ref="C60:AI60" si="92">IFERROR(C59/C$11,"")</f>
        <v>6.6529153859982149E-3</v>
      </c>
      <c r="D60" s="48">
        <f t="shared" si="92"/>
        <v>2.0689216855223368E-2</v>
      </c>
      <c r="E60" s="48">
        <f t="shared" si="92"/>
        <v>2.25998915205207E-2</v>
      </c>
      <c r="F60" s="48">
        <f t="shared" si="92"/>
        <v>-4.8713515712397029E-2</v>
      </c>
      <c r="G60" s="48">
        <f t="shared" si="92"/>
        <v>0</v>
      </c>
      <c r="H60" s="48">
        <f t="shared" si="92"/>
        <v>3.3664366268304998E-3</v>
      </c>
      <c r="I60" s="48">
        <f t="shared" si="92"/>
        <v>1.2226931855233127E-2</v>
      </c>
      <c r="J60" s="48">
        <f t="shared" si="92"/>
        <v>3.8331454340473504E-2</v>
      </c>
      <c r="K60" s="48">
        <f t="shared" si="92"/>
        <v>-2.7969420100689914E-3</v>
      </c>
      <c r="L60" s="48">
        <f t="shared" si="92"/>
        <v>3.8314176245210726E-3</v>
      </c>
      <c r="M60" s="48">
        <f t="shared" si="92"/>
        <v>3.8666022232962784E-3</v>
      </c>
      <c r="N60" s="48">
        <f t="shared" si="92"/>
        <v>1.2561903611547288E-2</v>
      </c>
      <c r="O60" s="48">
        <f t="shared" si="92"/>
        <v>3.4455530830521858E-2</v>
      </c>
      <c r="P60" s="48">
        <f t="shared" si="92"/>
        <v>4.2920010354646647E-2</v>
      </c>
      <c r="Q60" s="48">
        <f t="shared" si="92"/>
        <v>6.1477744324192368E-2</v>
      </c>
      <c r="R60" s="48">
        <f t="shared" si="92"/>
        <v>7.5431436878184099E-2</v>
      </c>
      <c r="S60" s="48">
        <f t="shared" si="92"/>
        <v>8.9290292506700855E-2</v>
      </c>
      <c r="T60" s="48">
        <f t="shared" si="92"/>
        <v>6.9405902644691458E-2</v>
      </c>
      <c r="U60" s="48">
        <f t="shared" si="92"/>
        <v>7.6518027880165179E-2</v>
      </c>
      <c r="V60" s="48">
        <f t="shared" si="92"/>
        <v>8.9643979860454415E-2</v>
      </c>
      <c r="W60" s="48">
        <f t="shared" si="92"/>
        <v>7.6753847054005037E-2</v>
      </c>
      <c r="X60" s="48">
        <f t="shared" si="92"/>
        <v>7.6440821685494681E-2</v>
      </c>
      <c r="Y60" s="48">
        <f t="shared" si="92"/>
        <v>8.1813319641443644E-2</v>
      </c>
      <c r="Z60" s="48">
        <f t="shared" si="92"/>
        <v>7.2737306331415008E-2</v>
      </c>
      <c r="AA60" s="48">
        <f t="shared" si="92"/>
        <v>6.8654737080886777E-2</v>
      </c>
      <c r="AB60" s="48">
        <f t="shared" si="92"/>
        <v>5.0347333345883767E-2</v>
      </c>
      <c r="AC60" s="48">
        <f t="shared" si="92"/>
        <v>4.0284578781892115E-2</v>
      </c>
      <c r="AD60" s="48">
        <f t="shared" si="92"/>
        <v>3.5262189679981057E-2</v>
      </c>
      <c r="AE60" s="48">
        <f t="shared" si="92"/>
        <v>3.9711112386794492E-2</v>
      </c>
      <c r="AF60" s="48">
        <f t="shared" si="92"/>
        <v>4.8944026292832364E-2</v>
      </c>
      <c r="AG60" s="48">
        <f t="shared" si="92"/>
        <v>4.3677681098921166E-2</v>
      </c>
      <c r="AH60" s="48">
        <f t="shared" si="92"/>
        <v>7.6077588962624829E-2</v>
      </c>
      <c r="AI60" s="48">
        <f t="shared" si="92"/>
        <v>4.9786020314253381E-2</v>
      </c>
    </row>
    <row r="61" spans="1:48">
      <c r="A61" t="s">
        <v>28</v>
      </c>
      <c r="B61" s="6">
        <v>0</v>
      </c>
      <c r="C61" s="6">
        <v>0</v>
      </c>
      <c r="D61" s="6">
        <v>0</v>
      </c>
      <c r="E61" s="6">
        <v>0</v>
      </c>
      <c r="F61" s="6">
        <v>0</v>
      </c>
      <c r="G61" s="6">
        <v>0</v>
      </c>
      <c r="H61" s="6">
        <v>0</v>
      </c>
      <c r="I61" s="6">
        <v>0</v>
      </c>
      <c r="J61" s="6">
        <v>786</v>
      </c>
      <c r="K61" s="33">
        <v>-37</v>
      </c>
      <c r="L61" s="6">
        <v>65</v>
      </c>
      <c r="M61" s="6">
        <v>68</v>
      </c>
      <c r="N61" s="6">
        <v>266</v>
      </c>
      <c r="O61" s="6">
        <v>1328</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row>
    <row r="62" spans="1:48" ht="14.4">
      <c r="A62" s="44" t="s">
        <v>145</v>
      </c>
      <c r="B62" s="48">
        <f>IFERROR(B61/B$11,"")</f>
        <v>0</v>
      </c>
      <c r="C62" s="48">
        <f t="shared" ref="C62:AI62" si="93">IFERROR(C61/C$11,"")</f>
        <v>0</v>
      </c>
      <c r="D62" s="48">
        <f t="shared" si="93"/>
        <v>0</v>
      </c>
      <c r="E62" s="48">
        <f t="shared" si="93"/>
        <v>0</v>
      </c>
      <c r="F62" s="48">
        <f t="shared" si="93"/>
        <v>0</v>
      </c>
      <c r="G62" s="48">
        <f t="shared" si="93"/>
        <v>0</v>
      </c>
      <c r="H62" s="48">
        <f t="shared" si="93"/>
        <v>0</v>
      </c>
      <c r="I62" s="48">
        <f t="shared" si="93"/>
        <v>0</v>
      </c>
      <c r="J62" s="48">
        <f t="shared" si="93"/>
        <v>9.8459225854941754E-2</v>
      </c>
      <c r="K62" s="48">
        <f t="shared" si="93"/>
        <v>-6.8991236248368447E-3</v>
      </c>
      <c r="L62" s="48">
        <f t="shared" si="93"/>
        <v>1.1320097526994078E-2</v>
      </c>
      <c r="M62" s="48">
        <f t="shared" si="93"/>
        <v>1.0955372966006122E-2</v>
      </c>
      <c r="N62" s="48">
        <f t="shared" si="93"/>
        <v>3.2129484237226717E-2</v>
      </c>
      <c r="O62" s="48">
        <f t="shared" si="93"/>
        <v>9.5326968631110467E-2</v>
      </c>
      <c r="P62" s="48">
        <f t="shared" si="93"/>
        <v>0</v>
      </c>
      <c r="Q62" s="48">
        <f t="shared" si="93"/>
        <v>0</v>
      </c>
      <c r="R62" s="48">
        <f t="shared" si="93"/>
        <v>0</v>
      </c>
      <c r="S62" s="48">
        <f t="shared" si="93"/>
        <v>0</v>
      </c>
      <c r="T62" s="48">
        <f t="shared" si="93"/>
        <v>0</v>
      </c>
      <c r="U62" s="48">
        <f t="shared" si="93"/>
        <v>0</v>
      </c>
      <c r="V62" s="48">
        <f t="shared" si="93"/>
        <v>0</v>
      </c>
      <c r="W62" s="48">
        <f t="shared" si="93"/>
        <v>0</v>
      </c>
      <c r="X62" s="48">
        <f t="shared" si="93"/>
        <v>0</v>
      </c>
      <c r="Y62" s="48">
        <f t="shared" si="93"/>
        <v>0</v>
      </c>
      <c r="Z62" s="48">
        <f t="shared" si="93"/>
        <v>0</v>
      </c>
      <c r="AA62" s="48">
        <f t="shared" si="93"/>
        <v>0</v>
      </c>
      <c r="AB62" s="48">
        <f t="shared" si="93"/>
        <v>0</v>
      </c>
      <c r="AC62" s="48">
        <f t="shared" si="93"/>
        <v>0</v>
      </c>
      <c r="AD62" s="48">
        <f t="shared" si="93"/>
        <v>0</v>
      </c>
      <c r="AE62" s="48">
        <f t="shared" si="93"/>
        <v>0</v>
      </c>
      <c r="AF62" s="48">
        <f t="shared" si="93"/>
        <v>0</v>
      </c>
      <c r="AG62" s="48">
        <f t="shared" si="93"/>
        <v>0</v>
      </c>
      <c r="AH62" s="48">
        <f t="shared" si="93"/>
        <v>0</v>
      </c>
      <c r="AI62" s="48">
        <f t="shared" si="93"/>
        <v>0</v>
      </c>
    </row>
    <row r="63" spans="1:48">
      <c r="A63" t="s">
        <v>29</v>
      </c>
      <c r="B63" s="6">
        <v>0</v>
      </c>
      <c r="C63" s="6">
        <v>0</v>
      </c>
      <c r="D63" s="6">
        <v>0</v>
      </c>
      <c r="E63" s="6">
        <v>0</v>
      </c>
      <c r="F63" s="6">
        <v>0</v>
      </c>
      <c r="G63" s="6">
        <v>0</v>
      </c>
      <c r="H63" s="6">
        <v>0</v>
      </c>
      <c r="I63" s="6">
        <v>0</v>
      </c>
      <c r="J63" s="6">
        <v>0</v>
      </c>
      <c r="K63" s="6">
        <v>12</v>
      </c>
      <c r="L63" s="6">
        <v>0</v>
      </c>
      <c r="M63" s="6">
        <v>1</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0</v>
      </c>
      <c r="AG63" s="6">
        <v>0</v>
      </c>
      <c r="AH63" s="6">
        <v>0</v>
      </c>
      <c r="AI63" s="6">
        <v>0</v>
      </c>
    </row>
    <row r="64" spans="1:48" ht="14.4">
      <c r="A64" s="44" t="s">
        <v>145</v>
      </c>
      <c r="B64" s="48">
        <f>IFERROR(B63/B$11,"")</f>
        <v>0</v>
      </c>
      <c r="C64" s="48">
        <f t="shared" ref="C64:AI64" si="94">IFERROR(C63/C$11,"")</f>
        <v>0</v>
      </c>
      <c r="D64" s="48">
        <f t="shared" si="94"/>
        <v>0</v>
      </c>
      <c r="E64" s="48">
        <f t="shared" si="94"/>
        <v>0</v>
      </c>
      <c r="F64" s="48">
        <f t="shared" si="94"/>
        <v>0</v>
      </c>
      <c r="G64" s="48">
        <f t="shared" si="94"/>
        <v>0</v>
      </c>
      <c r="H64" s="48">
        <f t="shared" si="94"/>
        <v>0</v>
      </c>
      <c r="I64" s="48">
        <f t="shared" si="94"/>
        <v>0</v>
      </c>
      <c r="J64" s="48">
        <f t="shared" si="94"/>
        <v>0</v>
      </c>
      <c r="K64" s="48">
        <f t="shared" si="94"/>
        <v>2.2375536080551932E-3</v>
      </c>
      <c r="L64" s="48">
        <f t="shared" si="94"/>
        <v>0</v>
      </c>
      <c r="M64" s="48">
        <f t="shared" si="94"/>
        <v>1.6110842597067828E-4</v>
      </c>
      <c r="N64" s="48">
        <f t="shared" si="94"/>
        <v>0</v>
      </c>
      <c r="O64" s="48">
        <f t="shared" si="94"/>
        <v>0</v>
      </c>
      <c r="P64" s="48">
        <f t="shared" si="94"/>
        <v>0</v>
      </c>
      <c r="Q64" s="48">
        <f t="shared" si="94"/>
        <v>0</v>
      </c>
      <c r="R64" s="48">
        <f t="shared" si="94"/>
        <v>0</v>
      </c>
      <c r="S64" s="48">
        <f t="shared" si="94"/>
        <v>0</v>
      </c>
      <c r="T64" s="48">
        <f t="shared" si="94"/>
        <v>0</v>
      </c>
      <c r="U64" s="48">
        <f t="shared" si="94"/>
        <v>0</v>
      </c>
      <c r="V64" s="48">
        <f t="shared" si="94"/>
        <v>0</v>
      </c>
      <c r="W64" s="48">
        <f t="shared" si="94"/>
        <v>0</v>
      </c>
      <c r="X64" s="48">
        <f t="shared" si="94"/>
        <v>0</v>
      </c>
      <c r="Y64" s="48">
        <f t="shared" si="94"/>
        <v>0</v>
      </c>
      <c r="Z64" s="48">
        <f t="shared" si="94"/>
        <v>0</v>
      </c>
      <c r="AA64" s="48">
        <f t="shared" si="94"/>
        <v>0</v>
      </c>
      <c r="AB64" s="48">
        <f t="shared" si="94"/>
        <v>0</v>
      </c>
      <c r="AC64" s="48">
        <f t="shared" si="94"/>
        <v>0</v>
      </c>
      <c r="AD64" s="48">
        <f t="shared" si="94"/>
        <v>0</v>
      </c>
      <c r="AE64" s="48">
        <f t="shared" si="94"/>
        <v>0</v>
      </c>
      <c r="AF64" s="48">
        <f t="shared" si="94"/>
        <v>0</v>
      </c>
      <c r="AG64" s="48">
        <f t="shared" si="94"/>
        <v>0</v>
      </c>
      <c r="AH64" s="48">
        <f t="shared" si="94"/>
        <v>0</v>
      </c>
      <c r="AI64" s="48">
        <f t="shared" si="94"/>
        <v>0</v>
      </c>
      <c r="AL64" s="50" t="s">
        <v>148</v>
      </c>
      <c r="AM64" s="50" t="s">
        <v>149</v>
      </c>
      <c r="AN64" s="50"/>
      <c r="AO64" s="50" t="s">
        <v>150</v>
      </c>
      <c r="AP64" s="50" t="s">
        <v>149</v>
      </c>
      <c r="AQ64" s="50"/>
      <c r="AR64" s="50" t="s">
        <v>151</v>
      </c>
      <c r="AS64" s="50" t="s">
        <v>149</v>
      </c>
      <c r="AT64" s="50"/>
      <c r="AU64" s="50" t="s">
        <v>152</v>
      </c>
      <c r="AV64" s="50" t="s">
        <v>149</v>
      </c>
    </row>
    <row r="65" spans="1:48">
      <c r="A65" s="24" t="s">
        <v>30</v>
      </c>
      <c r="B65" s="18">
        <f>B57-B59+B63+B61</f>
        <v>530.3730000000005</v>
      </c>
      <c r="C65" s="18">
        <f t="shared" ref="C65:AI65" si="95">C57-C59+C63+C61</f>
        <v>86.588999999999743</v>
      </c>
      <c r="D65" s="18">
        <f t="shared" si="95"/>
        <v>310.17799999999943</v>
      </c>
      <c r="E65" s="18">
        <f t="shared" si="95"/>
        <v>424</v>
      </c>
      <c r="F65" s="18">
        <f t="shared" si="95"/>
        <v>-816</v>
      </c>
      <c r="G65" s="18">
        <f t="shared" si="95"/>
        <v>-1045</v>
      </c>
      <c r="H65" s="18">
        <f t="shared" si="95"/>
        <v>309</v>
      </c>
      <c r="I65" s="18">
        <f t="shared" si="95"/>
        <v>601</v>
      </c>
      <c r="J65" s="18">
        <f t="shared" si="95"/>
        <v>1572</v>
      </c>
      <c r="K65" s="18">
        <f t="shared" si="95"/>
        <v>-62</v>
      </c>
      <c r="L65" s="18">
        <f t="shared" si="95"/>
        <v>130</v>
      </c>
      <c r="M65" s="18">
        <f t="shared" si="95"/>
        <v>137</v>
      </c>
      <c r="N65" s="18">
        <f t="shared" si="95"/>
        <v>532</v>
      </c>
      <c r="O65" s="18">
        <f t="shared" si="95"/>
        <v>2656</v>
      </c>
      <c r="P65" s="18">
        <f t="shared" si="95"/>
        <v>1989</v>
      </c>
      <c r="Q65" s="18">
        <f t="shared" si="95"/>
        <v>3495</v>
      </c>
      <c r="R65" s="18">
        <f t="shared" si="95"/>
        <v>6119</v>
      </c>
      <c r="S65" s="18">
        <f t="shared" si="95"/>
        <v>8235</v>
      </c>
      <c r="T65" s="18">
        <f t="shared" si="95"/>
        <v>14013</v>
      </c>
      <c r="U65" s="18">
        <f t="shared" si="95"/>
        <v>25922</v>
      </c>
      <c r="V65" s="18">
        <f t="shared" si="95"/>
        <v>41733</v>
      </c>
      <c r="W65" s="18">
        <f t="shared" si="95"/>
        <v>37037</v>
      </c>
      <c r="X65" s="18">
        <f t="shared" si="95"/>
        <v>39510</v>
      </c>
      <c r="Y65" s="18">
        <f t="shared" si="95"/>
        <v>53394</v>
      </c>
      <c r="Z65" s="18">
        <f t="shared" si="95"/>
        <v>45687</v>
      </c>
      <c r="AA65" s="18">
        <f t="shared" si="95"/>
        <v>48351</v>
      </c>
      <c r="AB65" s="18">
        <f t="shared" si="95"/>
        <v>59531</v>
      </c>
      <c r="AC65" s="18">
        <f t="shared" si="95"/>
        <v>55256</v>
      </c>
      <c r="AD65" s="18">
        <f t="shared" si="95"/>
        <v>57411</v>
      </c>
      <c r="AE65" s="18">
        <f t="shared" si="95"/>
        <v>94680</v>
      </c>
      <c r="AF65" s="18">
        <f t="shared" si="95"/>
        <v>99803</v>
      </c>
      <c r="AG65" s="18">
        <f t="shared" si="95"/>
        <v>96995</v>
      </c>
      <c r="AH65" s="18">
        <f t="shared" si="95"/>
        <v>93736</v>
      </c>
      <c r="AI65" s="18">
        <f t="shared" si="95"/>
        <v>112010</v>
      </c>
      <c r="AL65" s="51">
        <f>IFERROR((AI65/B65)^(1/33)-1,"")</f>
        <v>0.17610124251598669</v>
      </c>
      <c r="AM65" s="51">
        <f>IFERROR(PRODUCT(1+C66,1+D66,1+E66,1+F66,1+G66,1+H66,1+I66,1+J66,1+K66,1+L66,1+M66,1+N66,1+O66,1+P66,1+Q66,1+R66,1+S66,1+T66,1+U66,1+V66,1+W66,1+X66,1+Y66,1+Z66,1+AA66,1+AB66,1+AC66,1+AD66,1+AE66,1+AF66,1+AG66,1+AH66,1+AI66)^(1/33)-1,"")</f>
        <v>0.17610124251598669</v>
      </c>
      <c r="AO65" s="51">
        <f>IFERROR((AI65/O65)^(1/20)-1, "")</f>
        <v>0.20573380218813009</v>
      </c>
      <c r="AP65" s="51">
        <f>IFERROR(PRODUCT(1+P66,1+Q66,1+R66,1+S66,1+T66,1+U66,1+V66,1+W66,1+X66,1+Y66,1+Z66,1+AA66,1+AB66,1+AC66,1+AD66,1+AE66,1+AF66,1+AG66,1+AH66,1+AI66)^(1/20)-1,"")</f>
        <v>0.20573380218813009</v>
      </c>
      <c r="AR65" s="51">
        <f>IFERROR((AI65/Y65)^(1/10)-1,"")</f>
        <v>7.6902621112517444E-2</v>
      </c>
      <c r="AS65" s="51">
        <f>IFERROR(PRODUCT(1+Z66,1+AA66,1+AB66,1+AC66,1+AD66,1+AE66,1+AF66,1+AG66,1+AH66,1+AI66)^(1/10)-1,"")</f>
        <v>7.6902621112517444E-2</v>
      </c>
      <c r="AU65" s="51">
        <f>IFERROR((AI65/AD65)^(1/5)-1,"")</f>
        <v>0.14301607214786305</v>
      </c>
      <c r="AV65" s="51">
        <f>IFERROR(PRODUCT(1+AE66,1+AF66,1+AG66,1+AH66,1+AI66)^(1/5)-1,"")</f>
        <v>0.14301607214786305</v>
      </c>
    </row>
    <row r="66" spans="1:48">
      <c r="B66" s="26"/>
      <c r="C66" s="42">
        <f t="shared" ref="C66" si="96">IFERROR(C65/B65-1,"")</f>
        <v>-0.83673942678077573</v>
      </c>
      <c r="D66" s="42">
        <f t="shared" ref="D66" si="97">IFERROR(D65/C65-1,"")</f>
        <v>2.5821871138366346</v>
      </c>
      <c r="E66" s="42">
        <f t="shared" ref="E66" si="98">IFERROR(E65/D65-1,"")</f>
        <v>0.36695703757197728</v>
      </c>
      <c r="F66" s="42">
        <f t="shared" ref="F66" si="99">IFERROR(F65/E65-1,"")</f>
        <v>-2.9245283018867925</v>
      </c>
      <c r="G66" s="42">
        <f t="shared" ref="G66" si="100">IFERROR(G65/F65-1,"")</f>
        <v>0.28063725490196068</v>
      </c>
      <c r="H66" s="42">
        <f t="shared" ref="H66" si="101">IFERROR(H65/G65-1,"")</f>
        <v>-1.2956937799043062</v>
      </c>
      <c r="I66" s="42">
        <f t="shared" ref="I66" si="102">IFERROR(I65/H65-1,"")</f>
        <v>0.94498381877022664</v>
      </c>
      <c r="J66" s="42">
        <f t="shared" ref="J66" si="103">IFERROR(J65/I65-1,"")</f>
        <v>1.6156405990016638</v>
      </c>
      <c r="K66" s="42">
        <f t="shared" ref="K66" si="104">IFERROR(K65/J65-1,"")</f>
        <v>-1.0394402035623409</v>
      </c>
      <c r="L66" s="42">
        <f t="shared" ref="L66" si="105">IFERROR(L65/K65-1,"")</f>
        <v>-3.096774193548387</v>
      </c>
      <c r="M66" s="42">
        <f t="shared" ref="M66" si="106">IFERROR(M65/L65-1,"")</f>
        <v>5.3846153846153877E-2</v>
      </c>
      <c r="N66" s="42">
        <f t="shared" ref="N66" si="107">IFERROR(N65/M65-1,"")</f>
        <v>2.8832116788321169</v>
      </c>
      <c r="O66" s="42">
        <f t="shared" ref="O66" si="108">IFERROR(O65/N65-1,"")</f>
        <v>3.992481203007519</v>
      </c>
      <c r="P66" s="42">
        <f t="shared" ref="P66" si="109">IFERROR(P65/O65-1,"")</f>
        <v>-0.25112951807228912</v>
      </c>
      <c r="Q66" s="42">
        <f t="shared" ref="Q66" si="110">IFERROR(Q65/P65-1,"")</f>
        <v>0.75716440422322773</v>
      </c>
      <c r="R66" s="42">
        <f t="shared" ref="R66" si="111">IFERROR(R65/Q65-1,"")</f>
        <v>0.75078683834048632</v>
      </c>
      <c r="S66" s="42">
        <f t="shared" ref="S66" si="112">IFERROR(S65/R65-1,"")</f>
        <v>0.34580813858473602</v>
      </c>
      <c r="T66" s="42">
        <f t="shared" ref="T66" si="113">IFERROR(T65/S65-1,"")</f>
        <v>0.70163934426229502</v>
      </c>
      <c r="U66" s="42">
        <f t="shared" ref="U66" si="114">IFERROR(U65/T65-1,"")</f>
        <v>0.84985370727181908</v>
      </c>
      <c r="V66" s="42">
        <f t="shared" ref="V66" si="115">IFERROR(V65/U65-1,"")</f>
        <v>0.60994522027621323</v>
      </c>
      <c r="W66" s="42">
        <f t="shared" ref="W66" si="116">IFERROR(W65/V65-1,"")</f>
        <v>-0.11252486042220788</v>
      </c>
      <c r="X66" s="42">
        <f t="shared" ref="X66" si="117">IFERROR(X65/W65-1,"")</f>
        <v>6.6771066771066812E-2</v>
      </c>
      <c r="Y66" s="42">
        <f t="shared" ref="Y66" si="118">IFERROR(Y65/X65-1,"")</f>
        <v>0.3514047076689446</v>
      </c>
      <c r="Z66" s="42">
        <f t="shared" ref="Z66" si="119">IFERROR(Z65/Y65-1,"")</f>
        <v>-0.14434206090571977</v>
      </c>
      <c r="AA66" s="42">
        <f t="shared" ref="AA66" si="120">IFERROR(AA65/Z65-1,"")</f>
        <v>5.830980366406191E-2</v>
      </c>
      <c r="AB66" s="42">
        <f t="shared" ref="AB66" si="121">IFERROR(AB65/AA65-1,"")</f>
        <v>0.23122582780087275</v>
      </c>
      <c r="AC66" s="42">
        <f t="shared" ref="AC66" si="122">IFERROR(AC65/AB65-1,"")</f>
        <v>-7.1811325191916797E-2</v>
      </c>
      <c r="AD66" s="42">
        <f t="shared" ref="AD66" si="123">IFERROR(AD65/AC65-1,"")</f>
        <v>3.9000289561314627E-2</v>
      </c>
      <c r="AE66" s="42">
        <f t="shared" ref="AE66" si="124">IFERROR(AE65/AD65-1,"")</f>
        <v>0.64916131055024295</v>
      </c>
      <c r="AF66" s="42">
        <f t="shared" ref="AF66" si="125">IFERROR(AF65/AE65-1,"")</f>
        <v>5.410857625686516E-2</v>
      </c>
      <c r="AG66" s="42">
        <f t="shared" ref="AG66" si="126">IFERROR(AG65/AF65-1,"")</f>
        <v>-2.8135426790777851E-2</v>
      </c>
      <c r="AH66" s="42">
        <f t="shared" ref="AH66" si="127">IFERROR(AH65/AG65-1,"")</f>
        <v>-3.3599670086086886E-2</v>
      </c>
      <c r="AI66" s="42">
        <f t="shared" ref="AI66" si="128">IFERROR(AI65/AH65-1,"")</f>
        <v>0.19495177946573361</v>
      </c>
    </row>
    <row r="67" spans="1:48">
      <c r="B67" s="26"/>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row>
    <row r="68" spans="1:48">
      <c r="A68" t="s">
        <v>31</v>
      </c>
      <c r="B68" s="5">
        <v>4.33</v>
      </c>
      <c r="C68" s="5">
        <v>0.73</v>
      </c>
      <c r="D68" s="5">
        <v>2.61</v>
      </c>
      <c r="E68" s="5">
        <v>3.45</v>
      </c>
      <c r="F68" s="33">
        <v>-6.59</v>
      </c>
      <c r="G68" s="33">
        <v>-8.2899999999999991</v>
      </c>
      <c r="H68" s="5">
        <v>2.34</v>
      </c>
      <c r="I68" s="5">
        <v>4.2</v>
      </c>
      <c r="J68" s="5">
        <v>2.42</v>
      </c>
      <c r="K68" s="36">
        <v>-7.0000000000000007E-2</v>
      </c>
      <c r="L68" s="5">
        <v>0.18</v>
      </c>
      <c r="M68" s="5">
        <v>0.1</v>
      </c>
      <c r="N68" s="5">
        <v>0.36</v>
      </c>
      <c r="O68" s="5">
        <v>1.64</v>
      </c>
      <c r="P68" s="5">
        <v>2.36</v>
      </c>
      <c r="Q68" s="5">
        <v>4.04</v>
      </c>
      <c r="R68" s="5">
        <v>6.94</v>
      </c>
      <c r="S68" s="5">
        <v>9.2200000000000006</v>
      </c>
      <c r="T68" s="5">
        <v>15.41</v>
      </c>
      <c r="U68" s="5">
        <v>28.05</v>
      </c>
      <c r="V68" s="5">
        <v>44.64</v>
      </c>
      <c r="W68" s="5">
        <v>40.03</v>
      </c>
      <c r="X68" s="10">
        <v>6.49</v>
      </c>
      <c r="Y68" s="10">
        <v>9.2799999999999994</v>
      </c>
      <c r="Z68" s="10">
        <v>8.35</v>
      </c>
      <c r="AA68" s="10">
        <v>9.27</v>
      </c>
      <c r="AB68" s="10">
        <v>12.01</v>
      </c>
      <c r="AC68" s="10">
        <v>11.97</v>
      </c>
      <c r="AD68" s="10">
        <v>3.31</v>
      </c>
      <c r="AE68" s="10">
        <v>5.67</v>
      </c>
      <c r="AF68" s="10">
        <v>6.15</v>
      </c>
      <c r="AG68" s="10">
        <v>6.16</v>
      </c>
      <c r="AH68" s="10">
        <v>6.11</v>
      </c>
      <c r="AI68" s="10">
        <v>7.49</v>
      </c>
    </row>
    <row r="69" spans="1:48" ht="16.05" customHeight="1">
      <c r="A69" t="s">
        <v>32</v>
      </c>
      <c r="B69" s="5">
        <v>0</v>
      </c>
      <c r="C69" s="5">
        <v>0</v>
      </c>
      <c r="D69" s="5">
        <v>0</v>
      </c>
      <c r="E69" s="5">
        <v>0</v>
      </c>
      <c r="F69" s="5">
        <v>0</v>
      </c>
      <c r="G69" s="5">
        <v>0</v>
      </c>
      <c r="H69" s="5">
        <v>2.1</v>
      </c>
      <c r="I69" s="5">
        <v>3.61</v>
      </c>
      <c r="J69" s="5">
        <v>2.1800000000000002</v>
      </c>
      <c r="K69" s="36">
        <v>-7.0000000000000007E-2</v>
      </c>
      <c r="L69" s="5">
        <v>0.18</v>
      </c>
      <c r="M69" s="5">
        <v>0.09</v>
      </c>
      <c r="N69" s="5">
        <v>0.34</v>
      </c>
      <c r="O69" s="5">
        <v>1.55</v>
      </c>
      <c r="P69" s="5">
        <v>2.27</v>
      </c>
      <c r="Q69" s="5">
        <v>3.93</v>
      </c>
      <c r="R69" s="5">
        <v>6.78</v>
      </c>
      <c r="S69" s="5">
        <v>9.08</v>
      </c>
      <c r="T69" s="5">
        <v>15.15</v>
      </c>
      <c r="U69" s="5">
        <v>27.68</v>
      </c>
      <c r="V69" s="5">
        <v>44.15</v>
      </c>
      <c r="W69" s="5">
        <v>39.75</v>
      </c>
      <c r="X69" s="10">
        <v>6.45</v>
      </c>
      <c r="Y69" s="10">
        <v>9.2200000000000006</v>
      </c>
      <c r="Z69" s="10">
        <v>8.31</v>
      </c>
      <c r="AA69" s="10">
        <v>9.2100000000000009</v>
      </c>
      <c r="AB69" s="10">
        <v>11.91</v>
      </c>
      <c r="AC69" s="10">
        <v>11.89</v>
      </c>
      <c r="AD69" s="10">
        <v>3.28</v>
      </c>
      <c r="AE69" s="10">
        <v>5.61</v>
      </c>
      <c r="AF69" s="10">
        <v>6.11</v>
      </c>
      <c r="AG69" s="10">
        <v>6.13</v>
      </c>
      <c r="AH69" s="10">
        <v>6.08</v>
      </c>
      <c r="AI69" s="10">
        <v>7.46</v>
      </c>
    </row>
    <row r="70" spans="1:48" ht="16.05" customHeight="1">
      <c r="A70" t="s">
        <v>146</v>
      </c>
      <c r="B70" s="5"/>
      <c r="C70" s="42">
        <f>IFERROR(C68/B68-1,"")</f>
        <v>-0.8314087759815243</v>
      </c>
      <c r="D70" s="42">
        <f t="shared" ref="D70:AI70" si="129">IFERROR(D68/C68-1,"")</f>
        <v>2.5753424657534247</v>
      </c>
      <c r="E70" s="42">
        <f t="shared" si="129"/>
        <v>0.32183908045977017</v>
      </c>
      <c r="F70" s="42">
        <f t="shared" si="129"/>
        <v>-2.9101449275362317</v>
      </c>
      <c r="G70" s="42">
        <f t="shared" si="129"/>
        <v>0.25796661608497717</v>
      </c>
      <c r="H70" s="42">
        <f t="shared" si="129"/>
        <v>-1.2822677925211097</v>
      </c>
      <c r="I70" s="42">
        <f t="shared" si="129"/>
        <v>0.79487179487179516</v>
      </c>
      <c r="J70" s="42">
        <f t="shared" si="129"/>
        <v>-0.42380952380952386</v>
      </c>
      <c r="K70" s="42">
        <f t="shared" si="129"/>
        <v>-1.0289256198347108</v>
      </c>
      <c r="L70" s="42">
        <f t="shared" si="129"/>
        <v>-3.5714285714285712</v>
      </c>
      <c r="M70" s="42">
        <f t="shared" si="129"/>
        <v>-0.44444444444444442</v>
      </c>
      <c r="N70" s="42">
        <f t="shared" si="129"/>
        <v>2.5999999999999996</v>
      </c>
      <c r="O70" s="42">
        <f t="shared" si="129"/>
        <v>3.5555555555555554</v>
      </c>
      <c r="P70" s="42">
        <f t="shared" si="129"/>
        <v>0.43902439024390238</v>
      </c>
      <c r="Q70" s="42">
        <f t="shared" si="129"/>
        <v>0.71186440677966112</v>
      </c>
      <c r="R70" s="42">
        <f t="shared" si="129"/>
        <v>0.71782178217821779</v>
      </c>
      <c r="S70" s="42">
        <f t="shared" si="129"/>
        <v>0.32853025936599423</v>
      </c>
      <c r="T70" s="42">
        <f t="shared" si="129"/>
        <v>0.67136659436008661</v>
      </c>
      <c r="U70" s="42">
        <f t="shared" si="129"/>
        <v>0.82024659312134984</v>
      </c>
      <c r="V70" s="42">
        <f t="shared" si="129"/>
        <v>0.59144385026737956</v>
      </c>
      <c r="W70" s="42">
        <f t="shared" si="129"/>
        <v>-0.10327060931899645</v>
      </c>
      <c r="X70" s="42">
        <f t="shared" si="129"/>
        <v>-0.83787159630277297</v>
      </c>
      <c r="Y70" s="42">
        <f t="shared" si="129"/>
        <v>0.42989214175654844</v>
      </c>
      <c r="Z70" s="42">
        <f t="shared" si="129"/>
        <v>-0.10021551724137934</v>
      </c>
      <c r="AA70" s="42">
        <f t="shared" si="129"/>
        <v>0.1101796407185629</v>
      </c>
      <c r="AB70" s="42">
        <f t="shared" si="129"/>
        <v>0.29557713052858681</v>
      </c>
      <c r="AC70" s="42">
        <f t="shared" si="129"/>
        <v>-3.3305578684429404E-3</v>
      </c>
      <c r="AD70" s="42">
        <f t="shared" si="129"/>
        <v>-0.72347535505430249</v>
      </c>
      <c r="AE70" s="42">
        <f t="shared" si="129"/>
        <v>0.7129909365558913</v>
      </c>
      <c r="AF70" s="42">
        <f t="shared" si="129"/>
        <v>8.4656084656084651E-2</v>
      </c>
      <c r="AG70" s="42">
        <f t="shared" si="129"/>
        <v>1.6260162601626771E-3</v>
      </c>
      <c r="AH70" s="42">
        <f t="shared" si="129"/>
        <v>-8.116883116883078E-3</v>
      </c>
      <c r="AI70" s="42">
        <f t="shared" si="129"/>
        <v>0.22585924713584293</v>
      </c>
    </row>
    <row r="71" spans="1:48" ht="16.05" customHeight="1">
      <c r="A71" t="s">
        <v>147</v>
      </c>
      <c r="B71" s="5"/>
      <c r="C71" s="42" t="str">
        <f t="shared" ref="C71:AI71" si="130">IFERROR(C69/B69-1,"")</f>
        <v/>
      </c>
      <c r="D71" s="42" t="str">
        <f t="shared" si="130"/>
        <v/>
      </c>
      <c r="E71" s="42" t="str">
        <f t="shared" si="130"/>
        <v/>
      </c>
      <c r="F71" s="42" t="str">
        <f t="shared" si="130"/>
        <v/>
      </c>
      <c r="G71" s="42" t="str">
        <f t="shared" si="130"/>
        <v/>
      </c>
      <c r="H71" s="42" t="str">
        <f t="shared" si="130"/>
        <v/>
      </c>
      <c r="I71" s="42">
        <f t="shared" si="130"/>
        <v>0.71904761904761894</v>
      </c>
      <c r="J71" s="42">
        <f t="shared" si="130"/>
        <v>-0.39612188365650958</v>
      </c>
      <c r="K71" s="42">
        <f t="shared" si="130"/>
        <v>-1.0321100917431192</v>
      </c>
      <c r="L71" s="42">
        <f t="shared" si="130"/>
        <v>-3.5714285714285712</v>
      </c>
      <c r="M71" s="42">
        <f t="shared" si="130"/>
        <v>-0.5</v>
      </c>
      <c r="N71" s="42">
        <f t="shared" si="130"/>
        <v>2.7777777777777781</v>
      </c>
      <c r="O71" s="42">
        <f t="shared" si="130"/>
        <v>3.5588235294117645</v>
      </c>
      <c r="P71" s="42">
        <f t="shared" si="130"/>
        <v>0.46451612903225814</v>
      </c>
      <c r="Q71" s="42">
        <f t="shared" si="130"/>
        <v>0.73127753303964771</v>
      </c>
      <c r="R71" s="42">
        <f t="shared" si="130"/>
        <v>0.72519083969465647</v>
      </c>
      <c r="S71" s="42">
        <f t="shared" si="130"/>
        <v>0.33923303834808261</v>
      </c>
      <c r="T71" s="42">
        <f t="shared" si="130"/>
        <v>0.66850220264317173</v>
      </c>
      <c r="U71" s="42">
        <f t="shared" si="130"/>
        <v>0.82706270627062706</v>
      </c>
      <c r="V71" s="42">
        <f t="shared" si="130"/>
        <v>0.59501445086705207</v>
      </c>
      <c r="W71" s="42">
        <f t="shared" si="130"/>
        <v>-9.9660249150622882E-2</v>
      </c>
      <c r="X71" s="42">
        <f t="shared" si="130"/>
        <v>-0.83773584905660381</v>
      </c>
      <c r="Y71" s="42">
        <f t="shared" si="130"/>
        <v>0.42945736434108528</v>
      </c>
      <c r="Z71" s="42">
        <f t="shared" si="130"/>
        <v>-9.8698481561822149E-2</v>
      </c>
      <c r="AA71" s="42">
        <f t="shared" si="130"/>
        <v>0.10830324909747291</v>
      </c>
      <c r="AB71" s="42">
        <f t="shared" si="130"/>
        <v>0.29315960912052108</v>
      </c>
      <c r="AC71" s="42">
        <f t="shared" si="130"/>
        <v>-1.6792611251049694E-3</v>
      </c>
      <c r="AD71" s="42">
        <f t="shared" si="130"/>
        <v>-0.72413793103448276</v>
      </c>
      <c r="AE71" s="42">
        <f t="shared" si="130"/>
        <v>0.71036585365853688</v>
      </c>
      <c r="AF71" s="42">
        <f t="shared" si="130"/>
        <v>8.9126559714794995E-2</v>
      </c>
      <c r="AG71" s="42">
        <f t="shared" si="130"/>
        <v>3.2733224222585289E-3</v>
      </c>
      <c r="AH71" s="42">
        <f t="shared" si="130"/>
        <v>-8.1566068515497303E-3</v>
      </c>
      <c r="AI71" s="42">
        <f t="shared" si="130"/>
        <v>0.22697368421052633</v>
      </c>
    </row>
    <row r="72" spans="1:48" ht="16.05" customHeight="1">
      <c r="B72" s="5"/>
      <c r="C72" s="5"/>
      <c r="D72" s="5"/>
      <c r="E72" s="5"/>
      <c r="F72" s="5"/>
      <c r="G72" s="5"/>
      <c r="H72" s="5"/>
      <c r="I72" s="5"/>
      <c r="J72" s="5"/>
      <c r="K72" s="36"/>
      <c r="L72" s="5"/>
      <c r="M72" s="5"/>
      <c r="N72" s="5"/>
      <c r="O72" s="5"/>
      <c r="P72" s="5"/>
      <c r="Q72" s="5"/>
      <c r="R72" s="5"/>
      <c r="S72" s="5"/>
      <c r="T72" s="5"/>
      <c r="U72" s="5"/>
      <c r="V72" s="5"/>
      <c r="W72" s="5"/>
      <c r="X72" s="10"/>
      <c r="Y72" s="10"/>
      <c r="Z72" s="10"/>
      <c r="AA72" s="10"/>
      <c r="AB72" s="10"/>
      <c r="AC72" s="10"/>
      <c r="AD72" s="10"/>
      <c r="AE72" s="10"/>
      <c r="AF72" s="10"/>
      <c r="AG72" s="10"/>
      <c r="AH72" s="10"/>
      <c r="AI72" s="10"/>
    </row>
    <row r="73" spans="1:48" ht="16.05" customHeight="1">
      <c r="A73" s="4"/>
      <c r="B73" s="5"/>
      <c r="C73" s="5"/>
      <c r="D73" s="5"/>
      <c r="E73" s="5"/>
      <c r="F73" s="5"/>
      <c r="G73" s="5"/>
      <c r="H73" s="5"/>
      <c r="I73" s="5"/>
      <c r="J73" s="5"/>
      <c r="K73" s="5"/>
      <c r="L73" s="5"/>
      <c r="M73" s="5"/>
      <c r="N73" s="5"/>
      <c r="O73" s="5"/>
      <c r="P73" s="5"/>
      <c r="Q73" s="5"/>
      <c r="R73" s="5"/>
      <c r="S73" s="5"/>
      <c r="T73" s="5"/>
      <c r="U73" s="5"/>
      <c r="V73" s="5"/>
      <c r="W73" s="5"/>
      <c r="X73" s="10"/>
      <c r="Y73" s="10"/>
      <c r="Z73" s="10"/>
      <c r="AA73" s="10"/>
      <c r="AB73" s="10"/>
      <c r="AC73" s="10"/>
      <c r="AD73" s="10"/>
      <c r="AE73" s="10"/>
      <c r="AF73" s="10"/>
      <c r="AG73" s="10"/>
      <c r="AH73" s="10"/>
      <c r="AI73" s="10"/>
    </row>
    <row r="74" spans="1:48">
      <c r="A74" s="4" t="s">
        <v>33</v>
      </c>
      <c r="B74" s="6">
        <v>122490</v>
      </c>
      <c r="C74" s="6">
        <v>119125</v>
      </c>
      <c r="D74" s="6">
        <v>118735</v>
      </c>
      <c r="E74" s="6">
        <v>123047</v>
      </c>
      <c r="F74" s="6">
        <v>123734</v>
      </c>
      <c r="G74" s="6">
        <v>126062</v>
      </c>
      <c r="H74" s="6">
        <v>131974</v>
      </c>
      <c r="I74" s="6">
        <v>143157</v>
      </c>
      <c r="J74" s="6">
        <v>324568</v>
      </c>
      <c r="K74" s="6">
        <v>345613</v>
      </c>
      <c r="L74" s="6">
        <v>355022</v>
      </c>
      <c r="M74" s="6">
        <v>721262</v>
      </c>
      <c r="N74" s="6">
        <v>743180</v>
      </c>
      <c r="O74" s="6">
        <v>808439</v>
      </c>
      <c r="P74" s="6">
        <v>844058</v>
      </c>
      <c r="Q74" s="6">
        <v>864595</v>
      </c>
      <c r="R74" s="6">
        <v>881592</v>
      </c>
      <c r="S74" s="6">
        <v>893016</v>
      </c>
      <c r="T74" s="6">
        <v>909461</v>
      </c>
      <c r="U74" s="6">
        <v>924258</v>
      </c>
      <c r="V74" s="6">
        <v>934818</v>
      </c>
      <c r="W74" s="6">
        <v>925331</v>
      </c>
      <c r="X74" s="8">
        <v>6085572</v>
      </c>
      <c r="Y74" s="8">
        <v>5753421</v>
      </c>
      <c r="Z74" s="8">
        <v>5470820</v>
      </c>
      <c r="AA74" s="8">
        <v>5217242</v>
      </c>
      <c r="AB74" s="8">
        <v>4955377</v>
      </c>
      <c r="AC74" s="8">
        <v>4617834</v>
      </c>
      <c r="AD74" s="8">
        <v>17352119</v>
      </c>
      <c r="AE74" s="8">
        <v>16701272</v>
      </c>
      <c r="AF74" s="8">
        <v>16215963</v>
      </c>
      <c r="AG74" s="8">
        <v>15744231</v>
      </c>
      <c r="AH74" s="8">
        <v>15343783</v>
      </c>
      <c r="AI74" s="8">
        <v>14948500</v>
      </c>
    </row>
    <row r="75" spans="1:48">
      <c r="A75" s="4" t="s">
        <v>34</v>
      </c>
      <c r="B75" s="6">
        <v>0</v>
      </c>
      <c r="C75" s="6">
        <v>0</v>
      </c>
      <c r="D75" s="6">
        <v>0</v>
      </c>
      <c r="E75" s="6">
        <v>0</v>
      </c>
      <c r="F75" s="6">
        <v>0</v>
      </c>
      <c r="G75" s="6">
        <v>0</v>
      </c>
      <c r="H75" s="6">
        <v>167917</v>
      </c>
      <c r="I75" s="6">
        <v>174164</v>
      </c>
      <c r="J75" s="6">
        <v>360324</v>
      </c>
      <c r="K75" s="6">
        <v>345613</v>
      </c>
      <c r="L75" s="6">
        <v>361785</v>
      </c>
      <c r="M75" s="6">
        <v>726932</v>
      </c>
      <c r="N75" s="6">
        <v>774776</v>
      </c>
      <c r="O75" s="6">
        <v>856878</v>
      </c>
      <c r="P75" s="6">
        <v>877526</v>
      </c>
      <c r="Q75" s="6">
        <v>889292</v>
      </c>
      <c r="R75" s="6">
        <v>902139</v>
      </c>
      <c r="S75" s="6">
        <v>907005</v>
      </c>
      <c r="T75" s="6">
        <v>924712</v>
      </c>
      <c r="U75" s="6">
        <v>936645</v>
      </c>
      <c r="V75" s="6">
        <v>945355</v>
      </c>
      <c r="W75" s="6">
        <v>931662</v>
      </c>
      <c r="X75" s="8">
        <v>6122663</v>
      </c>
      <c r="Y75" s="8">
        <v>5793069</v>
      </c>
      <c r="Z75" s="8">
        <v>5500281</v>
      </c>
      <c r="AA75" s="8">
        <v>5251692</v>
      </c>
      <c r="AB75" s="8">
        <v>5000109</v>
      </c>
      <c r="AC75" s="8">
        <v>4648913</v>
      </c>
      <c r="AD75" s="8">
        <v>17528214</v>
      </c>
      <c r="AE75" s="8">
        <v>16864919</v>
      </c>
      <c r="AF75" s="8">
        <v>16325819</v>
      </c>
      <c r="AG75" s="8">
        <v>15812547</v>
      </c>
      <c r="AH75" s="8">
        <v>15408095</v>
      </c>
      <c r="AI75" s="8">
        <v>15004697</v>
      </c>
    </row>
    <row r="76" spans="1:48">
      <c r="A76" s="4" t="s">
        <v>35</v>
      </c>
      <c r="B76" s="5">
        <v>0</v>
      </c>
      <c r="C76" s="5">
        <v>0</v>
      </c>
      <c r="D76" s="5">
        <v>0</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v>0.38</v>
      </c>
      <c r="W76" s="5">
        <v>1.64</v>
      </c>
      <c r="X76" s="10">
        <v>1.82</v>
      </c>
      <c r="Y76" s="10">
        <v>1.98</v>
      </c>
      <c r="Z76" s="10">
        <v>2.1800000000000002</v>
      </c>
      <c r="AA76" s="10">
        <v>2.4</v>
      </c>
      <c r="AB76" s="10">
        <v>0</v>
      </c>
      <c r="AC76" s="10">
        <v>0</v>
      </c>
      <c r="AD76" s="10">
        <v>0</v>
      </c>
      <c r="AE76" s="10">
        <v>0</v>
      </c>
      <c r="AF76" s="10">
        <v>0</v>
      </c>
      <c r="AG76" s="10">
        <v>0</v>
      </c>
      <c r="AH76" s="10">
        <v>0</v>
      </c>
      <c r="AI76" s="10">
        <v>0</v>
      </c>
    </row>
    <row r="77" spans="1:48">
      <c r="A77" s="4"/>
      <c r="B77" s="6"/>
      <c r="C77" s="6"/>
      <c r="D77" s="6"/>
      <c r="E77" s="6"/>
      <c r="F77" s="6"/>
      <c r="G77" s="6"/>
      <c r="H77" s="6"/>
      <c r="I77" s="6"/>
      <c r="J77" s="6"/>
      <c r="K77" s="6"/>
      <c r="L77" s="6"/>
      <c r="M77" s="6"/>
      <c r="N77" s="6"/>
      <c r="O77" s="6"/>
      <c r="P77" s="6"/>
      <c r="Q77" s="6"/>
      <c r="R77" s="6"/>
      <c r="S77" s="6"/>
      <c r="T77" s="6"/>
      <c r="U77" s="6"/>
      <c r="V77" s="6"/>
      <c r="W77" s="6"/>
      <c r="X77" s="8"/>
      <c r="Y77" s="8"/>
      <c r="Z77" s="8"/>
      <c r="AA77" s="8"/>
      <c r="AB77" s="8"/>
      <c r="AC77" s="8"/>
      <c r="AD77" s="8"/>
      <c r="AE77" s="8"/>
      <c r="AF77" s="8"/>
      <c r="AG77" s="8"/>
      <c r="AH77" s="8"/>
      <c r="AI77" s="8"/>
    </row>
    <row r="78" spans="1:48">
      <c r="A78" s="4"/>
      <c r="B78" s="6"/>
      <c r="C78" s="6"/>
      <c r="D78" s="6"/>
      <c r="E78" s="6"/>
      <c r="F78" s="6"/>
      <c r="G78" s="6"/>
      <c r="H78" s="6"/>
      <c r="I78" s="6"/>
      <c r="J78" s="6"/>
      <c r="K78" s="6"/>
      <c r="L78" s="6"/>
      <c r="M78" s="6"/>
      <c r="N78" s="6"/>
      <c r="O78" s="6"/>
      <c r="P78" s="6"/>
      <c r="Q78" s="6"/>
      <c r="R78" s="6"/>
      <c r="S78" s="6"/>
      <c r="T78" s="6"/>
      <c r="U78" s="6"/>
      <c r="V78" s="6"/>
      <c r="W78" s="6"/>
      <c r="X78" s="8"/>
      <c r="Y78" s="8"/>
      <c r="Z78" s="8"/>
      <c r="AA78" s="8"/>
      <c r="AB78" s="8"/>
      <c r="AC78" s="8"/>
      <c r="AD78" s="8"/>
      <c r="AE78" s="8"/>
      <c r="AF78" s="8"/>
      <c r="AG78" s="8"/>
      <c r="AH78" s="8"/>
      <c r="AI78" s="8"/>
    </row>
    <row r="79" spans="1:48" ht="15.15" customHeight="1">
      <c r="A79" s="15" t="s">
        <v>36</v>
      </c>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row>
    <row r="80" spans="1:48">
      <c r="A80" s="4" t="s">
        <v>37</v>
      </c>
      <c r="B80" s="6">
        <v>1435.5</v>
      </c>
      <c r="C80" s="6">
        <v>676.41300000000001</v>
      </c>
      <c r="D80" s="6">
        <v>1203.4880000000001</v>
      </c>
      <c r="E80" s="6">
        <v>756</v>
      </c>
      <c r="F80" s="6">
        <v>1552</v>
      </c>
      <c r="G80" s="6">
        <v>1230</v>
      </c>
      <c r="H80" s="6">
        <v>1481</v>
      </c>
      <c r="I80" s="6">
        <v>1326</v>
      </c>
      <c r="J80" s="6">
        <v>1191</v>
      </c>
      <c r="K80" s="6">
        <v>2310</v>
      </c>
      <c r="L80" s="6">
        <v>2252</v>
      </c>
      <c r="M80" s="6">
        <v>3396</v>
      </c>
      <c r="N80" s="6">
        <v>2969</v>
      </c>
      <c r="O80" s="6">
        <v>3491</v>
      </c>
      <c r="P80" s="6">
        <v>6392</v>
      </c>
      <c r="Q80" s="6">
        <v>9352</v>
      </c>
      <c r="R80" s="6">
        <v>11875</v>
      </c>
      <c r="S80" s="6">
        <v>5263</v>
      </c>
      <c r="T80" s="6">
        <v>11261</v>
      </c>
      <c r="U80" s="6">
        <v>9815</v>
      </c>
      <c r="V80" s="6">
        <v>10746</v>
      </c>
      <c r="W80" s="6">
        <v>14259</v>
      </c>
      <c r="X80" s="8">
        <v>13844</v>
      </c>
      <c r="Y80" s="8">
        <v>21120</v>
      </c>
      <c r="Z80" s="8">
        <v>20484</v>
      </c>
      <c r="AA80" s="8">
        <v>20289</v>
      </c>
      <c r="AB80" s="8">
        <v>25913</v>
      </c>
      <c r="AC80" s="8">
        <v>48844</v>
      </c>
      <c r="AD80" s="8">
        <v>38016</v>
      </c>
      <c r="AE80" s="8">
        <v>34940</v>
      </c>
      <c r="AF80" s="8">
        <v>23646</v>
      </c>
      <c r="AG80" s="8">
        <v>29965</v>
      </c>
      <c r="AH80" s="8">
        <v>29943</v>
      </c>
      <c r="AI80" s="8">
        <v>35934</v>
      </c>
    </row>
    <row r="81" spans="1:48">
      <c r="A81" s="4" t="s">
        <v>38</v>
      </c>
      <c r="B81" s="6">
        <v>0</v>
      </c>
      <c r="C81" s="6">
        <v>215.89</v>
      </c>
      <c r="D81" s="6">
        <v>54.368000000000002</v>
      </c>
      <c r="E81" s="6">
        <v>196</v>
      </c>
      <c r="F81" s="6">
        <v>193</v>
      </c>
      <c r="G81" s="6">
        <v>229</v>
      </c>
      <c r="H81" s="6">
        <v>819</v>
      </c>
      <c r="I81" s="6">
        <v>1900</v>
      </c>
      <c r="J81" s="6">
        <v>2836</v>
      </c>
      <c r="K81" s="6">
        <v>2026</v>
      </c>
      <c r="L81" s="6">
        <v>2085</v>
      </c>
      <c r="M81" s="6">
        <v>1170</v>
      </c>
      <c r="N81" s="6">
        <v>2495</v>
      </c>
      <c r="O81" s="6">
        <v>4770</v>
      </c>
      <c r="P81" s="6">
        <v>3718</v>
      </c>
      <c r="Q81" s="6">
        <v>6034</v>
      </c>
      <c r="R81" s="6">
        <v>10236</v>
      </c>
      <c r="S81" s="6">
        <v>18201</v>
      </c>
      <c r="T81" s="6">
        <v>14359</v>
      </c>
      <c r="U81" s="6">
        <v>16137</v>
      </c>
      <c r="V81" s="6">
        <v>18383</v>
      </c>
      <c r="W81" s="6">
        <v>26287</v>
      </c>
      <c r="X81" s="6">
        <v>11233</v>
      </c>
      <c r="Y81" s="6">
        <v>20481</v>
      </c>
      <c r="Z81" s="6">
        <v>46671</v>
      </c>
      <c r="AA81" s="6">
        <v>53892</v>
      </c>
      <c r="AB81" s="8">
        <v>40388</v>
      </c>
      <c r="AC81" s="8">
        <v>51713</v>
      </c>
      <c r="AD81" s="8">
        <v>52927</v>
      </c>
      <c r="AE81" s="8">
        <v>27699</v>
      </c>
      <c r="AF81" s="8">
        <v>24658</v>
      </c>
      <c r="AG81" s="8">
        <v>31590</v>
      </c>
      <c r="AH81" s="8">
        <v>35228</v>
      </c>
      <c r="AI81" s="8">
        <v>18763</v>
      </c>
    </row>
    <row r="82" spans="1:48">
      <c r="A82" s="4" t="s">
        <v>39</v>
      </c>
      <c r="B82" s="6">
        <v>1087.1849999999999</v>
      </c>
      <c r="C82" s="6">
        <v>1381.9459999999999</v>
      </c>
      <c r="D82" s="6">
        <v>1581.347</v>
      </c>
      <c r="E82" s="6">
        <v>1931</v>
      </c>
      <c r="F82" s="6">
        <v>1496</v>
      </c>
      <c r="G82" s="6">
        <v>1035</v>
      </c>
      <c r="H82" s="6">
        <v>955</v>
      </c>
      <c r="I82" s="6">
        <v>681</v>
      </c>
      <c r="J82" s="6">
        <v>953</v>
      </c>
      <c r="K82" s="6">
        <v>466</v>
      </c>
      <c r="L82" s="6">
        <v>565</v>
      </c>
      <c r="M82" s="6">
        <v>766</v>
      </c>
      <c r="N82" s="6">
        <v>774</v>
      </c>
      <c r="O82" s="6">
        <v>895</v>
      </c>
      <c r="P82" s="6">
        <v>1252</v>
      </c>
      <c r="Q82" s="6">
        <v>1637</v>
      </c>
      <c r="R82" s="6">
        <v>2422</v>
      </c>
      <c r="S82" s="6">
        <v>3361</v>
      </c>
      <c r="T82" s="6">
        <v>5510</v>
      </c>
      <c r="U82" s="6">
        <v>5369</v>
      </c>
      <c r="V82" s="6">
        <v>10930</v>
      </c>
      <c r="W82" s="6">
        <v>13102</v>
      </c>
      <c r="X82" s="6">
        <v>17460</v>
      </c>
      <c r="Y82" s="6">
        <v>16849</v>
      </c>
      <c r="Z82" s="6">
        <v>15754</v>
      </c>
      <c r="AA82" s="6">
        <v>17874</v>
      </c>
      <c r="AB82" s="8">
        <v>23186</v>
      </c>
      <c r="AC82" s="8">
        <v>22926</v>
      </c>
      <c r="AD82" s="8">
        <v>16120</v>
      </c>
      <c r="AE82" s="8">
        <v>26278</v>
      </c>
      <c r="AF82" s="8">
        <v>28184</v>
      </c>
      <c r="AG82" s="8">
        <v>29508</v>
      </c>
      <c r="AH82" s="8">
        <v>33410</v>
      </c>
      <c r="AI82" s="8">
        <v>39777</v>
      </c>
    </row>
    <row r="83" spans="1:48" ht="14.4">
      <c r="A83" s="44" t="s">
        <v>145</v>
      </c>
      <c r="B83" s="48">
        <f>IFERROR(B82/B$11,"")</f>
        <v>0.15341544578441782</v>
      </c>
      <c r="C83" s="48">
        <f t="shared" ref="C83:AI83" si="131">IFERROR(C82/C$11,"")</f>
        <v>0.17324231780702257</v>
      </c>
      <c r="D83" s="48">
        <f t="shared" si="131"/>
        <v>0.17209602439853613</v>
      </c>
      <c r="E83" s="48">
        <f t="shared" si="131"/>
        <v>0.17456156210450191</v>
      </c>
      <c r="F83" s="48">
        <f t="shared" si="131"/>
        <v>0.1521407505339164</v>
      </c>
      <c r="G83" s="48">
        <f t="shared" si="131"/>
        <v>0.14616579579155486</v>
      </c>
      <c r="H83" s="48">
        <f t="shared" si="131"/>
        <v>0.16074734893115636</v>
      </c>
      <c r="I83" s="48">
        <f t="shared" si="131"/>
        <v>0.11102054124551679</v>
      </c>
      <c r="J83" s="48">
        <f t="shared" si="131"/>
        <v>0.1193786796943505</v>
      </c>
      <c r="K83" s="48">
        <f t="shared" si="131"/>
        <v>8.689166511280999E-2</v>
      </c>
      <c r="L83" s="48">
        <f t="shared" si="131"/>
        <v>9.8397770811563909E-2</v>
      </c>
      <c r="M83" s="48">
        <f t="shared" si="131"/>
        <v>0.12340905429353956</v>
      </c>
      <c r="N83" s="48">
        <f t="shared" si="131"/>
        <v>9.348955187824616E-2</v>
      </c>
      <c r="O83" s="48">
        <f t="shared" si="131"/>
        <v>6.4245208527743874E-2</v>
      </c>
      <c r="P83" s="48">
        <f t="shared" si="131"/>
        <v>6.4820088014496499E-2</v>
      </c>
      <c r="Q83" s="48">
        <f t="shared" si="131"/>
        <v>6.6604280250630643E-2</v>
      </c>
      <c r="R83" s="48">
        <f t="shared" si="131"/>
        <v>6.4602171187751731E-2</v>
      </c>
      <c r="S83" s="48">
        <f t="shared" si="131"/>
        <v>7.8335858291574412E-2</v>
      </c>
      <c r="T83" s="48">
        <f t="shared" si="131"/>
        <v>8.4476811038712143E-2</v>
      </c>
      <c r="U83" s="48">
        <f t="shared" si="131"/>
        <v>4.9598610610721579E-2</v>
      </c>
      <c r="V83" s="48">
        <f t="shared" si="131"/>
        <v>6.9836685664630568E-2</v>
      </c>
      <c r="W83" s="48">
        <f t="shared" si="131"/>
        <v>7.6660230530688669E-2</v>
      </c>
      <c r="X83" s="48">
        <f t="shared" si="131"/>
        <v>9.55168357996663E-2</v>
      </c>
      <c r="Y83" s="48">
        <f t="shared" si="131"/>
        <v>7.2092077958196943E-2</v>
      </c>
      <c r="Z83" s="48">
        <f t="shared" si="131"/>
        <v>7.3057285555952312E-2</v>
      </c>
      <c r="AA83" s="48">
        <f t="shared" si="131"/>
        <v>7.7972726558887429E-2</v>
      </c>
      <c r="AB83" s="48">
        <f t="shared" si="131"/>
        <v>8.7298330164347973E-2</v>
      </c>
      <c r="AC83" s="48">
        <f t="shared" si="131"/>
        <v>8.811795183223535E-2</v>
      </c>
      <c r="AD83" s="48">
        <f t="shared" si="131"/>
        <v>5.8721745624100687E-2</v>
      </c>
      <c r="AE83" s="48">
        <f t="shared" si="131"/>
        <v>7.1833731073186871E-2</v>
      </c>
      <c r="AF83" s="48">
        <f t="shared" si="131"/>
        <v>7.1473494147004518E-2</v>
      </c>
      <c r="AG83" s="48">
        <f t="shared" si="131"/>
        <v>7.6987098373273152E-2</v>
      </c>
      <c r="AH83" s="48">
        <f t="shared" si="131"/>
        <v>8.543992225759843E-2</v>
      </c>
      <c r="AI83" s="48">
        <f t="shared" si="131"/>
        <v>9.5580796855063307E-2</v>
      </c>
    </row>
    <row r="84" spans="1:48">
      <c r="A84" s="4" t="s">
        <v>40</v>
      </c>
      <c r="B84" s="6">
        <v>580.09699999999998</v>
      </c>
      <c r="C84" s="6">
        <v>1506.6379999999999</v>
      </c>
      <c r="D84" s="6">
        <v>1088.434</v>
      </c>
      <c r="E84" s="6">
        <v>1775</v>
      </c>
      <c r="F84" s="6">
        <v>662</v>
      </c>
      <c r="G84" s="6">
        <v>437</v>
      </c>
      <c r="H84" s="6">
        <v>78</v>
      </c>
      <c r="I84" s="6">
        <v>20</v>
      </c>
      <c r="J84" s="6">
        <v>33</v>
      </c>
      <c r="K84" s="6">
        <v>11</v>
      </c>
      <c r="L84" s="6">
        <v>45</v>
      </c>
      <c r="M84" s="6">
        <v>56</v>
      </c>
      <c r="N84" s="6">
        <v>101</v>
      </c>
      <c r="O84" s="6">
        <v>165</v>
      </c>
      <c r="P84" s="6">
        <v>270</v>
      </c>
      <c r="Q84" s="6">
        <v>346</v>
      </c>
      <c r="R84" s="6">
        <v>509</v>
      </c>
      <c r="S84" s="6">
        <v>455</v>
      </c>
      <c r="T84" s="6">
        <v>1051</v>
      </c>
      <c r="U84" s="6">
        <v>776</v>
      </c>
      <c r="V84" s="6">
        <v>791</v>
      </c>
      <c r="W84" s="6">
        <v>1764</v>
      </c>
      <c r="X84" s="8">
        <v>2111</v>
      </c>
      <c r="Y84" s="8">
        <v>2349</v>
      </c>
      <c r="Z84" s="8">
        <v>2132</v>
      </c>
      <c r="AA84" s="8">
        <v>4855</v>
      </c>
      <c r="AB84" s="8">
        <v>3956</v>
      </c>
      <c r="AC84" s="8">
        <v>4106</v>
      </c>
      <c r="AD84" s="8">
        <v>4061</v>
      </c>
      <c r="AE84" s="8">
        <v>6580</v>
      </c>
      <c r="AF84" s="8">
        <v>4946</v>
      </c>
      <c r="AG84" s="8">
        <v>6331</v>
      </c>
      <c r="AH84" s="8">
        <v>7286</v>
      </c>
      <c r="AI84" s="8">
        <v>5718</v>
      </c>
    </row>
    <row r="85" spans="1:48">
      <c r="A85" s="4" t="s">
        <v>41</v>
      </c>
      <c r="B85" s="6">
        <v>199.13900000000001</v>
      </c>
      <c r="C85" s="6">
        <v>0</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v>0</v>
      </c>
      <c r="W85" s="6">
        <v>0</v>
      </c>
      <c r="X85" s="8">
        <v>0</v>
      </c>
      <c r="Y85" s="8">
        <v>0</v>
      </c>
      <c r="Z85" s="8">
        <v>0</v>
      </c>
      <c r="AA85" s="8">
        <v>0</v>
      </c>
      <c r="AB85" s="8">
        <v>0</v>
      </c>
      <c r="AC85" s="8">
        <v>0</v>
      </c>
      <c r="AD85" s="8">
        <v>0</v>
      </c>
      <c r="AE85" s="8">
        <v>0</v>
      </c>
      <c r="AF85" s="8">
        <v>0</v>
      </c>
      <c r="AG85" s="8">
        <v>0</v>
      </c>
      <c r="AH85" s="8">
        <v>0</v>
      </c>
      <c r="AI85" s="8">
        <v>0</v>
      </c>
    </row>
    <row r="86" spans="1:48">
      <c r="A86" s="4" t="s">
        <v>42</v>
      </c>
      <c r="B86" s="6">
        <v>0</v>
      </c>
      <c r="C86" s="6">
        <v>268.08499999999998</v>
      </c>
      <c r="D86" s="6">
        <v>293.048</v>
      </c>
      <c r="E86" s="6">
        <v>251</v>
      </c>
      <c r="F86" s="6">
        <v>342</v>
      </c>
      <c r="G86" s="6">
        <v>259</v>
      </c>
      <c r="H86" s="6">
        <v>182</v>
      </c>
      <c r="I86" s="6">
        <v>143</v>
      </c>
      <c r="J86" s="6">
        <v>162</v>
      </c>
      <c r="K86" s="6">
        <v>169</v>
      </c>
      <c r="L86" s="6">
        <v>166</v>
      </c>
      <c r="M86" s="6">
        <v>190</v>
      </c>
      <c r="N86" s="6">
        <v>231</v>
      </c>
      <c r="O86" s="6">
        <v>331</v>
      </c>
      <c r="P86" s="6">
        <v>607</v>
      </c>
      <c r="Q86" s="6">
        <v>782</v>
      </c>
      <c r="R86" s="6">
        <v>1044</v>
      </c>
      <c r="S86" s="6">
        <v>1135</v>
      </c>
      <c r="T86" s="6">
        <v>1636</v>
      </c>
      <c r="U86" s="6">
        <v>2014</v>
      </c>
      <c r="V86" s="6">
        <v>2583</v>
      </c>
      <c r="W86" s="6">
        <v>3453</v>
      </c>
      <c r="X86" s="8">
        <v>4318</v>
      </c>
      <c r="Y86" s="8">
        <v>5546</v>
      </c>
      <c r="Z86" s="8">
        <v>0</v>
      </c>
      <c r="AA86" s="8">
        <v>0</v>
      </c>
      <c r="AB86" s="8">
        <v>0</v>
      </c>
      <c r="AC86" s="8">
        <v>0</v>
      </c>
      <c r="AD86" s="8">
        <v>0</v>
      </c>
      <c r="AE86" s="8">
        <v>0</v>
      </c>
      <c r="AF86" s="8">
        <v>0</v>
      </c>
      <c r="AG86" s="8">
        <v>0</v>
      </c>
      <c r="AH86" s="8">
        <v>0</v>
      </c>
      <c r="AI86" s="8">
        <v>0</v>
      </c>
    </row>
    <row r="87" spans="1:48">
      <c r="A87" s="4" t="s">
        <v>43</v>
      </c>
      <c r="B87" s="6">
        <v>0</v>
      </c>
      <c r="C87" s="6">
        <v>0</v>
      </c>
      <c r="D87" s="6">
        <v>0</v>
      </c>
      <c r="E87" s="6">
        <v>0</v>
      </c>
      <c r="F87" s="6">
        <v>0</v>
      </c>
      <c r="G87" s="6">
        <v>0</v>
      </c>
      <c r="H87" s="6">
        <v>0</v>
      </c>
      <c r="I87" s="6">
        <v>0</v>
      </c>
      <c r="J87" s="6">
        <v>0</v>
      </c>
      <c r="K87" s="6">
        <v>0</v>
      </c>
      <c r="L87" s="6">
        <v>0</v>
      </c>
      <c r="M87" s="6">
        <v>0</v>
      </c>
      <c r="N87" s="6">
        <v>0</v>
      </c>
      <c r="O87" s="6">
        <v>0</v>
      </c>
      <c r="P87" s="6">
        <v>0</v>
      </c>
      <c r="Q87" s="6">
        <v>0</v>
      </c>
      <c r="R87" s="6">
        <v>0</v>
      </c>
      <c r="S87" s="6">
        <v>0</v>
      </c>
      <c r="T87" s="6">
        <v>4414</v>
      </c>
      <c r="U87" s="6">
        <v>6348</v>
      </c>
      <c r="V87" s="6">
        <v>7762</v>
      </c>
      <c r="W87" s="6">
        <v>7539</v>
      </c>
      <c r="X87" s="8">
        <v>9759</v>
      </c>
      <c r="Y87" s="8">
        <v>13494</v>
      </c>
      <c r="Z87" s="8">
        <v>13545</v>
      </c>
      <c r="AA87" s="8">
        <v>17799</v>
      </c>
      <c r="AB87" s="8">
        <v>25809</v>
      </c>
      <c r="AC87" s="8">
        <v>22878</v>
      </c>
      <c r="AD87" s="8">
        <v>21325</v>
      </c>
      <c r="AE87" s="8">
        <v>25228</v>
      </c>
      <c r="AF87" s="8">
        <v>32748</v>
      </c>
      <c r="AG87" s="8">
        <v>31477</v>
      </c>
      <c r="AH87" s="8">
        <v>32833</v>
      </c>
      <c r="AI87" s="8">
        <v>33180</v>
      </c>
    </row>
    <row r="88" spans="1:48">
      <c r="A88" s="4" t="s">
        <v>44</v>
      </c>
      <c r="B88" s="6">
        <v>256.47300000000001</v>
      </c>
      <c r="C88" s="6">
        <v>289.38299999999998</v>
      </c>
      <c r="D88" s="6">
        <v>255.767</v>
      </c>
      <c r="E88" s="6">
        <v>315</v>
      </c>
      <c r="F88" s="6">
        <v>270</v>
      </c>
      <c r="G88" s="6">
        <v>234</v>
      </c>
      <c r="H88" s="6">
        <v>183</v>
      </c>
      <c r="I88" s="6">
        <v>215</v>
      </c>
      <c r="J88" s="6">
        <v>252</v>
      </c>
      <c r="K88" s="6">
        <v>161</v>
      </c>
      <c r="L88" s="6">
        <v>275</v>
      </c>
      <c r="M88" s="6">
        <v>309</v>
      </c>
      <c r="N88" s="6">
        <v>485</v>
      </c>
      <c r="O88" s="6">
        <v>648</v>
      </c>
      <c r="P88" s="6">
        <v>2270</v>
      </c>
      <c r="Q88" s="6">
        <v>3805</v>
      </c>
      <c r="R88" s="6">
        <v>3920</v>
      </c>
      <c r="S88" s="6">
        <v>3140</v>
      </c>
      <c r="T88" s="6">
        <v>3447</v>
      </c>
      <c r="U88" s="6">
        <v>4529</v>
      </c>
      <c r="V88" s="6">
        <v>6458</v>
      </c>
      <c r="W88" s="6">
        <v>6882</v>
      </c>
      <c r="X88" s="8">
        <v>9806</v>
      </c>
      <c r="Y88" s="8">
        <v>9539</v>
      </c>
      <c r="Z88" s="8">
        <v>8283</v>
      </c>
      <c r="AA88" s="8">
        <v>13936</v>
      </c>
      <c r="AB88" s="8">
        <v>12087</v>
      </c>
      <c r="AC88" s="8">
        <v>12352</v>
      </c>
      <c r="AD88" s="8">
        <v>11264</v>
      </c>
      <c r="AE88" s="8">
        <v>14111</v>
      </c>
      <c r="AF88" s="8">
        <v>21223</v>
      </c>
      <c r="AG88" s="8">
        <v>14695</v>
      </c>
      <c r="AH88" s="8">
        <v>14287</v>
      </c>
      <c r="AI88" s="8">
        <v>14585</v>
      </c>
    </row>
    <row r="89" spans="1:48">
      <c r="A89" s="17" t="s">
        <v>45</v>
      </c>
      <c r="B89" s="18">
        <f>B80+B81+B82+B84+B85+B86+B87+B88</f>
        <v>3558.3940000000002</v>
      </c>
      <c r="C89" s="18">
        <f t="shared" ref="C89:AI89" si="132">C80+C81+C82+C84+C85+C86+C87+C88</f>
        <v>4338.3549999999996</v>
      </c>
      <c r="D89" s="18">
        <f t="shared" si="132"/>
        <v>4476.4519999999993</v>
      </c>
      <c r="E89" s="18">
        <f t="shared" si="132"/>
        <v>5224</v>
      </c>
      <c r="F89" s="18">
        <f t="shared" si="132"/>
        <v>4515</v>
      </c>
      <c r="G89" s="18">
        <f t="shared" si="132"/>
        <v>3424</v>
      </c>
      <c r="H89" s="18">
        <f t="shared" si="132"/>
        <v>3698</v>
      </c>
      <c r="I89" s="18">
        <f t="shared" si="132"/>
        <v>4285</v>
      </c>
      <c r="J89" s="18">
        <f t="shared" si="132"/>
        <v>5427</v>
      </c>
      <c r="K89" s="18">
        <f t="shared" si="132"/>
        <v>5143</v>
      </c>
      <c r="L89" s="18">
        <f t="shared" si="132"/>
        <v>5388</v>
      </c>
      <c r="M89" s="18">
        <f t="shared" si="132"/>
        <v>5887</v>
      </c>
      <c r="N89" s="18">
        <f t="shared" si="132"/>
        <v>7055</v>
      </c>
      <c r="O89" s="18">
        <f t="shared" si="132"/>
        <v>10300</v>
      </c>
      <c r="P89" s="18">
        <f t="shared" si="132"/>
        <v>14509</v>
      </c>
      <c r="Q89" s="18">
        <f t="shared" si="132"/>
        <v>21956</v>
      </c>
      <c r="R89" s="18">
        <f t="shared" si="132"/>
        <v>30006</v>
      </c>
      <c r="S89" s="18">
        <f t="shared" si="132"/>
        <v>31555</v>
      </c>
      <c r="T89" s="18">
        <f t="shared" si="132"/>
        <v>41678</v>
      </c>
      <c r="U89" s="18">
        <f t="shared" si="132"/>
        <v>44988</v>
      </c>
      <c r="V89" s="18">
        <f t="shared" si="132"/>
        <v>57653</v>
      </c>
      <c r="W89" s="18">
        <f t="shared" si="132"/>
        <v>73286</v>
      </c>
      <c r="X89" s="18">
        <f t="shared" si="132"/>
        <v>68531</v>
      </c>
      <c r="Y89" s="18">
        <f t="shared" si="132"/>
        <v>89378</v>
      </c>
      <c r="Z89" s="18">
        <f t="shared" si="132"/>
        <v>106869</v>
      </c>
      <c r="AA89" s="18">
        <f t="shared" si="132"/>
        <v>128645</v>
      </c>
      <c r="AB89" s="18">
        <f t="shared" si="132"/>
        <v>131339</v>
      </c>
      <c r="AC89" s="18">
        <f t="shared" si="132"/>
        <v>162819</v>
      </c>
      <c r="AD89" s="18">
        <f t="shared" si="132"/>
        <v>143713</v>
      </c>
      <c r="AE89" s="18">
        <f t="shared" si="132"/>
        <v>134836</v>
      </c>
      <c r="AF89" s="18">
        <f t="shared" si="132"/>
        <v>135405</v>
      </c>
      <c r="AG89" s="18">
        <f t="shared" si="132"/>
        <v>143566</v>
      </c>
      <c r="AH89" s="18">
        <f t="shared" si="132"/>
        <v>152987</v>
      </c>
      <c r="AI89" s="18">
        <f t="shared" si="132"/>
        <v>147957</v>
      </c>
    </row>
    <row r="90" spans="1:48">
      <c r="A90" s="25"/>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L90" s="50" t="s">
        <v>148</v>
      </c>
      <c r="AM90" s="50" t="s">
        <v>149</v>
      </c>
      <c r="AN90" s="50"/>
      <c r="AO90" s="50" t="s">
        <v>150</v>
      </c>
      <c r="AP90" s="50" t="s">
        <v>149</v>
      </c>
      <c r="AQ90" s="50"/>
      <c r="AR90" s="50" t="s">
        <v>151</v>
      </c>
      <c r="AS90" s="50" t="s">
        <v>149</v>
      </c>
      <c r="AT90" s="50"/>
      <c r="AU90" s="50" t="s">
        <v>152</v>
      </c>
      <c r="AV90" s="50" t="s">
        <v>149</v>
      </c>
    </row>
    <row r="91" spans="1:48">
      <c r="A91" s="25" t="s">
        <v>46</v>
      </c>
      <c r="B91" s="6">
        <v>462.221</v>
      </c>
      <c r="C91" s="6">
        <v>659.54600000000005</v>
      </c>
      <c r="D91" s="6">
        <v>667.1</v>
      </c>
      <c r="E91" s="6">
        <v>711</v>
      </c>
      <c r="F91" s="6">
        <v>598</v>
      </c>
      <c r="G91" s="6">
        <v>486</v>
      </c>
      <c r="H91" s="6">
        <v>348</v>
      </c>
      <c r="I91" s="6">
        <v>318</v>
      </c>
      <c r="J91" s="6">
        <v>313</v>
      </c>
      <c r="K91" s="6">
        <v>564</v>
      </c>
      <c r="L91" s="6">
        <v>621</v>
      </c>
      <c r="M91" s="6">
        <v>669</v>
      </c>
      <c r="N91" s="6">
        <v>707</v>
      </c>
      <c r="O91" s="6">
        <v>817</v>
      </c>
      <c r="P91" s="6">
        <v>1281</v>
      </c>
      <c r="Q91" s="6">
        <v>1832</v>
      </c>
      <c r="R91" s="6">
        <v>2455</v>
      </c>
      <c r="S91" s="6">
        <v>2954</v>
      </c>
      <c r="T91" s="6">
        <v>4768</v>
      </c>
      <c r="U91" s="6">
        <v>7777</v>
      </c>
      <c r="V91" s="6">
        <v>15452</v>
      </c>
      <c r="W91" s="6">
        <v>16597</v>
      </c>
      <c r="X91" s="6">
        <v>20624</v>
      </c>
      <c r="Y91" s="6">
        <v>22471</v>
      </c>
      <c r="Z91" s="6">
        <v>27010</v>
      </c>
      <c r="AA91" s="6">
        <v>33783</v>
      </c>
      <c r="AB91" s="6">
        <v>41304</v>
      </c>
      <c r="AC91" s="6">
        <v>37378</v>
      </c>
      <c r="AD91" s="6">
        <v>36766</v>
      </c>
      <c r="AE91" s="6">
        <v>39440</v>
      </c>
      <c r="AF91" s="6">
        <v>42117</v>
      </c>
      <c r="AG91" s="6">
        <v>43715</v>
      </c>
      <c r="AH91" s="6">
        <v>45680</v>
      </c>
      <c r="AI91" s="6">
        <v>49834</v>
      </c>
      <c r="AL91" s="51">
        <f>IFERROR((AI91/B91)^(1/33)-1,"")</f>
        <v>0.15238141262812266</v>
      </c>
      <c r="AM91" s="51">
        <f>IFERROR(PRODUCT(1+C92,1+D92,1+E92,1+F92,1+G92,1+H92,1+I92,1+J92,1+K92,1+L92,1+M92,1+N92,1+O92,1+P92,1+Q92,1+R92,1+S92,1+T92,1+U92,1+V92,1+W92,1+X92,1+Y92,1+Z92,1+AA92,1+AB92,1+AC92,1+AD92,1+AE92,1+AF92,1+AG92,1+AH92,1+AI92)^(1/33)-1,"")</f>
        <v>0.15238141262812266</v>
      </c>
      <c r="AO91" s="51">
        <f>IFERROR((AI91/O91)^(1/20)-1, "")</f>
        <v>0.22818894673232615</v>
      </c>
      <c r="AP91" s="51">
        <f>IFERROR(PRODUCT(1+P92,1+Q92,1+R92,1+S92,1+T92,1+U92,1+V92,1+W92,1+X92,1+Y92,1+Z92,1+AA92,1+AB92,1+AC92,1+AD92,1+AE92,1+AF92,1+AG92,1+AH92,1+AI92)^(1/20)-1,"")</f>
        <v>0.22818894673232615</v>
      </c>
      <c r="AR91" s="51">
        <f>IFERROR((AI91/Y91)^(1/10)-1,"")</f>
        <v>8.2904939820731549E-2</v>
      </c>
      <c r="AS91" s="51">
        <f>IFERROR(PRODUCT(1+Z92,1+AA92,1+AB92,1+AC92,1+AD92,1+AE92,1+AF92,1+AG92,1+AH92,1+AI92)^(1/10)-1,"")</f>
        <v>8.2904939820731549E-2</v>
      </c>
      <c r="AU91" s="51">
        <f>IFERROR((AI91/AD91)^(1/5)-1,"")</f>
        <v>6.2712705707872241E-2</v>
      </c>
      <c r="AV91" s="51">
        <f>IFERROR(PRODUCT(1+AE92,1+AF92,1+AG92,1+AH92,1+AI92)^(1/5)-1,"")</f>
        <v>6.2712705707872241E-2</v>
      </c>
    </row>
    <row r="92" spans="1:48">
      <c r="A92" s="43" t="s">
        <v>144</v>
      </c>
      <c r="B92" s="6"/>
      <c r="C92" s="42">
        <f t="shared" ref="C92" si="133">IFERROR(C91/B91-1,"")</f>
        <v>0.42690617691537169</v>
      </c>
      <c r="D92" s="42">
        <f t="shared" ref="D92" si="134">IFERROR(D91/C91-1,"")</f>
        <v>1.1453333050310377E-2</v>
      </c>
      <c r="E92" s="42">
        <f t="shared" ref="E92" si="135">IFERROR(E91/D91-1,"")</f>
        <v>6.5807225303552652E-2</v>
      </c>
      <c r="F92" s="42">
        <f t="shared" ref="F92" si="136">IFERROR(F91/E91-1,"")</f>
        <v>-0.15893108298171588</v>
      </c>
      <c r="G92" s="42">
        <f t="shared" ref="G92" si="137">IFERROR(G91/F91-1,"")</f>
        <v>-0.18729096989966554</v>
      </c>
      <c r="H92" s="42">
        <f t="shared" ref="H92" si="138">IFERROR(H91/G91-1,"")</f>
        <v>-0.28395061728395066</v>
      </c>
      <c r="I92" s="42">
        <f t="shared" ref="I92" si="139">IFERROR(I91/H91-1,"")</f>
        <v>-8.6206896551724088E-2</v>
      </c>
      <c r="J92" s="42">
        <f t="shared" ref="J92" si="140">IFERROR(J91/I91-1,"")</f>
        <v>-1.5723270440251569E-2</v>
      </c>
      <c r="K92" s="42">
        <f t="shared" ref="K92" si="141">IFERROR(K91/J91-1,"")</f>
        <v>0.80191693290734833</v>
      </c>
      <c r="L92" s="42">
        <f t="shared" ref="L92" si="142">IFERROR(L91/K91-1,"")</f>
        <v>0.10106382978723394</v>
      </c>
      <c r="M92" s="42">
        <f t="shared" ref="M92" si="143">IFERROR(M91/L91-1,"")</f>
        <v>7.7294685990338063E-2</v>
      </c>
      <c r="N92" s="42">
        <f t="shared" ref="N92" si="144">IFERROR(N91/M91-1,"")</f>
        <v>5.6801195814648819E-2</v>
      </c>
      <c r="O92" s="42">
        <f t="shared" ref="O92" si="145">IFERROR(O91/N91-1,"")</f>
        <v>0.15558698727015563</v>
      </c>
      <c r="P92" s="42">
        <f t="shared" ref="P92" si="146">IFERROR(P91/O91-1,"")</f>
        <v>0.56793145654834754</v>
      </c>
      <c r="Q92" s="42">
        <f t="shared" ref="Q92" si="147">IFERROR(Q91/P91-1,"")</f>
        <v>0.43013270882123344</v>
      </c>
      <c r="R92" s="42">
        <f t="shared" ref="R92" si="148">IFERROR(R91/Q91-1,"")</f>
        <v>0.34006550218340603</v>
      </c>
      <c r="S92" s="42">
        <f t="shared" ref="S92" si="149">IFERROR(S91/R91-1,"")</f>
        <v>0.20325865580448066</v>
      </c>
      <c r="T92" s="42">
        <f t="shared" ref="T92" si="150">IFERROR(T91/S91-1,"")</f>
        <v>0.61408259986459046</v>
      </c>
      <c r="U92" s="42">
        <f t="shared" ref="U92" si="151">IFERROR(U91/T91-1,"")</f>
        <v>0.63108221476510074</v>
      </c>
      <c r="V92" s="42">
        <f t="shared" ref="V92" si="152">IFERROR(V91/U91-1,"")</f>
        <v>0.98688440272598688</v>
      </c>
      <c r="W92" s="42">
        <f t="shared" ref="W92" si="153">IFERROR(W91/V91-1,"")</f>
        <v>7.410044007248251E-2</v>
      </c>
      <c r="X92" s="42">
        <f t="shared" ref="X92" si="154">IFERROR(X91/W91-1,"")</f>
        <v>0.24263421100198834</v>
      </c>
      <c r="Y92" s="42">
        <f t="shared" ref="Y92" si="155">IFERROR(Y91/X91-1,"")</f>
        <v>8.9555857253684978E-2</v>
      </c>
      <c r="Z92" s="42">
        <f t="shared" ref="Z92" si="156">IFERROR(Z91/Y91-1,"")</f>
        <v>0.20199368074407009</v>
      </c>
      <c r="AA92" s="42">
        <f t="shared" ref="AA92" si="157">IFERROR(AA91/Z91-1,"")</f>
        <v>0.25075897815623849</v>
      </c>
      <c r="AB92" s="42">
        <f t="shared" ref="AB92" si="158">IFERROR(AB91/AA91-1,"")</f>
        <v>0.22262676494094658</v>
      </c>
      <c r="AC92" s="42">
        <f t="shared" ref="AC92" si="159">IFERROR(AC91/AB91-1,"")</f>
        <v>-9.5051326748014753E-2</v>
      </c>
      <c r="AD92" s="42">
        <f t="shared" ref="AD92" si="160">IFERROR(AD91/AC91-1,"")</f>
        <v>-1.6373267697576077E-2</v>
      </c>
      <c r="AE92" s="42">
        <f t="shared" ref="AE92" si="161">IFERROR(AE91/AD91-1,"")</f>
        <v>7.2730239895555604E-2</v>
      </c>
      <c r="AF92" s="42">
        <f t="shared" ref="AF92" si="162">IFERROR(AF91/AE91-1,"")</f>
        <v>6.7875253549695813E-2</v>
      </c>
      <c r="AG92" s="42">
        <f t="shared" ref="AG92" si="163">IFERROR(AG91/AF91-1,"")</f>
        <v>3.7941923688771695E-2</v>
      </c>
      <c r="AH92" s="42">
        <f t="shared" ref="AH92" si="164">IFERROR(AH91/AG91-1,"")</f>
        <v>4.4950245911014486E-2</v>
      </c>
      <c r="AI92" s="42">
        <f t="shared" ref="AI92" si="165">IFERROR(AI91/AH91-1,"")</f>
        <v>9.0936952714535835E-2</v>
      </c>
    </row>
    <row r="93" spans="1:48">
      <c r="A93" s="4" t="s">
        <v>47</v>
      </c>
      <c r="B93" s="6">
        <v>0</v>
      </c>
      <c r="C93" s="6">
        <v>0</v>
      </c>
      <c r="D93" s="6">
        <v>0</v>
      </c>
      <c r="E93" s="6">
        <v>0</v>
      </c>
      <c r="F93" s="6">
        <v>0</v>
      </c>
      <c r="G93" s="6">
        <v>0</v>
      </c>
      <c r="H93" s="6">
        <v>0</v>
      </c>
      <c r="I93" s="6">
        <v>0</v>
      </c>
      <c r="J93" s="6">
        <v>786</v>
      </c>
      <c r="K93" s="6">
        <v>128</v>
      </c>
      <c r="L93" s="6">
        <v>39</v>
      </c>
      <c r="M93" s="6">
        <v>0</v>
      </c>
      <c r="N93" s="6">
        <v>0</v>
      </c>
      <c r="O93" s="6">
        <v>0</v>
      </c>
      <c r="P93" s="6">
        <v>0</v>
      </c>
      <c r="Q93" s="6">
        <v>0</v>
      </c>
      <c r="R93" s="6">
        <v>0</v>
      </c>
      <c r="S93" s="6">
        <v>0</v>
      </c>
      <c r="T93" s="6">
        <v>0</v>
      </c>
      <c r="U93" s="6">
        <v>0</v>
      </c>
      <c r="V93" s="6">
        <v>0</v>
      </c>
      <c r="W93" s="6">
        <v>0</v>
      </c>
      <c r="X93" s="8">
        <v>0</v>
      </c>
      <c r="Y93" s="8">
        <v>0</v>
      </c>
      <c r="Z93" s="8">
        <v>0</v>
      </c>
      <c r="AA93" s="8">
        <v>0</v>
      </c>
      <c r="AB93" s="8">
        <v>0</v>
      </c>
      <c r="AC93" s="8">
        <v>0</v>
      </c>
      <c r="AD93" s="8">
        <v>0</v>
      </c>
      <c r="AE93" s="8">
        <v>0</v>
      </c>
      <c r="AF93" s="8">
        <v>0</v>
      </c>
      <c r="AG93" s="8">
        <v>0</v>
      </c>
      <c r="AH93" s="8">
        <v>0</v>
      </c>
      <c r="AI93" s="8">
        <v>0</v>
      </c>
    </row>
    <row r="94" spans="1:48">
      <c r="A94" s="4" t="s">
        <v>48</v>
      </c>
      <c r="B94" s="6">
        <v>0</v>
      </c>
      <c r="C94" s="6">
        <v>0</v>
      </c>
      <c r="D94" s="6">
        <v>0</v>
      </c>
      <c r="E94" s="6">
        <v>0</v>
      </c>
      <c r="F94" s="6">
        <v>0</v>
      </c>
      <c r="G94" s="6">
        <v>0</v>
      </c>
      <c r="H94" s="6">
        <v>0</v>
      </c>
      <c r="I94" s="6">
        <v>0</v>
      </c>
      <c r="J94" s="6">
        <v>0</v>
      </c>
      <c r="K94" s="6">
        <v>0</v>
      </c>
      <c r="L94" s="6">
        <v>0</v>
      </c>
      <c r="M94" s="6">
        <v>0</v>
      </c>
      <c r="N94" s="6">
        <v>0</v>
      </c>
      <c r="O94" s="6">
        <v>0</v>
      </c>
      <c r="P94" s="6">
        <v>0</v>
      </c>
      <c r="Q94" s="6">
        <v>0</v>
      </c>
      <c r="R94" s="6">
        <v>2379</v>
      </c>
      <c r="S94" s="6">
        <v>10528</v>
      </c>
      <c r="T94" s="6">
        <v>25391</v>
      </c>
      <c r="U94" s="6">
        <v>55618</v>
      </c>
      <c r="V94" s="6">
        <v>92122</v>
      </c>
      <c r="W94" s="6">
        <v>106215</v>
      </c>
      <c r="X94" s="8">
        <v>130162</v>
      </c>
      <c r="Y94" s="8">
        <v>164065</v>
      </c>
      <c r="Z94" s="8">
        <v>170430</v>
      </c>
      <c r="AA94" s="8">
        <v>194714</v>
      </c>
      <c r="AB94" s="8">
        <v>170799</v>
      </c>
      <c r="AC94" s="8">
        <v>105341</v>
      </c>
      <c r="AD94" s="8">
        <v>100887</v>
      </c>
      <c r="AE94" s="8">
        <v>127877</v>
      </c>
      <c r="AF94" s="8">
        <v>120805</v>
      </c>
      <c r="AG94" s="8">
        <v>100544</v>
      </c>
      <c r="AH94" s="8">
        <v>91479</v>
      </c>
      <c r="AI94" s="8">
        <v>77723</v>
      </c>
    </row>
    <row r="95" spans="1:48">
      <c r="A95" s="4" t="s">
        <v>49</v>
      </c>
      <c r="B95" s="6">
        <v>0</v>
      </c>
      <c r="C95" s="6">
        <v>0</v>
      </c>
      <c r="D95" s="6">
        <v>0</v>
      </c>
      <c r="E95" s="6">
        <v>0</v>
      </c>
      <c r="F95" s="6">
        <v>0</v>
      </c>
      <c r="G95" s="6">
        <v>0</v>
      </c>
      <c r="H95" s="6">
        <v>0</v>
      </c>
      <c r="I95" s="6">
        <v>0</v>
      </c>
      <c r="J95" s="6">
        <v>0</v>
      </c>
      <c r="K95" s="6">
        <v>0</v>
      </c>
      <c r="L95" s="6">
        <v>0</v>
      </c>
      <c r="M95" s="6">
        <v>85</v>
      </c>
      <c r="N95" s="6">
        <v>80</v>
      </c>
      <c r="O95" s="6">
        <v>69</v>
      </c>
      <c r="P95" s="6">
        <v>38</v>
      </c>
      <c r="Q95" s="6">
        <v>38</v>
      </c>
      <c r="R95" s="6">
        <v>207</v>
      </c>
      <c r="S95" s="6">
        <v>206</v>
      </c>
      <c r="T95" s="6">
        <v>741</v>
      </c>
      <c r="U95" s="6">
        <v>896</v>
      </c>
      <c r="V95" s="6">
        <v>1135</v>
      </c>
      <c r="W95" s="6">
        <v>1577</v>
      </c>
      <c r="X95" s="8">
        <v>4616</v>
      </c>
      <c r="Y95" s="8">
        <v>5116</v>
      </c>
      <c r="Z95" s="8">
        <v>5414</v>
      </c>
      <c r="AA95" s="8">
        <v>5717</v>
      </c>
      <c r="AB95" s="8">
        <v>0</v>
      </c>
      <c r="AC95" s="8">
        <v>0</v>
      </c>
      <c r="AD95" s="8">
        <v>0</v>
      </c>
      <c r="AE95" s="8">
        <v>0</v>
      </c>
      <c r="AF95" s="8">
        <v>0</v>
      </c>
      <c r="AG95" s="8">
        <v>0</v>
      </c>
      <c r="AH95" s="8">
        <v>0</v>
      </c>
      <c r="AI95" s="8">
        <v>0</v>
      </c>
    </row>
    <row r="96" spans="1:48">
      <c r="A96" s="43" t="s">
        <v>144</v>
      </c>
      <c r="B96" s="6"/>
      <c r="C96" s="42" t="str">
        <f t="shared" ref="C96" si="166">IFERROR(C95/B95-1,"")</f>
        <v/>
      </c>
      <c r="D96" s="42" t="str">
        <f t="shared" ref="D96" si="167">IFERROR(D95/C95-1,"")</f>
        <v/>
      </c>
      <c r="E96" s="42" t="str">
        <f t="shared" ref="E96" si="168">IFERROR(E95/D95-1,"")</f>
        <v/>
      </c>
      <c r="F96" s="42" t="str">
        <f t="shared" ref="F96" si="169">IFERROR(F95/E95-1,"")</f>
        <v/>
      </c>
      <c r="G96" s="42" t="str">
        <f t="shared" ref="G96" si="170">IFERROR(G95/F95-1,"")</f>
        <v/>
      </c>
      <c r="H96" s="42" t="str">
        <f t="shared" ref="H96" si="171">IFERROR(H95/G95-1,"")</f>
        <v/>
      </c>
      <c r="I96" s="42" t="str">
        <f t="shared" ref="I96" si="172">IFERROR(I95/H95-1,"")</f>
        <v/>
      </c>
      <c r="J96" s="42" t="str">
        <f t="shared" ref="J96" si="173">IFERROR(J95/I95-1,"")</f>
        <v/>
      </c>
      <c r="K96" s="42" t="str">
        <f t="shared" ref="K96" si="174">IFERROR(K95/J95-1,"")</f>
        <v/>
      </c>
      <c r="L96" s="42" t="str">
        <f t="shared" ref="L96" si="175">IFERROR(L95/K95-1,"")</f>
        <v/>
      </c>
      <c r="M96" s="42" t="str">
        <f t="shared" ref="M96" si="176">IFERROR(M95/L95-1,"")</f>
        <v/>
      </c>
      <c r="N96" s="42">
        <f t="shared" ref="N96" si="177">IFERROR(N95/M95-1,"")</f>
        <v>-5.8823529411764719E-2</v>
      </c>
      <c r="O96" s="42">
        <f t="shared" ref="O96" si="178">IFERROR(O95/N95-1,"")</f>
        <v>-0.13749999999999996</v>
      </c>
      <c r="P96" s="42">
        <f t="shared" ref="P96" si="179">IFERROR(P95/O95-1,"")</f>
        <v>-0.44927536231884058</v>
      </c>
      <c r="Q96" s="42">
        <f t="shared" ref="Q96" si="180">IFERROR(Q95/P95-1,"")</f>
        <v>0</v>
      </c>
      <c r="R96" s="42">
        <f t="shared" ref="R96" si="181">IFERROR(R95/Q95-1,"")</f>
        <v>4.4473684210526319</v>
      </c>
      <c r="S96" s="42">
        <f t="shared" ref="S96" si="182">IFERROR(S95/R95-1,"")</f>
        <v>-4.8309178743961567E-3</v>
      </c>
      <c r="T96" s="42">
        <f t="shared" ref="T96" si="183">IFERROR(T95/S95-1,"")</f>
        <v>2.5970873786407767</v>
      </c>
      <c r="U96" s="42">
        <f t="shared" ref="U96" si="184">IFERROR(U95/T95-1,"")</f>
        <v>0.20917678812415663</v>
      </c>
      <c r="V96" s="42">
        <f t="shared" ref="V96" si="185">IFERROR(V95/U95-1,"")</f>
        <v>0.2667410714285714</v>
      </c>
      <c r="W96" s="42">
        <f t="shared" ref="W96" si="186">IFERROR(W95/V95-1,"")</f>
        <v>0.38942731277533049</v>
      </c>
      <c r="X96" s="42">
        <f t="shared" ref="X96" si="187">IFERROR(X95/W95-1,"")</f>
        <v>1.9270767279644896</v>
      </c>
      <c r="Y96" s="42">
        <f t="shared" ref="Y96" si="188">IFERROR(Y95/X95-1,"")</f>
        <v>0.10831889081455803</v>
      </c>
      <c r="Z96" s="42">
        <f t="shared" ref="Z96" si="189">IFERROR(Z95/Y95-1,"")</f>
        <v>5.824863174354955E-2</v>
      </c>
      <c r="AA96" s="42">
        <f t="shared" ref="AA96" si="190">IFERROR(AA95/Z95-1,"")</f>
        <v>5.596601403768009E-2</v>
      </c>
      <c r="AB96" s="42">
        <f t="shared" ref="AB96" si="191">IFERROR(AB95/AA95-1,"")</f>
        <v>-1</v>
      </c>
      <c r="AC96" s="42" t="str">
        <f t="shared" ref="AC96" si="192">IFERROR(AC95/AB95-1,"")</f>
        <v/>
      </c>
      <c r="AD96" s="42" t="str">
        <f t="shared" ref="AD96" si="193">IFERROR(AD95/AC95-1,"")</f>
        <v/>
      </c>
      <c r="AE96" s="42" t="str">
        <f t="shared" ref="AE96" si="194">IFERROR(AE95/AD95-1,"")</f>
        <v/>
      </c>
      <c r="AF96" s="42" t="str">
        <f t="shared" ref="AF96" si="195">IFERROR(AF95/AE95-1,"")</f>
        <v/>
      </c>
      <c r="AG96" s="42" t="str">
        <f t="shared" ref="AG96" si="196">IFERROR(AG95/AF95-1,"")</f>
        <v/>
      </c>
      <c r="AH96" s="42" t="str">
        <f t="shared" ref="AH96" si="197">IFERROR(AH95/AG95-1,"")</f>
        <v/>
      </c>
      <c r="AI96" s="42" t="str">
        <f t="shared" ref="AI96" si="198">IFERROR(AI95/AH95-1,"")</f>
        <v/>
      </c>
    </row>
    <row r="97" spans="1:38">
      <c r="A97" s="4" t="s">
        <v>50</v>
      </c>
      <c r="B97" s="6">
        <v>0</v>
      </c>
      <c r="C97" s="6">
        <v>0</v>
      </c>
      <c r="D97" s="6">
        <v>0</v>
      </c>
      <c r="E97" s="6">
        <v>0</v>
      </c>
      <c r="F97" s="6">
        <v>0</v>
      </c>
      <c r="G97" s="6">
        <v>0</v>
      </c>
      <c r="H97" s="6">
        <v>0</v>
      </c>
      <c r="I97" s="6">
        <v>0</v>
      </c>
      <c r="J97" s="6">
        <v>0</v>
      </c>
      <c r="K97" s="6">
        <v>76</v>
      </c>
      <c r="L97" s="6">
        <v>119</v>
      </c>
      <c r="M97" s="6">
        <v>24</v>
      </c>
      <c r="N97" s="6">
        <v>17</v>
      </c>
      <c r="O97" s="6">
        <v>27</v>
      </c>
      <c r="P97" s="6">
        <v>139</v>
      </c>
      <c r="Q97" s="6">
        <v>299</v>
      </c>
      <c r="R97" s="6">
        <v>285</v>
      </c>
      <c r="S97" s="6">
        <v>247</v>
      </c>
      <c r="T97" s="6">
        <v>342</v>
      </c>
      <c r="U97" s="6">
        <v>3536</v>
      </c>
      <c r="V97" s="6">
        <v>4224</v>
      </c>
      <c r="W97" s="6">
        <v>4179</v>
      </c>
      <c r="X97" s="8">
        <v>4142</v>
      </c>
      <c r="Y97" s="8">
        <v>3893</v>
      </c>
      <c r="Z97" s="8">
        <v>3206</v>
      </c>
      <c r="AA97" s="8">
        <v>2298</v>
      </c>
      <c r="AB97" s="8">
        <v>0</v>
      </c>
      <c r="AC97" s="8">
        <v>0</v>
      </c>
      <c r="AD97" s="8">
        <v>0</v>
      </c>
      <c r="AE97" s="8">
        <v>0</v>
      </c>
      <c r="AF97" s="8">
        <v>0</v>
      </c>
      <c r="AG97" s="8">
        <v>0</v>
      </c>
      <c r="AH97" s="8">
        <v>0</v>
      </c>
      <c r="AI97" s="8">
        <v>0</v>
      </c>
    </row>
    <row r="98" spans="1:38">
      <c r="A98" s="4" t="s">
        <v>51</v>
      </c>
      <c r="B98" s="6">
        <v>203.078</v>
      </c>
      <c r="C98" s="6">
        <v>173.511</v>
      </c>
      <c r="D98" s="6">
        <v>159.19399999999999</v>
      </c>
      <c r="E98" s="6">
        <v>296</v>
      </c>
      <c r="F98" s="6">
        <v>251</v>
      </c>
      <c r="G98" s="6">
        <v>323</v>
      </c>
      <c r="H98" s="6">
        <v>243</v>
      </c>
      <c r="I98" s="6">
        <v>558</v>
      </c>
      <c r="J98" s="6">
        <v>277</v>
      </c>
      <c r="K98" s="6">
        <v>110</v>
      </c>
      <c r="L98" s="6">
        <v>131</v>
      </c>
      <c r="M98" s="6">
        <v>150</v>
      </c>
      <c r="N98" s="6">
        <v>191</v>
      </c>
      <c r="O98" s="6">
        <v>303</v>
      </c>
      <c r="P98" s="6">
        <v>1238</v>
      </c>
      <c r="Q98" s="6">
        <v>1222</v>
      </c>
      <c r="R98" s="6">
        <v>839</v>
      </c>
      <c r="S98" s="6">
        <v>2011</v>
      </c>
      <c r="T98" s="6">
        <v>2263</v>
      </c>
      <c r="U98" s="6">
        <v>3556</v>
      </c>
      <c r="V98" s="6">
        <v>5478</v>
      </c>
      <c r="W98" s="6">
        <v>5146</v>
      </c>
      <c r="X98" s="8">
        <v>3764</v>
      </c>
      <c r="Y98" s="8">
        <v>5556</v>
      </c>
      <c r="Z98" s="8">
        <v>8757</v>
      </c>
      <c r="AA98" s="8">
        <v>10162</v>
      </c>
      <c r="AB98" s="8">
        <v>0</v>
      </c>
      <c r="AC98" s="8">
        <v>0</v>
      </c>
      <c r="AD98" s="8">
        <v>0</v>
      </c>
      <c r="AE98" s="8">
        <v>0</v>
      </c>
      <c r="AF98" s="8">
        <v>0</v>
      </c>
      <c r="AG98" s="8">
        <v>0</v>
      </c>
      <c r="AH98" s="8">
        <v>0</v>
      </c>
      <c r="AI98" s="8">
        <v>0</v>
      </c>
    </row>
    <row r="99" spans="1:38">
      <c r="A99" s="4" t="s">
        <v>52</v>
      </c>
      <c r="B99" s="6">
        <v>0</v>
      </c>
      <c r="C99" s="6">
        <v>0</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8">
        <v>0</v>
      </c>
      <c r="Y99" s="8">
        <v>0</v>
      </c>
      <c r="Z99" s="8">
        <v>0</v>
      </c>
      <c r="AA99" s="8">
        <v>0</v>
      </c>
      <c r="AB99" s="8">
        <v>22283</v>
      </c>
      <c r="AC99" s="8">
        <v>32978</v>
      </c>
      <c r="AD99" s="8">
        <v>42522</v>
      </c>
      <c r="AE99" s="8">
        <v>48849</v>
      </c>
      <c r="AF99" s="8">
        <v>54428</v>
      </c>
      <c r="AG99" s="8">
        <v>64758</v>
      </c>
      <c r="AH99" s="8">
        <v>74834</v>
      </c>
      <c r="AI99" s="8">
        <v>83727</v>
      </c>
    </row>
    <row r="100" spans="1:38">
      <c r="A100" s="17" t="s">
        <v>53</v>
      </c>
      <c r="B100" s="18">
        <f>B91+B93+B94+B95+B97+B98+B99</f>
        <v>665.29899999999998</v>
      </c>
      <c r="C100" s="18">
        <f t="shared" ref="C100:AI100" si="199">C91+C93+C94+C95+C97+C98+C99</f>
        <v>833.05700000000002</v>
      </c>
      <c r="D100" s="18">
        <f t="shared" si="199"/>
        <v>826.29399999999998</v>
      </c>
      <c r="E100" s="18">
        <f t="shared" si="199"/>
        <v>1007</v>
      </c>
      <c r="F100" s="18">
        <f t="shared" si="199"/>
        <v>849</v>
      </c>
      <c r="G100" s="18">
        <f t="shared" si="199"/>
        <v>809</v>
      </c>
      <c r="H100" s="18">
        <f t="shared" si="199"/>
        <v>591</v>
      </c>
      <c r="I100" s="18">
        <f t="shared" si="199"/>
        <v>876</v>
      </c>
      <c r="J100" s="18">
        <f t="shared" si="199"/>
        <v>1376</v>
      </c>
      <c r="K100" s="18">
        <f t="shared" si="199"/>
        <v>878</v>
      </c>
      <c r="L100" s="18">
        <f t="shared" si="199"/>
        <v>910</v>
      </c>
      <c r="M100" s="18">
        <f t="shared" si="199"/>
        <v>928</v>
      </c>
      <c r="N100" s="18">
        <f t="shared" si="199"/>
        <v>995</v>
      </c>
      <c r="O100" s="18">
        <f t="shared" si="199"/>
        <v>1216</v>
      </c>
      <c r="P100" s="18">
        <f t="shared" si="199"/>
        <v>2696</v>
      </c>
      <c r="Q100" s="18">
        <f t="shared" si="199"/>
        <v>3391</v>
      </c>
      <c r="R100" s="18">
        <f t="shared" si="199"/>
        <v>6165</v>
      </c>
      <c r="S100" s="18">
        <f t="shared" si="199"/>
        <v>15946</v>
      </c>
      <c r="T100" s="18">
        <f t="shared" si="199"/>
        <v>33505</v>
      </c>
      <c r="U100" s="18">
        <f t="shared" si="199"/>
        <v>71383</v>
      </c>
      <c r="V100" s="18">
        <f t="shared" si="199"/>
        <v>118411</v>
      </c>
      <c r="W100" s="18">
        <f t="shared" si="199"/>
        <v>133714</v>
      </c>
      <c r="X100" s="18">
        <f t="shared" si="199"/>
        <v>163308</v>
      </c>
      <c r="Y100" s="18">
        <f t="shared" si="199"/>
        <v>201101</v>
      </c>
      <c r="Z100" s="18">
        <f t="shared" si="199"/>
        <v>214817</v>
      </c>
      <c r="AA100" s="18">
        <f t="shared" si="199"/>
        <v>246674</v>
      </c>
      <c r="AB100" s="18">
        <f t="shared" si="199"/>
        <v>234386</v>
      </c>
      <c r="AC100" s="18">
        <f t="shared" si="199"/>
        <v>175697</v>
      </c>
      <c r="AD100" s="18">
        <f t="shared" si="199"/>
        <v>180175</v>
      </c>
      <c r="AE100" s="18">
        <f t="shared" si="199"/>
        <v>216166</v>
      </c>
      <c r="AF100" s="18">
        <f t="shared" si="199"/>
        <v>217350</v>
      </c>
      <c r="AG100" s="18">
        <f t="shared" si="199"/>
        <v>209017</v>
      </c>
      <c r="AH100" s="18">
        <f t="shared" si="199"/>
        <v>211993</v>
      </c>
      <c r="AI100" s="18">
        <f t="shared" si="199"/>
        <v>211284</v>
      </c>
    </row>
    <row r="101" spans="1:38">
      <c r="A101" s="17" t="s">
        <v>54</v>
      </c>
      <c r="B101" s="18">
        <f t="shared" ref="B101:AI101" si="200">B89+B100</f>
        <v>4223.6930000000002</v>
      </c>
      <c r="C101" s="18">
        <f t="shared" si="200"/>
        <v>5171.4119999999994</v>
      </c>
      <c r="D101" s="18">
        <f t="shared" si="200"/>
        <v>5302.7459999999992</v>
      </c>
      <c r="E101" s="18">
        <f t="shared" si="200"/>
        <v>6231</v>
      </c>
      <c r="F101" s="18">
        <f t="shared" si="200"/>
        <v>5364</v>
      </c>
      <c r="G101" s="18">
        <f t="shared" si="200"/>
        <v>4233</v>
      </c>
      <c r="H101" s="18">
        <f t="shared" si="200"/>
        <v>4289</v>
      </c>
      <c r="I101" s="18">
        <f t="shared" si="200"/>
        <v>5161</v>
      </c>
      <c r="J101" s="18">
        <f t="shared" si="200"/>
        <v>6803</v>
      </c>
      <c r="K101" s="18">
        <f t="shared" si="200"/>
        <v>6021</v>
      </c>
      <c r="L101" s="18">
        <f t="shared" si="200"/>
        <v>6298</v>
      </c>
      <c r="M101" s="18">
        <f t="shared" si="200"/>
        <v>6815</v>
      </c>
      <c r="N101" s="18">
        <f t="shared" si="200"/>
        <v>8050</v>
      </c>
      <c r="O101" s="18">
        <f t="shared" si="200"/>
        <v>11516</v>
      </c>
      <c r="P101" s="18">
        <f t="shared" si="200"/>
        <v>17205</v>
      </c>
      <c r="Q101" s="18">
        <f t="shared" si="200"/>
        <v>25347</v>
      </c>
      <c r="R101" s="18">
        <f t="shared" si="200"/>
        <v>36171</v>
      </c>
      <c r="S101" s="18">
        <f t="shared" si="200"/>
        <v>47501</v>
      </c>
      <c r="T101" s="18">
        <f t="shared" si="200"/>
        <v>75183</v>
      </c>
      <c r="U101" s="18">
        <f t="shared" si="200"/>
        <v>116371</v>
      </c>
      <c r="V101" s="18">
        <f t="shared" si="200"/>
        <v>176064</v>
      </c>
      <c r="W101" s="18">
        <f t="shared" si="200"/>
        <v>207000</v>
      </c>
      <c r="X101" s="19">
        <f t="shared" si="200"/>
        <v>231839</v>
      </c>
      <c r="Y101" s="19">
        <f t="shared" si="200"/>
        <v>290479</v>
      </c>
      <c r="Z101" s="19">
        <f t="shared" si="200"/>
        <v>321686</v>
      </c>
      <c r="AA101" s="19">
        <f t="shared" si="200"/>
        <v>375319</v>
      </c>
      <c r="AB101" s="19">
        <f t="shared" si="200"/>
        <v>365725</v>
      </c>
      <c r="AC101" s="19">
        <f t="shared" si="200"/>
        <v>338516</v>
      </c>
      <c r="AD101" s="19">
        <f t="shared" si="200"/>
        <v>323888</v>
      </c>
      <c r="AE101" s="19">
        <f t="shared" si="200"/>
        <v>351002</v>
      </c>
      <c r="AF101" s="19">
        <f t="shared" si="200"/>
        <v>352755</v>
      </c>
      <c r="AG101" s="19">
        <f t="shared" si="200"/>
        <v>352583</v>
      </c>
      <c r="AH101" s="19">
        <f t="shared" si="200"/>
        <v>364980</v>
      </c>
      <c r="AI101" s="19">
        <f t="shared" si="200"/>
        <v>359241</v>
      </c>
    </row>
    <row r="102" spans="1:38">
      <c r="A102" s="25"/>
      <c r="B102" s="26"/>
      <c r="C102" s="26"/>
      <c r="D102" s="26"/>
      <c r="E102" s="26"/>
      <c r="F102" s="26"/>
      <c r="G102" s="26"/>
      <c r="H102" s="26"/>
      <c r="I102" s="26"/>
      <c r="J102" s="26"/>
      <c r="K102" s="26"/>
      <c r="L102" s="26"/>
      <c r="M102" s="26"/>
      <c r="N102" s="26"/>
      <c r="O102" s="26"/>
      <c r="P102" s="26"/>
      <c r="Q102" s="26"/>
      <c r="R102" s="26"/>
      <c r="S102" s="26"/>
      <c r="T102" s="26"/>
      <c r="U102" s="26"/>
      <c r="V102" s="26"/>
      <c r="W102" s="26"/>
      <c r="X102" s="27"/>
      <c r="Y102" s="27"/>
      <c r="Z102" s="27"/>
      <c r="AA102" s="27"/>
      <c r="AB102" s="27"/>
      <c r="AC102" s="27"/>
      <c r="AD102" s="27"/>
      <c r="AE102" s="27"/>
      <c r="AF102" s="27"/>
      <c r="AG102" s="27"/>
      <c r="AH102" s="27"/>
      <c r="AI102" s="27"/>
    </row>
    <row r="103" spans="1:38">
      <c r="A103" s="4" t="s">
        <v>55</v>
      </c>
      <c r="B103" s="6">
        <v>184.46100000000001</v>
      </c>
      <c r="C103" s="6">
        <v>823.18200000000002</v>
      </c>
      <c r="D103" s="6">
        <v>292.2</v>
      </c>
      <c r="E103" s="6">
        <v>461</v>
      </c>
      <c r="F103" s="6">
        <v>186</v>
      </c>
      <c r="G103" s="6">
        <v>25</v>
      </c>
      <c r="H103" s="6">
        <v>0</v>
      </c>
      <c r="I103" s="6">
        <v>0</v>
      </c>
      <c r="J103" s="6">
        <v>0</v>
      </c>
      <c r="K103" s="6">
        <v>0</v>
      </c>
      <c r="L103" s="6">
        <v>0</v>
      </c>
      <c r="M103" s="6">
        <v>0</v>
      </c>
      <c r="N103" s="6">
        <v>0</v>
      </c>
      <c r="O103" s="6">
        <v>0</v>
      </c>
      <c r="P103" s="6">
        <v>0</v>
      </c>
      <c r="Q103" s="6">
        <v>0</v>
      </c>
      <c r="R103" s="6">
        <v>0</v>
      </c>
      <c r="S103" s="6">
        <v>0</v>
      </c>
      <c r="T103" s="6">
        <v>0</v>
      </c>
      <c r="U103" s="6">
        <v>0</v>
      </c>
      <c r="V103" s="6">
        <v>0</v>
      </c>
      <c r="W103" s="6">
        <v>0</v>
      </c>
      <c r="X103" s="8">
        <v>0</v>
      </c>
      <c r="Y103" s="8">
        <v>0</v>
      </c>
      <c r="Z103" s="8">
        <v>0</v>
      </c>
      <c r="AA103" s="8">
        <v>0</v>
      </c>
      <c r="AB103" s="8">
        <v>0</v>
      </c>
      <c r="AC103" s="8">
        <v>0</v>
      </c>
      <c r="AD103" s="8">
        <v>0</v>
      </c>
      <c r="AE103" s="8">
        <v>0</v>
      </c>
      <c r="AF103" s="8">
        <v>0</v>
      </c>
      <c r="AG103" s="8">
        <v>0</v>
      </c>
      <c r="AH103" s="8">
        <v>0</v>
      </c>
      <c r="AI103" s="8">
        <v>0</v>
      </c>
    </row>
    <row r="104" spans="1:38">
      <c r="A104" s="4" t="s">
        <v>56</v>
      </c>
      <c r="B104" s="6">
        <v>426.93599999999998</v>
      </c>
      <c r="C104" s="6">
        <v>742.62199999999996</v>
      </c>
      <c r="D104" s="6">
        <v>881.71699999999998</v>
      </c>
      <c r="E104" s="6">
        <v>1165</v>
      </c>
      <c r="F104" s="6">
        <v>791</v>
      </c>
      <c r="G104" s="6">
        <v>685</v>
      </c>
      <c r="H104" s="6">
        <v>719</v>
      </c>
      <c r="I104" s="6">
        <v>812</v>
      </c>
      <c r="J104" s="6">
        <v>1157</v>
      </c>
      <c r="K104" s="6">
        <v>801</v>
      </c>
      <c r="L104" s="6">
        <v>911</v>
      </c>
      <c r="M104" s="6">
        <v>1154</v>
      </c>
      <c r="N104" s="6">
        <v>1451</v>
      </c>
      <c r="O104" s="6">
        <v>1779</v>
      </c>
      <c r="P104" s="6">
        <v>3390</v>
      </c>
      <c r="Q104" s="6">
        <v>4970</v>
      </c>
      <c r="R104" s="6">
        <v>5520</v>
      </c>
      <c r="S104" s="6">
        <v>5601</v>
      </c>
      <c r="T104" s="6">
        <v>12015</v>
      </c>
      <c r="U104" s="6">
        <v>14632</v>
      </c>
      <c r="V104" s="6">
        <v>21175</v>
      </c>
      <c r="W104" s="6">
        <v>22367</v>
      </c>
      <c r="X104" s="6">
        <v>30196</v>
      </c>
      <c r="Y104" s="6">
        <v>35490</v>
      </c>
      <c r="Z104" s="6">
        <v>37294</v>
      </c>
      <c r="AA104" s="6">
        <v>49049</v>
      </c>
      <c r="AB104" s="6">
        <v>55888</v>
      </c>
      <c r="AC104" s="6">
        <v>46236</v>
      </c>
      <c r="AD104" s="6">
        <v>42296</v>
      </c>
      <c r="AE104" s="6">
        <v>54763</v>
      </c>
      <c r="AF104" s="6">
        <v>64115</v>
      </c>
      <c r="AG104" s="6">
        <v>62611</v>
      </c>
      <c r="AH104" s="8">
        <v>68960</v>
      </c>
      <c r="AI104" s="8">
        <v>69860</v>
      </c>
    </row>
    <row r="105" spans="1:38">
      <c r="A105" s="4" t="s">
        <v>57</v>
      </c>
      <c r="B105" s="6">
        <v>142.38200000000001</v>
      </c>
      <c r="C105" s="6">
        <v>144.779</v>
      </c>
      <c r="D105" s="6">
        <v>136.89500000000001</v>
      </c>
      <c r="E105" s="6">
        <v>131</v>
      </c>
      <c r="F105" s="6">
        <v>120</v>
      </c>
      <c r="G105" s="6">
        <v>99</v>
      </c>
      <c r="H105" s="6">
        <v>0</v>
      </c>
      <c r="I105" s="6">
        <v>0</v>
      </c>
      <c r="J105" s="6">
        <v>0</v>
      </c>
      <c r="K105" s="6">
        <v>0</v>
      </c>
      <c r="L105" s="6">
        <v>0</v>
      </c>
      <c r="M105" s="6">
        <v>0</v>
      </c>
      <c r="N105" s="6">
        <v>0</v>
      </c>
      <c r="O105" s="6">
        <v>0</v>
      </c>
      <c r="P105" s="6">
        <v>0</v>
      </c>
      <c r="Q105" s="6">
        <v>0</v>
      </c>
      <c r="R105" s="6">
        <v>0</v>
      </c>
      <c r="S105" s="6">
        <v>0</v>
      </c>
      <c r="T105" s="6">
        <v>0</v>
      </c>
      <c r="U105" s="6">
        <v>0</v>
      </c>
      <c r="V105" s="6">
        <v>0</v>
      </c>
      <c r="W105" s="6">
        <v>0</v>
      </c>
      <c r="X105" s="6">
        <v>0</v>
      </c>
      <c r="Y105" s="6">
        <v>0</v>
      </c>
      <c r="Z105" s="6">
        <v>0</v>
      </c>
      <c r="AA105" s="6">
        <v>0</v>
      </c>
      <c r="AB105" s="6">
        <v>0</v>
      </c>
      <c r="AC105" s="6">
        <v>0</v>
      </c>
      <c r="AD105" s="6">
        <v>0</v>
      </c>
      <c r="AE105" s="6">
        <v>0</v>
      </c>
      <c r="AF105" s="6">
        <v>0</v>
      </c>
      <c r="AG105" s="6">
        <v>0</v>
      </c>
      <c r="AH105" s="8">
        <v>0</v>
      </c>
      <c r="AI105" s="8">
        <v>0</v>
      </c>
    </row>
    <row r="106" spans="1:38">
      <c r="A106" s="4" t="s">
        <v>58</v>
      </c>
      <c r="B106" s="6">
        <v>187.767</v>
      </c>
      <c r="C106" s="6">
        <v>174.547</v>
      </c>
      <c r="D106" s="6">
        <v>178.29400000000001</v>
      </c>
      <c r="E106" s="6">
        <v>206</v>
      </c>
      <c r="F106" s="6">
        <v>257</v>
      </c>
      <c r="G106" s="6">
        <v>278</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8">
        <v>0</v>
      </c>
      <c r="Y106" s="8">
        <v>0</v>
      </c>
      <c r="Z106" s="8">
        <v>0</v>
      </c>
      <c r="AA106" s="8">
        <v>0</v>
      </c>
      <c r="AB106" s="8">
        <v>0</v>
      </c>
      <c r="AC106" s="8">
        <v>0</v>
      </c>
      <c r="AD106" s="8">
        <v>0</v>
      </c>
      <c r="AE106" s="8">
        <v>0</v>
      </c>
      <c r="AF106" s="8">
        <v>0</v>
      </c>
      <c r="AG106" s="8">
        <v>0</v>
      </c>
      <c r="AH106" s="8">
        <v>0</v>
      </c>
      <c r="AI106" s="8">
        <v>0</v>
      </c>
    </row>
    <row r="107" spans="1:38">
      <c r="A107" s="4" t="s">
        <v>59</v>
      </c>
      <c r="B107" s="6">
        <v>0</v>
      </c>
      <c r="C107" s="6">
        <v>0</v>
      </c>
      <c r="D107" s="6">
        <v>0</v>
      </c>
      <c r="E107" s="6">
        <v>0</v>
      </c>
      <c r="F107" s="6">
        <v>181</v>
      </c>
      <c r="G107" s="6">
        <v>128</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8">
        <v>0</v>
      </c>
      <c r="Y107" s="8">
        <v>0</v>
      </c>
      <c r="Z107" s="8">
        <v>0</v>
      </c>
      <c r="AA107" s="8">
        <v>0</v>
      </c>
      <c r="AB107" s="8">
        <v>0</v>
      </c>
      <c r="AC107" s="8">
        <v>0</v>
      </c>
      <c r="AD107" s="8">
        <v>0</v>
      </c>
      <c r="AE107" s="8">
        <v>0</v>
      </c>
      <c r="AF107" s="8">
        <v>0</v>
      </c>
      <c r="AG107" s="8">
        <v>0</v>
      </c>
      <c r="AH107" s="8">
        <v>0</v>
      </c>
      <c r="AI107" s="8">
        <v>0</v>
      </c>
    </row>
    <row r="108" spans="1:38">
      <c r="A108" s="4" t="s">
        <v>60</v>
      </c>
      <c r="B108" s="6">
        <v>105.038</v>
      </c>
      <c r="C108" s="6">
        <v>307.93200000000002</v>
      </c>
      <c r="D108" s="6">
        <v>58.238</v>
      </c>
      <c r="E108" s="6">
        <v>0</v>
      </c>
      <c r="F108" s="6">
        <v>117</v>
      </c>
      <c r="G108" s="6">
        <v>180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8">
        <v>0</v>
      </c>
      <c r="Y108" s="8">
        <v>0</v>
      </c>
      <c r="Z108" s="8">
        <v>0</v>
      </c>
      <c r="AA108" s="8">
        <v>0</v>
      </c>
      <c r="AB108" s="8">
        <v>0</v>
      </c>
      <c r="AC108" s="8">
        <v>0</v>
      </c>
      <c r="AD108" s="8">
        <v>0</v>
      </c>
      <c r="AE108" s="8">
        <v>0</v>
      </c>
      <c r="AF108" s="8">
        <v>0</v>
      </c>
      <c r="AG108" s="8">
        <v>0</v>
      </c>
      <c r="AH108" s="8">
        <v>0</v>
      </c>
      <c r="AI108" s="8">
        <v>0</v>
      </c>
    </row>
    <row r="109" spans="1:38">
      <c r="A109" s="4" t="s">
        <v>61</v>
      </c>
      <c r="B109" s="6">
        <v>0</v>
      </c>
      <c r="C109" s="6">
        <v>0</v>
      </c>
      <c r="D109" s="6">
        <v>0</v>
      </c>
      <c r="E109" s="6">
        <v>0</v>
      </c>
      <c r="F109" s="6">
        <v>0</v>
      </c>
      <c r="G109" s="6">
        <v>0</v>
      </c>
      <c r="H109" s="6">
        <v>801</v>
      </c>
      <c r="I109" s="6">
        <v>737</v>
      </c>
      <c r="J109" s="6">
        <v>776</v>
      </c>
      <c r="K109" s="6">
        <v>717</v>
      </c>
      <c r="L109" s="6">
        <v>747</v>
      </c>
      <c r="M109" s="6">
        <v>899</v>
      </c>
      <c r="N109" s="6">
        <v>1200</v>
      </c>
      <c r="O109" s="6">
        <v>1708</v>
      </c>
      <c r="P109" s="6">
        <v>3081</v>
      </c>
      <c r="Q109" s="6">
        <v>4310</v>
      </c>
      <c r="R109" s="6">
        <v>4224</v>
      </c>
      <c r="S109" s="6">
        <v>3852</v>
      </c>
      <c r="T109" s="6">
        <v>5723</v>
      </c>
      <c r="U109" s="6">
        <v>9247</v>
      </c>
      <c r="V109" s="6">
        <v>11414</v>
      </c>
      <c r="W109" s="6">
        <v>13856</v>
      </c>
      <c r="X109" s="8">
        <v>18453</v>
      </c>
      <c r="Y109" s="8">
        <v>25181</v>
      </c>
      <c r="Z109" s="8">
        <v>22027</v>
      </c>
      <c r="AA109" s="8">
        <v>25744</v>
      </c>
      <c r="AB109" s="8">
        <v>0</v>
      </c>
      <c r="AC109" s="8">
        <v>0</v>
      </c>
      <c r="AD109" s="8">
        <v>0</v>
      </c>
      <c r="AE109" s="8">
        <v>0</v>
      </c>
      <c r="AF109" s="8">
        <v>0</v>
      </c>
      <c r="AG109" s="8">
        <v>0</v>
      </c>
      <c r="AH109" s="8">
        <v>0</v>
      </c>
      <c r="AI109" s="8">
        <v>0</v>
      </c>
    </row>
    <row r="110" spans="1:38">
      <c r="A110" s="4" t="s">
        <v>62</v>
      </c>
      <c r="B110" s="6">
        <v>0</v>
      </c>
      <c r="C110" s="6">
        <v>0</v>
      </c>
      <c r="D110" s="6">
        <v>0</v>
      </c>
      <c r="E110" s="6">
        <v>0</v>
      </c>
      <c r="F110" s="6">
        <v>0</v>
      </c>
      <c r="G110" s="6">
        <v>0</v>
      </c>
      <c r="H110" s="6">
        <v>0</v>
      </c>
      <c r="I110" s="6">
        <v>0</v>
      </c>
      <c r="J110" s="6">
        <v>0</v>
      </c>
      <c r="K110" s="6">
        <v>0</v>
      </c>
      <c r="L110" s="6">
        <v>0</v>
      </c>
      <c r="M110" s="6">
        <v>0</v>
      </c>
      <c r="N110" s="6">
        <v>0</v>
      </c>
      <c r="O110" s="6">
        <v>0</v>
      </c>
      <c r="P110" s="6">
        <v>0</v>
      </c>
      <c r="Q110" s="6">
        <v>0</v>
      </c>
      <c r="R110" s="6">
        <v>1617</v>
      </c>
      <c r="S110" s="6">
        <v>2053</v>
      </c>
      <c r="T110" s="6">
        <v>2984</v>
      </c>
      <c r="U110" s="6">
        <v>4091</v>
      </c>
      <c r="V110" s="6">
        <v>5953</v>
      </c>
      <c r="W110" s="6">
        <v>7435</v>
      </c>
      <c r="X110" s="6">
        <v>8491</v>
      </c>
      <c r="Y110" s="6">
        <v>8940</v>
      </c>
      <c r="Z110" s="6">
        <v>8080</v>
      </c>
      <c r="AA110" s="6">
        <v>7548</v>
      </c>
      <c r="AB110" s="6">
        <v>7543</v>
      </c>
      <c r="AC110" s="6">
        <v>5522</v>
      </c>
      <c r="AD110" s="6">
        <v>6643</v>
      </c>
      <c r="AE110" s="6">
        <v>7612</v>
      </c>
      <c r="AF110" s="8">
        <v>7912</v>
      </c>
      <c r="AG110" s="8">
        <v>8061</v>
      </c>
      <c r="AH110" s="8">
        <v>8249</v>
      </c>
      <c r="AI110" s="8">
        <v>9055</v>
      </c>
    </row>
    <row r="111" spans="1:38">
      <c r="A111" s="4" t="s">
        <v>63</v>
      </c>
      <c r="B111" s="6">
        <v>378.93599999999998</v>
      </c>
      <c r="C111" s="6">
        <v>315.02300000000002</v>
      </c>
      <c r="D111" s="6">
        <v>396.96100000000001</v>
      </c>
      <c r="E111" s="6">
        <v>362</v>
      </c>
      <c r="F111" s="6">
        <v>351</v>
      </c>
      <c r="G111" s="6">
        <v>423</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32687</v>
      </c>
      <c r="AC111" s="6">
        <v>37720</v>
      </c>
      <c r="AD111" s="6">
        <v>42684</v>
      </c>
      <c r="AE111" s="6">
        <v>47493</v>
      </c>
      <c r="AF111" s="8">
        <v>60845</v>
      </c>
      <c r="AG111" s="8">
        <v>58829</v>
      </c>
      <c r="AH111" s="8">
        <v>78304</v>
      </c>
      <c r="AI111" s="8">
        <v>66387</v>
      </c>
    </row>
    <row r="112" spans="1:38">
      <c r="A112" s="4" t="s">
        <v>64</v>
      </c>
      <c r="B112" s="6">
        <v>0</v>
      </c>
      <c r="C112" s="6">
        <v>0</v>
      </c>
      <c r="D112" s="6">
        <v>0</v>
      </c>
      <c r="E112" s="6">
        <v>0</v>
      </c>
      <c r="F112" s="6">
        <v>0</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8">
        <v>6308</v>
      </c>
      <c r="Y112" s="8">
        <v>8499</v>
      </c>
      <c r="Z112" s="8">
        <v>8105</v>
      </c>
      <c r="AA112" s="8">
        <v>11977</v>
      </c>
      <c r="AB112" s="8">
        <v>11964</v>
      </c>
      <c r="AC112" s="8">
        <v>5980</v>
      </c>
      <c r="AD112" s="8">
        <v>4996</v>
      </c>
      <c r="AE112" s="8">
        <v>6000</v>
      </c>
      <c r="AF112" s="8">
        <v>9982</v>
      </c>
      <c r="AG112" s="8">
        <v>5985</v>
      </c>
      <c r="AH112" s="8">
        <v>9967</v>
      </c>
      <c r="AI112" s="8">
        <v>7979</v>
      </c>
      <c r="AL112" s="64"/>
    </row>
    <row r="113" spans="1:38">
      <c r="A113" s="4" t="s">
        <v>65</v>
      </c>
      <c r="B113" s="6">
        <v>0</v>
      </c>
      <c r="C113" s="6">
        <v>0</v>
      </c>
      <c r="D113" s="6">
        <v>0</v>
      </c>
      <c r="E113" s="6">
        <v>0</v>
      </c>
      <c r="F113" s="6">
        <v>0</v>
      </c>
      <c r="G113" s="6">
        <v>0</v>
      </c>
      <c r="H113" s="6">
        <v>0</v>
      </c>
      <c r="I113" s="6">
        <v>0</v>
      </c>
      <c r="J113" s="6">
        <v>0</v>
      </c>
      <c r="K113" s="6">
        <v>0</v>
      </c>
      <c r="L113" s="6">
        <v>0</v>
      </c>
      <c r="M113" s="6">
        <v>304</v>
      </c>
      <c r="N113" s="6">
        <v>0</v>
      </c>
      <c r="O113" s="6">
        <v>0</v>
      </c>
      <c r="P113" s="6">
        <v>0</v>
      </c>
      <c r="Q113" s="6">
        <v>0</v>
      </c>
      <c r="R113" s="6">
        <v>0</v>
      </c>
      <c r="S113" s="6">
        <v>0</v>
      </c>
      <c r="T113" s="6">
        <v>0</v>
      </c>
      <c r="U113" s="6">
        <v>0</v>
      </c>
      <c r="V113" s="6">
        <v>0</v>
      </c>
      <c r="W113" s="6">
        <v>0</v>
      </c>
      <c r="X113" s="8">
        <v>0</v>
      </c>
      <c r="Y113" s="8">
        <v>2500</v>
      </c>
      <c r="Z113" s="8">
        <v>3500</v>
      </c>
      <c r="AA113" s="8">
        <v>6496</v>
      </c>
      <c r="AB113" s="8">
        <v>8784</v>
      </c>
      <c r="AC113" s="8">
        <v>10260</v>
      </c>
      <c r="AD113" s="8">
        <v>8773</v>
      </c>
      <c r="AE113" s="8">
        <v>9613</v>
      </c>
      <c r="AF113" s="8">
        <v>11128</v>
      </c>
      <c r="AG113" s="8">
        <v>9822</v>
      </c>
      <c r="AH113" s="8">
        <v>10912</v>
      </c>
      <c r="AI113" s="8">
        <v>12350</v>
      </c>
      <c r="AL113" s="64"/>
    </row>
    <row r="114" spans="1:38">
      <c r="A114" s="17" t="s">
        <v>66</v>
      </c>
      <c r="B114" s="18">
        <f t="shared" ref="B114:AI114" si="201">SUM(B103:B113)</f>
        <v>1425.52</v>
      </c>
      <c r="C114" s="18">
        <f t="shared" si="201"/>
        <v>2508.085</v>
      </c>
      <c r="D114" s="18">
        <f t="shared" si="201"/>
        <v>1944.3050000000001</v>
      </c>
      <c r="E114" s="18">
        <f t="shared" si="201"/>
        <v>2325</v>
      </c>
      <c r="F114" s="18">
        <f t="shared" si="201"/>
        <v>2003</v>
      </c>
      <c r="G114" s="18">
        <f t="shared" si="201"/>
        <v>1818</v>
      </c>
      <c r="H114" s="18">
        <f t="shared" si="201"/>
        <v>1520</v>
      </c>
      <c r="I114" s="18">
        <f t="shared" si="201"/>
        <v>1549</v>
      </c>
      <c r="J114" s="18">
        <f t="shared" si="201"/>
        <v>1933</v>
      </c>
      <c r="K114" s="18">
        <f t="shared" si="201"/>
        <v>1518</v>
      </c>
      <c r="L114" s="18">
        <f t="shared" si="201"/>
        <v>1658</v>
      </c>
      <c r="M114" s="18">
        <f t="shared" si="201"/>
        <v>2357</v>
      </c>
      <c r="N114" s="18">
        <f t="shared" si="201"/>
        <v>2651</v>
      </c>
      <c r="O114" s="18">
        <f t="shared" si="201"/>
        <v>3487</v>
      </c>
      <c r="P114" s="18">
        <f t="shared" si="201"/>
        <v>6471</v>
      </c>
      <c r="Q114" s="18">
        <f t="shared" si="201"/>
        <v>9280</v>
      </c>
      <c r="R114" s="18">
        <f t="shared" si="201"/>
        <v>11361</v>
      </c>
      <c r="S114" s="18">
        <f t="shared" si="201"/>
        <v>11506</v>
      </c>
      <c r="T114" s="18">
        <f t="shared" si="201"/>
        <v>20722</v>
      </c>
      <c r="U114" s="18">
        <f t="shared" si="201"/>
        <v>27970</v>
      </c>
      <c r="V114" s="18">
        <f t="shared" si="201"/>
        <v>38542</v>
      </c>
      <c r="W114" s="18">
        <f t="shared" si="201"/>
        <v>43658</v>
      </c>
      <c r="X114" s="19">
        <f t="shared" si="201"/>
        <v>63448</v>
      </c>
      <c r="Y114" s="19">
        <f t="shared" si="201"/>
        <v>80610</v>
      </c>
      <c r="Z114" s="19">
        <f t="shared" si="201"/>
        <v>79006</v>
      </c>
      <c r="AA114" s="19">
        <f t="shared" si="201"/>
        <v>100814</v>
      </c>
      <c r="AB114" s="19">
        <f t="shared" si="201"/>
        <v>116866</v>
      </c>
      <c r="AC114" s="19">
        <f t="shared" si="201"/>
        <v>105718</v>
      </c>
      <c r="AD114" s="19">
        <f t="shared" si="201"/>
        <v>105392</v>
      </c>
      <c r="AE114" s="19">
        <f t="shared" si="201"/>
        <v>125481</v>
      </c>
      <c r="AF114" s="19">
        <f t="shared" si="201"/>
        <v>153982</v>
      </c>
      <c r="AG114" s="19">
        <f t="shared" si="201"/>
        <v>145308</v>
      </c>
      <c r="AH114" s="19">
        <f t="shared" si="201"/>
        <v>176392</v>
      </c>
      <c r="AI114" s="19">
        <f t="shared" si="201"/>
        <v>165631</v>
      </c>
    </row>
    <row r="115" spans="1:38">
      <c r="A115" s="25"/>
      <c r="B115" s="26"/>
      <c r="C115" s="26"/>
      <c r="D115" s="26"/>
      <c r="E115" s="26"/>
      <c r="F115" s="26"/>
      <c r="G115" s="26"/>
      <c r="H115" s="26"/>
      <c r="I115" s="26"/>
      <c r="J115" s="26"/>
      <c r="K115" s="26"/>
      <c r="L115" s="26"/>
      <c r="M115" s="26"/>
      <c r="N115" s="26"/>
      <c r="O115" s="26"/>
      <c r="P115" s="26"/>
      <c r="Q115" s="26"/>
      <c r="R115" s="26"/>
      <c r="S115" s="26"/>
      <c r="T115" s="26"/>
      <c r="U115" s="26"/>
      <c r="V115" s="26"/>
      <c r="W115" s="26"/>
      <c r="X115" s="27"/>
      <c r="Y115" s="27"/>
      <c r="Z115" s="27"/>
      <c r="AA115" s="27"/>
      <c r="AB115" s="27"/>
      <c r="AC115" s="27"/>
      <c r="AD115" s="27"/>
      <c r="AE115" s="27"/>
      <c r="AF115" s="27"/>
      <c r="AG115" s="27"/>
      <c r="AH115" s="27"/>
      <c r="AI115" s="27"/>
    </row>
    <row r="116" spans="1:38">
      <c r="A116" s="4" t="s">
        <v>67</v>
      </c>
      <c r="B116" s="6">
        <v>0</v>
      </c>
      <c r="C116" s="6">
        <v>7.117</v>
      </c>
      <c r="D116" s="6">
        <v>304.47199999999998</v>
      </c>
      <c r="E116" s="6">
        <v>303</v>
      </c>
      <c r="F116" s="6">
        <v>949</v>
      </c>
      <c r="G116" s="6">
        <v>951</v>
      </c>
      <c r="H116" s="6">
        <v>954</v>
      </c>
      <c r="I116" s="6">
        <v>300</v>
      </c>
      <c r="J116" s="6">
        <v>300</v>
      </c>
      <c r="K116" s="6">
        <v>317</v>
      </c>
      <c r="L116" s="6">
        <v>316</v>
      </c>
      <c r="M116" s="6">
        <v>0</v>
      </c>
      <c r="N116" s="6">
        <v>0</v>
      </c>
      <c r="O116" s="6">
        <v>0</v>
      </c>
      <c r="P116" s="6">
        <v>0</v>
      </c>
      <c r="Q116" s="6">
        <v>0</v>
      </c>
      <c r="R116" s="6">
        <v>0</v>
      </c>
      <c r="S116" s="6">
        <v>0</v>
      </c>
      <c r="T116" s="6">
        <v>0</v>
      </c>
      <c r="U116" s="6">
        <v>0</v>
      </c>
      <c r="V116" s="6">
        <v>0</v>
      </c>
      <c r="W116" s="6">
        <v>16960</v>
      </c>
      <c r="X116" s="8">
        <v>28987</v>
      </c>
      <c r="Y116" s="8">
        <v>53463</v>
      </c>
      <c r="Z116" s="8">
        <v>75427</v>
      </c>
      <c r="AA116" s="8">
        <v>97207</v>
      </c>
      <c r="AB116" s="8">
        <v>93735</v>
      </c>
      <c r="AC116" s="8">
        <v>91807</v>
      </c>
      <c r="AD116" s="8">
        <v>98667</v>
      </c>
      <c r="AE116" s="8">
        <v>109106</v>
      </c>
      <c r="AF116" s="8">
        <v>98959</v>
      </c>
      <c r="AG116" s="8">
        <v>95281</v>
      </c>
      <c r="AH116" s="8">
        <v>85750</v>
      </c>
      <c r="AI116" s="8">
        <v>78328</v>
      </c>
    </row>
    <row r="117" spans="1:38">
      <c r="A117" s="4" t="s">
        <v>68</v>
      </c>
      <c r="B117" s="6">
        <v>610.803</v>
      </c>
      <c r="C117" s="6">
        <v>629.83199999999999</v>
      </c>
      <c r="D117" s="6">
        <v>670.66800000000001</v>
      </c>
      <c r="E117" s="6">
        <v>702</v>
      </c>
      <c r="F117" s="6">
        <v>354</v>
      </c>
      <c r="G117" s="6">
        <v>264</v>
      </c>
      <c r="H117" s="6">
        <v>173</v>
      </c>
      <c r="I117" s="6">
        <v>208</v>
      </c>
      <c r="J117" s="6">
        <v>463</v>
      </c>
      <c r="K117" s="6">
        <v>266</v>
      </c>
      <c r="L117" s="6">
        <v>229</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row>
    <row r="118" spans="1:38">
      <c r="A118" s="4" t="s">
        <v>69</v>
      </c>
      <c r="B118" s="6">
        <v>0</v>
      </c>
      <c r="C118" s="6">
        <v>0</v>
      </c>
      <c r="D118" s="6">
        <v>0</v>
      </c>
      <c r="E118" s="6">
        <v>0</v>
      </c>
      <c r="F118" s="6">
        <v>0</v>
      </c>
      <c r="G118" s="6">
        <v>0</v>
      </c>
      <c r="H118" s="6">
        <v>0</v>
      </c>
      <c r="I118" s="6">
        <v>0</v>
      </c>
      <c r="J118" s="6">
        <v>0</v>
      </c>
      <c r="K118" s="6">
        <v>0</v>
      </c>
      <c r="L118" s="6">
        <v>0</v>
      </c>
      <c r="M118" s="6">
        <v>0</v>
      </c>
      <c r="N118" s="6">
        <v>0</v>
      </c>
      <c r="O118" s="6">
        <v>0</v>
      </c>
      <c r="P118" s="6">
        <v>0</v>
      </c>
      <c r="Q118" s="6">
        <v>0</v>
      </c>
      <c r="R118" s="6">
        <v>768</v>
      </c>
      <c r="S118" s="6">
        <v>853</v>
      </c>
      <c r="T118" s="6">
        <v>1139</v>
      </c>
      <c r="U118" s="6">
        <v>1686</v>
      </c>
      <c r="V118" s="6">
        <v>2648</v>
      </c>
      <c r="W118" s="6">
        <v>2625</v>
      </c>
      <c r="X118" s="6">
        <v>3031</v>
      </c>
      <c r="Y118" s="6">
        <v>3624</v>
      </c>
      <c r="Z118" s="6">
        <v>2930</v>
      </c>
      <c r="AA118" s="6">
        <v>2836</v>
      </c>
      <c r="AB118" s="6">
        <v>2797</v>
      </c>
      <c r="AC118" s="6">
        <v>0</v>
      </c>
      <c r="AD118" s="6">
        <v>0</v>
      </c>
      <c r="AE118" s="6">
        <v>0</v>
      </c>
      <c r="AF118" s="6">
        <v>0</v>
      </c>
      <c r="AG118" s="6">
        <v>0</v>
      </c>
      <c r="AH118" s="6">
        <v>0</v>
      </c>
      <c r="AI118" s="6">
        <v>0</v>
      </c>
    </row>
    <row r="119" spans="1:38">
      <c r="A119" s="4" t="s">
        <v>70</v>
      </c>
      <c r="B119" s="6">
        <v>0</v>
      </c>
      <c r="C119" s="6">
        <v>0</v>
      </c>
      <c r="D119" s="6">
        <v>0</v>
      </c>
      <c r="E119" s="6">
        <v>0</v>
      </c>
      <c r="F119" s="6">
        <v>0</v>
      </c>
      <c r="G119" s="6">
        <v>0</v>
      </c>
      <c r="H119" s="6">
        <v>0</v>
      </c>
      <c r="I119" s="6">
        <v>0</v>
      </c>
      <c r="J119" s="6">
        <v>0</v>
      </c>
      <c r="K119" s="6">
        <v>0</v>
      </c>
      <c r="L119" s="6">
        <v>0</v>
      </c>
      <c r="M119" s="6">
        <v>0</v>
      </c>
      <c r="N119" s="6">
        <v>323</v>
      </c>
      <c r="O119" s="6">
        <v>601</v>
      </c>
      <c r="P119" s="6">
        <v>750</v>
      </c>
      <c r="Q119" s="6">
        <v>1535</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row>
    <row r="120" spans="1:38">
      <c r="A120" s="4" t="s">
        <v>71</v>
      </c>
      <c r="B120" s="6">
        <v>0</v>
      </c>
      <c r="C120" s="6">
        <v>0</v>
      </c>
      <c r="D120" s="6">
        <v>0</v>
      </c>
      <c r="E120" s="6">
        <v>0</v>
      </c>
      <c r="F120" s="6">
        <v>0</v>
      </c>
      <c r="G120" s="6">
        <v>0</v>
      </c>
      <c r="H120" s="6">
        <v>0</v>
      </c>
      <c r="I120" s="6">
        <v>0</v>
      </c>
      <c r="J120" s="6">
        <v>0</v>
      </c>
      <c r="K120" s="6">
        <v>0</v>
      </c>
      <c r="L120" s="6">
        <v>0</v>
      </c>
      <c r="M120" s="6">
        <v>235</v>
      </c>
      <c r="N120" s="6">
        <v>0</v>
      </c>
      <c r="O120" s="6">
        <v>0</v>
      </c>
      <c r="P120" s="6">
        <v>0</v>
      </c>
      <c r="Q120" s="6">
        <v>0</v>
      </c>
      <c r="R120" s="6">
        <v>1745</v>
      </c>
      <c r="S120" s="6">
        <v>3502</v>
      </c>
      <c r="T120" s="6">
        <v>5531</v>
      </c>
      <c r="U120" s="6">
        <v>10100</v>
      </c>
      <c r="V120" s="6">
        <v>16664</v>
      </c>
      <c r="W120" s="6">
        <v>20208</v>
      </c>
      <c r="X120" s="6">
        <v>24826</v>
      </c>
      <c r="Y120" s="6">
        <v>33427</v>
      </c>
      <c r="Z120" s="6">
        <v>36074</v>
      </c>
      <c r="AA120" s="6">
        <v>40415</v>
      </c>
      <c r="AB120" s="6">
        <v>45180</v>
      </c>
      <c r="AC120" s="6">
        <v>50503</v>
      </c>
      <c r="AD120" s="6">
        <v>54490</v>
      </c>
      <c r="AE120" s="6">
        <v>53325</v>
      </c>
      <c r="AF120" s="6">
        <v>49142</v>
      </c>
      <c r="AG120" s="6">
        <v>49848</v>
      </c>
      <c r="AH120" s="6">
        <v>45888</v>
      </c>
      <c r="AI120" s="6">
        <v>41549</v>
      </c>
    </row>
    <row r="121" spans="1:38">
      <c r="A121" s="17" t="s">
        <v>72</v>
      </c>
      <c r="B121" s="28">
        <f t="shared" ref="B121:AI121" si="202">SUM(B116:B120)</f>
        <v>610.803</v>
      </c>
      <c r="C121" s="28">
        <f t="shared" si="202"/>
        <v>636.94899999999996</v>
      </c>
      <c r="D121" s="28">
        <f t="shared" si="202"/>
        <v>975.14</v>
      </c>
      <c r="E121" s="28">
        <f t="shared" si="202"/>
        <v>1005</v>
      </c>
      <c r="F121" s="28">
        <f t="shared" si="202"/>
        <v>1303</v>
      </c>
      <c r="G121" s="28">
        <f t="shared" si="202"/>
        <v>1215</v>
      </c>
      <c r="H121" s="28">
        <f t="shared" si="202"/>
        <v>1127</v>
      </c>
      <c r="I121" s="28">
        <f t="shared" si="202"/>
        <v>508</v>
      </c>
      <c r="J121" s="28">
        <f t="shared" si="202"/>
        <v>763</v>
      </c>
      <c r="K121" s="28">
        <f t="shared" si="202"/>
        <v>583</v>
      </c>
      <c r="L121" s="28">
        <f t="shared" si="202"/>
        <v>545</v>
      </c>
      <c r="M121" s="28">
        <f t="shared" si="202"/>
        <v>235</v>
      </c>
      <c r="N121" s="28">
        <f t="shared" si="202"/>
        <v>323</v>
      </c>
      <c r="O121" s="28">
        <f t="shared" si="202"/>
        <v>601</v>
      </c>
      <c r="P121" s="28">
        <f t="shared" si="202"/>
        <v>750</v>
      </c>
      <c r="Q121" s="28">
        <f t="shared" si="202"/>
        <v>1535</v>
      </c>
      <c r="R121" s="28">
        <f t="shared" si="202"/>
        <v>2513</v>
      </c>
      <c r="S121" s="28">
        <f t="shared" si="202"/>
        <v>4355</v>
      </c>
      <c r="T121" s="28">
        <f t="shared" si="202"/>
        <v>6670</v>
      </c>
      <c r="U121" s="28">
        <f t="shared" si="202"/>
        <v>11786</v>
      </c>
      <c r="V121" s="28">
        <f t="shared" si="202"/>
        <v>19312</v>
      </c>
      <c r="W121" s="28">
        <f t="shared" si="202"/>
        <v>39793</v>
      </c>
      <c r="X121" s="29">
        <f t="shared" si="202"/>
        <v>56844</v>
      </c>
      <c r="Y121" s="29">
        <f t="shared" si="202"/>
        <v>90514</v>
      </c>
      <c r="Z121" s="29">
        <f t="shared" si="202"/>
        <v>114431</v>
      </c>
      <c r="AA121" s="29">
        <f t="shared" si="202"/>
        <v>140458</v>
      </c>
      <c r="AB121" s="29">
        <f t="shared" si="202"/>
        <v>141712</v>
      </c>
      <c r="AC121" s="29">
        <f t="shared" si="202"/>
        <v>142310</v>
      </c>
      <c r="AD121" s="29">
        <f t="shared" si="202"/>
        <v>153157</v>
      </c>
      <c r="AE121" s="29">
        <f t="shared" si="202"/>
        <v>162431</v>
      </c>
      <c r="AF121" s="29">
        <f t="shared" si="202"/>
        <v>148101</v>
      </c>
      <c r="AG121" s="29">
        <f t="shared" si="202"/>
        <v>145129</v>
      </c>
      <c r="AH121" s="29">
        <f t="shared" si="202"/>
        <v>131638</v>
      </c>
      <c r="AI121" s="29">
        <f t="shared" si="202"/>
        <v>119877</v>
      </c>
    </row>
    <row r="122" spans="1:38">
      <c r="A122" s="17" t="s">
        <v>73</v>
      </c>
      <c r="B122" s="31">
        <f t="shared" ref="B122:AI122" si="203">B114+B121</f>
        <v>2036.3229999999999</v>
      </c>
      <c r="C122" s="31">
        <f t="shared" si="203"/>
        <v>3145.0340000000001</v>
      </c>
      <c r="D122" s="31">
        <f t="shared" si="203"/>
        <v>2919.4450000000002</v>
      </c>
      <c r="E122" s="31">
        <f t="shared" si="203"/>
        <v>3330</v>
      </c>
      <c r="F122" s="31">
        <f t="shared" si="203"/>
        <v>3306</v>
      </c>
      <c r="G122" s="31">
        <f t="shared" si="203"/>
        <v>3033</v>
      </c>
      <c r="H122" s="31">
        <f t="shared" si="203"/>
        <v>2647</v>
      </c>
      <c r="I122" s="31">
        <f t="shared" si="203"/>
        <v>2057</v>
      </c>
      <c r="J122" s="31">
        <f t="shared" si="203"/>
        <v>2696</v>
      </c>
      <c r="K122" s="31">
        <f t="shared" si="203"/>
        <v>2101</v>
      </c>
      <c r="L122" s="31">
        <f t="shared" si="203"/>
        <v>2203</v>
      </c>
      <c r="M122" s="31">
        <f t="shared" si="203"/>
        <v>2592</v>
      </c>
      <c r="N122" s="31">
        <f t="shared" si="203"/>
        <v>2974</v>
      </c>
      <c r="O122" s="31">
        <f t="shared" si="203"/>
        <v>4088</v>
      </c>
      <c r="P122" s="31">
        <f t="shared" si="203"/>
        <v>7221</v>
      </c>
      <c r="Q122" s="31">
        <f t="shared" si="203"/>
        <v>10815</v>
      </c>
      <c r="R122" s="31">
        <f t="shared" si="203"/>
        <v>13874</v>
      </c>
      <c r="S122" s="31">
        <f t="shared" si="203"/>
        <v>15861</v>
      </c>
      <c r="T122" s="31">
        <f t="shared" si="203"/>
        <v>27392</v>
      </c>
      <c r="U122" s="31">
        <f t="shared" si="203"/>
        <v>39756</v>
      </c>
      <c r="V122" s="31">
        <f t="shared" si="203"/>
        <v>57854</v>
      </c>
      <c r="W122" s="31">
        <f t="shared" si="203"/>
        <v>83451</v>
      </c>
      <c r="X122" s="31">
        <f t="shared" si="203"/>
        <v>120292</v>
      </c>
      <c r="Y122" s="31">
        <f t="shared" si="203"/>
        <v>171124</v>
      </c>
      <c r="Z122" s="31">
        <f t="shared" si="203"/>
        <v>193437</v>
      </c>
      <c r="AA122" s="31">
        <f t="shared" si="203"/>
        <v>241272</v>
      </c>
      <c r="AB122" s="31">
        <f t="shared" si="203"/>
        <v>258578</v>
      </c>
      <c r="AC122" s="31">
        <f t="shared" si="203"/>
        <v>248028</v>
      </c>
      <c r="AD122" s="31">
        <f t="shared" si="203"/>
        <v>258549</v>
      </c>
      <c r="AE122" s="31">
        <f t="shared" si="203"/>
        <v>287912</v>
      </c>
      <c r="AF122" s="31">
        <f t="shared" si="203"/>
        <v>302083</v>
      </c>
      <c r="AG122" s="31">
        <f t="shared" si="203"/>
        <v>290437</v>
      </c>
      <c r="AH122" s="31">
        <f t="shared" si="203"/>
        <v>308030</v>
      </c>
      <c r="AI122" s="31">
        <f t="shared" si="203"/>
        <v>285508</v>
      </c>
    </row>
    <row r="123" spans="1:38">
      <c r="A123" s="4"/>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row>
    <row r="124" spans="1:38">
      <c r="A124" s="4" t="s">
        <v>74</v>
      </c>
      <c r="B124" s="8">
        <v>0</v>
      </c>
      <c r="C124" s="8">
        <v>0</v>
      </c>
      <c r="D124" s="8">
        <v>0</v>
      </c>
      <c r="E124" s="8">
        <v>0</v>
      </c>
      <c r="F124" s="8">
        <v>0</v>
      </c>
      <c r="G124" s="8">
        <v>150</v>
      </c>
      <c r="H124" s="8">
        <v>150</v>
      </c>
      <c r="I124" s="8">
        <v>150</v>
      </c>
      <c r="J124" s="8">
        <v>76</v>
      </c>
      <c r="K124" s="8">
        <v>0</v>
      </c>
      <c r="L124" s="8">
        <v>0</v>
      </c>
      <c r="M124" s="8">
        <v>0</v>
      </c>
      <c r="N124" s="8">
        <v>0</v>
      </c>
      <c r="O124" s="8">
        <v>0</v>
      </c>
      <c r="P124" s="8">
        <v>0</v>
      </c>
      <c r="Q124" s="8">
        <v>0</v>
      </c>
      <c r="R124" s="8">
        <v>0</v>
      </c>
      <c r="S124" s="8">
        <v>0</v>
      </c>
      <c r="T124" s="8">
        <v>0</v>
      </c>
      <c r="U124" s="8">
        <v>0</v>
      </c>
      <c r="V124" s="8">
        <v>0</v>
      </c>
      <c r="W124" s="8">
        <v>0</v>
      </c>
      <c r="X124" s="8">
        <v>0</v>
      </c>
      <c r="Y124" s="8">
        <v>0</v>
      </c>
      <c r="Z124" s="8">
        <v>0</v>
      </c>
      <c r="AA124" s="8">
        <v>0</v>
      </c>
      <c r="AB124" s="8">
        <v>0</v>
      </c>
      <c r="AC124" s="8">
        <v>0</v>
      </c>
      <c r="AD124" s="8">
        <v>0</v>
      </c>
      <c r="AE124" s="8">
        <v>0</v>
      </c>
      <c r="AF124" s="8">
        <v>0</v>
      </c>
      <c r="AG124" s="8">
        <v>0</v>
      </c>
      <c r="AH124" s="8">
        <v>0</v>
      </c>
      <c r="AI124" s="8">
        <v>0</v>
      </c>
    </row>
    <row r="125" spans="1:38">
      <c r="A125" s="4" t="s">
        <v>75</v>
      </c>
      <c r="B125" s="8">
        <v>282.31</v>
      </c>
      <c r="C125" s="8">
        <v>203.613</v>
      </c>
      <c r="D125" s="8">
        <v>297.92899999999997</v>
      </c>
      <c r="E125" s="8">
        <v>398</v>
      </c>
      <c r="F125" s="8">
        <v>439</v>
      </c>
      <c r="G125" s="8">
        <v>498</v>
      </c>
      <c r="H125" s="8">
        <v>633</v>
      </c>
      <c r="I125" s="8">
        <v>1349</v>
      </c>
      <c r="J125" s="8">
        <v>1502</v>
      </c>
      <c r="K125" s="8">
        <v>1693</v>
      </c>
      <c r="L125" s="8">
        <v>1826</v>
      </c>
      <c r="M125" s="8">
        <v>1926</v>
      </c>
      <c r="N125" s="8">
        <v>2514</v>
      </c>
      <c r="O125" s="8">
        <v>3564</v>
      </c>
      <c r="P125" s="8">
        <v>4355</v>
      </c>
      <c r="Q125" s="8">
        <v>5368</v>
      </c>
      <c r="R125" s="8">
        <v>7177</v>
      </c>
      <c r="S125" s="8">
        <v>8210</v>
      </c>
      <c r="T125" s="8">
        <v>10668</v>
      </c>
      <c r="U125" s="8">
        <v>13331</v>
      </c>
      <c r="V125" s="8">
        <v>16422</v>
      </c>
      <c r="W125" s="8">
        <v>19764</v>
      </c>
      <c r="X125" s="8">
        <v>23313</v>
      </c>
      <c r="Y125" s="8">
        <v>27416</v>
      </c>
      <c r="Z125" s="8">
        <v>31251</v>
      </c>
      <c r="AA125" s="8">
        <v>35867</v>
      </c>
      <c r="AB125" s="8">
        <v>40201</v>
      </c>
      <c r="AC125" s="8">
        <v>45174</v>
      </c>
      <c r="AD125" s="8">
        <v>50779</v>
      </c>
      <c r="AE125" s="8">
        <v>57365</v>
      </c>
      <c r="AF125" s="8">
        <v>64849</v>
      </c>
      <c r="AG125" s="8">
        <v>73812</v>
      </c>
      <c r="AH125" s="8">
        <v>83276</v>
      </c>
      <c r="AI125" s="8">
        <v>93568</v>
      </c>
    </row>
    <row r="126" spans="1:38">
      <c r="A126" s="4" t="s">
        <v>76</v>
      </c>
      <c r="B126" s="8">
        <v>0</v>
      </c>
      <c r="C126" s="8">
        <v>0</v>
      </c>
      <c r="D126" s="8">
        <v>0</v>
      </c>
      <c r="E126" s="8">
        <v>0</v>
      </c>
      <c r="F126" s="8">
        <v>0</v>
      </c>
      <c r="G126" s="8">
        <v>0</v>
      </c>
      <c r="H126" s="8">
        <v>0</v>
      </c>
      <c r="I126" s="8">
        <v>0</v>
      </c>
      <c r="J126" s="8">
        <v>0</v>
      </c>
      <c r="K126" s="37">
        <v>-11</v>
      </c>
      <c r="L126" s="37">
        <v>-7</v>
      </c>
      <c r="M126" s="37">
        <v>-62</v>
      </c>
      <c r="N126" s="37">
        <v>-93</v>
      </c>
      <c r="O126" s="37">
        <v>-61</v>
      </c>
      <c r="P126" s="8">
        <v>0</v>
      </c>
      <c r="Q126" s="8">
        <v>0</v>
      </c>
      <c r="R126" s="8">
        <v>0</v>
      </c>
      <c r="S126" s="8">
        <v>0</v>
      </c>
      <c r="T126" s="8">
        <v>0</v>
      </c>
      <c r="U126" s="8">
        <v>0</v>
      </c>
      <c r="V126" s="8">
        <v>0</v>
      </c>
      <c r="W126" s="8">
        <v>0</v>
      </c>
      <c r="X126" s="8">
        <v>0</v>
      </c>
      <c r="Y126" s="8">
        <v>0</v>
      </c>
      <c r="Z126" s="8">
        <v>0</v>
      </c>
      <c r="AA126" s="8">
        <v>0</v>
      </c>
      <c r="AB126" s="8">
        <v>0</v>
      </c>
      <c r="AC126" s="8">
        <v>0</v>
      </c>
      <c r="AD126" s="8">
        <v>0</v>
      </c>
      <c r="AE126" s="8">
        <v>0</v>
      </c>
      <c r="AF126" s="8">
        <v>0</v>
      </c>
      <c r="AG126" s="8">
        <v>0</v>
      </c>
      <c r="AH126" s="8">
        <v>0</v>
      </c>
      <c r="AI126" s="8">
        <v>0</v>
      </c>
    </row>
    <row r="127" spans="1:38">
      <c r="A127" s="4" t="s">
        <v>77</v>
      </c>
      <c r="B127" s="8">
        <v>1904.519</v>
      </c>
      <c r="C127" s="8">
        <v>1842.6</v>
      </c>
      <c r="D127" s="8">
        <v>2096.2060000000001</v>
      </c>
      <c r="E127" s="8">
        <v>2464</v>
      </c>
      <c r="F127" s="8">
        <v>1634</v>
      </c>
      <c r="G127" s="8">
        <v>589</v>
      </c>
      <c r="H127" s="8">
        <v>898</v>
      </c>
      <c r="I127" s="8">
        <v>1499</v>
      </c>
      <c r="J127" s="8">
        <v>2285</v>
      </c>
      <c r="K127" s="8">
        <v>2260</v>
      </c>
      <c r="L127" s="8">
        <v>2325</v>
      </c>
      <c r="M127" s="8">
        <v>2394</v>
      </c>
      <c r="N127" s="8">
        <v>2670</v>
      </c>
      <c r="O127" s="8">
        <v>3925</v>
      </c>
      <c r="P127" s="8">
        <v>5607</v>
      </c>
      <c r="Q127" s="8">
        <v>9101</v>
      </c>
      <c r="R127" s="8">
        <v>15129</v>
      </c>
      <c r="S127" s="8">
        <v>23353</v>
      </c>
      <c r="T127" s="8">
        <v>37169</v>
      </c>
      <c r="U127" s="8">
        <v>62841</v>
      </c>
      <c r="V127" s="8">
        <v>101289</v>
      </c>
      <c r="W127" s="8">
        <v>104256</v>
      </c>
      <c r="X127" s="8">
        <v>87152</v>
      </c>
      <c r="Y127" s="8">
        <v>92284</v>
      </c>
      <c r="Z127" s="8">
        <v>96364</v>
      </c>
      <c r="AA127" s="8">
        <v>98330</v>
      </c>
      <c r="AB127" s="8">
        <v>70400</v>
      </c>
      <c r="AC127" s="8">
        <v>45898</v>
      </c>
      <c r="AD127" s="8">
        <v>14966</v>
      </c>
      <c r="AE127" s="8">
        <v>5562</v>
      </c>
      <c r="AF127" s="8">
        <v>0</v>
      </c>
      <c r="AG127" s="8">
        <v>0</v>
      </c>
      <c r="AH127" s="8">
        <v>0</v>
      </c>
      <c r="AI127" s="8">
        <v>0</v>
      </c>
    </row>
    <row r="128" spans="1:38">
      <c r="A128" s="4" t="s">
        <v>78</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8">
        <v>0</v>
      </c>
      <c r="AE128" s="8">
        <v>0</v>
      </c>
      <c r="AF128" s="37">
        <v>-3068</v>
      </c>
      <c r="AG128" s="37">
        <v>-214</v>
      </c>
      <c r="AH128" s="37">
        <v>-19154</v>
      </c>
      <c r="AI128" s="37">
        <v>-14264</v>
      </c>
    </row>
    <row r="129" spans="1:35">
      <c r="A129" s="4" t="s">
        <v>79</v>
      </c>
      <c r="B129" s="8">
        <v>0</v>
      </c>
      <c r="C129" s="8">
        <v>0</v>
      </c>
      <c r="D129" s="8">
        <v>0</v>
      </c>
      <c r="E129" s="8">
        <v>0</v>
      </c>
      <c r="F129" s="8">
        <v>0</v>
      </c>
      <c r="G129" s="8">
        <v>0</v>
      </c>
      <c r="H129" s="37">
        <v>-39</v>
      </c>
      <c r="I129" s="8">
        <v>106</v>
      </c>
      <c r="J129" s="8">
        <v>244</v>
      </c>
      <c r="K129" s="37">
        <v>-22</v>
      </c>
      <c r="L129" s="37">
        <v>-49</v>
      </c>
      <c r="M129" s="37">
        <v>-35</v>
      </c>
      <c r="N129" s="37">
        <v>-15</v>
      </c>
      <c r="O129" s="8">
        <v>0</v>
      </c>
      <c r="P129" s="8">
        <v>22</v>
      </c>
      <c r="Q129" s="8">
        <v>63</v>
      </c>
      <c r="R129" s="37">
        <v>-9</v>
      </c>
      <c r="S129" s="8">
        <v>77</v>
      </c>
      <c r="T129" s="37">
        <v>-46</v>
      </c>
      <c r="U129" s="8">
        <v>443</v>
      </c>
      <c r="V129" s="8">
        <v>499</v>
      </c>
      <c r="W129" s="37">
        <v>-471</v>
      </c>
      <c r="X129" s="8">
        <v>1082</v>
      </c>
      <c r="Y129" s="37">
        <v>-345</v>
      </c>
      <c r="Z129" s="8">
        <v>634</v>
      </c>
      <c r="AA129" s="37">
        <v>-150</v>
      </c>
      <c r="AB129" s="37">
        <v>-3454</v>
      </c>
      <c r="AC129" s="37">
        <v>-584</v>
      </c>
      <c r="AD129" s="37">
        <v>-406</v>
      </c>
      <c r="AE129" s="8">
        <v>163</v>
      </c>
      <c r="AF129" s="37">
        <v>-11109</v>
      </c>
      <c r="AG129" s="37">
        <v>-11452</v>
      </c>
      <c r="AH129" s="37">
        <v>-7172</v>
      </c>
      <c r="AI129" s="37">
        <v>-5571</v>
      </c>
    </row>
    <row r="130" spans="1:35">
      <c r="A130" s="4" t="s">
        <v>80</v>
      </c>
      <c r="B130" s="8">
        <v>0.54100000000000004</v>
      </c>
      <c r="C130" s="37">
        <v>-19.835000000000001</v>
      </c>
      <c r="D130" s="37">
        <v>-10.834</v>
      </c>
      <c r="E130" s="8">
        <v>39</v>
      </c>
      <c r="F130" s="37">
        <v>-15</v>
      </c>
      <c r="G130" s="37">
        <v>-37</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row>
    <row r="131" spans="1:35">
      <c r="A131" s="17" t="s">
        <v>81</v>
      </c>
      <c r="B131" s="32">
        <f t="shared" ref="B131:AI131" si="204">SUM(B124:B130)</f>
        <v>2187.3700000000003</v>
      </c>
      <c r="C131" s="32">
        <f t="shared" si="204"/>
        <v>2026.3779999999999</v>
      </c>
      <c r="D131" s="32">
        <f t="shared" si="204"/>
        <v>2383.3010000000004</v>
      </c>
      <c r="E131" s="32">
        <f t="shared" si="204"/>
        <v>2901</v>
      </c>
      <c r="F131" s="32">
        <f t="shared" si="204"/>
        <v>2058</v>
      </c>
      <c r="G131" s="32">
        <f t="shared" si="204"/>
        <v>1200</v>
      </c>
      <c r="H131" s="32">
        <f t="shared" si="204"/>
        <v>1642</v>
      </c>
      <c r="I131" s="32">
        <f t="shared" si="204"/>
        <v>3104</v>
      </c>
      <c r="J131" s="32">
        <f t="shared" si="204"/>
        <v>4107</v>
      </c>
      <c r="K131" s="32">
        <f t="shared" si="204"/>
        <v>3920</v>
      </c>
      <c r="L131" s="32">
        <f t="shared" si="204"/>
        <v>4095</v>
      </c>
      <c r="M131" s="32">
        <f t="shared" si="204"/>
        <v>4223</v>
      </c>
      <c r="N131" s="32">
        <f t="shared" si="204"/>
        <v>5076</v>
      </c>
      <c r="O131" s="32">
        <f t="shared" si="204"/>
        <v>7428</v>
      </c>
      <c r="P131" s="32">
        <f t="shared" si="204"/>
        <v>9984</v>
      </c>
      <c r="Q131" s="32">
        <f t="shared" si="204"/>
        <v>14532</v>
      </c>
      <c r="R131" s="32">
        <f t="shared" si="204"/>
        <v>22297</v>
      </c>
      <c r="S131" s="32">
        <f t="shared" si="204"/>
        <v>31640</v>
      </c>
      <c r="T131" s="32">
        <f t="shared" si="204"/>
        <v>47791</v>
      </c>
      <c r="U131" s="32">
        <f t="shared" si="204"/>
        <v>76615</v>
      </c>
      <c r="V131" s="32">
        <f t="shared" si="204"/>
        <v>118210</v>
      </c>
      <c r="W131" s="32">
        <f t="shared" si="204"/>
        <v>123549</v>
      </c>
      <c r="X131" s="32">
        <f t="shared" si="204"/>
        <v>111547</v>
      </c>
      <c r="Y131" s="32">
        <f t="shared" si="204"/>
        <v>119355</v>
      </c>
      <c r="Z131" s="32">
        <f t="shared" si="204"/>
        <v>128249</v>
      </c>
      <c r="AA131" s="32">
        <f t="shared" si="204"/>
        <v>134047</v>
      </c>
      <c r="AB131" s="32">
        <f t="shared" si="204"/>
        <v>107147</v>
      </c>
      <c r="AC131" s="32">
        <f t="shared" si="204"/>
        <v>90488</v>
      </c>
      <c r="AD131" s="32">
        <f t="shared" si="204"/>
        <v>65339</v>
      </c>
      <c r="AE131" s="32">
        <f t="shared" si="204"/>
        <v>63090</v>
      </c>
      <c r="AF131" s="32">
        <f t="shared" si="204"/>
        <v>50672</v>
      </c>
      <c r="AG131" s="32">
        <f t="shared" si="204"/>
        <v>62146</v>
      </c>
      <c r="AH131" s="32">
        <f t="shared" si="204"/>
        <v>56950</v>
      </c>
      <c r="AI131" s="32">
        <f t="shared" si="204"/>
        <v>73733</v>
      </c>
    </row>
    <row r="132" spans="1:35">
      <c r="A132" s="17" t="s">
        <v>82</v>
      </c>
      <c r="B132" s="30">
        <f t="shared" ref="B132:AI132" si="205">B122+B131</f>
        <v>4223.6930000000002</v>
      </c>
      <c r="C132" s="30">
        <f t="shared" si="205"/>
        <v>5171.4120000000003</v>
      </c>
      <c r="D132" s="30">
        <f t="shared" si="205"/>
        <v>5302.746000000001</v>
      </c>
      <c r="E132" s="30">
        <f t="shared" si="205"/>
        <v>6231</v>
      </c>
      <c r="F132" s="30">
        <f t="shared" si="205"/>
        <v>5364</v>
      </c>
      <c r="G132" s="30">
        <f t="shared" si="205"/>
        <v>4233</v>
      </c>
      <c r="H132" s="30">
        <f t="shared" si="205"/>
        <v>4289</v>
      </c>
      <c r="I132" s="30">
        <f t="shared" si="205"/>
        <v>5161</v>
      </c>
      <c r="J132" s="30">
        <f t="shared" si="205"/>
        <v>6803</v>
      </c>
      <c r="K132" s="30">
        <f t="shared" si="205"/>
        <v>6021</v>
      </c>
      <c r="L132" s="30">
        <f t="shared" si="205"/>
        <v>6298</v>
      </c>
      <c r="M132" s="30">
        <f t="shared" si="205"/>
        <v>6815</v>
      </c>
      <c r="N132" s="30">
        <f t="shared" si="205"/>
        <v>8050</v>
      </c>
      <c r="O132" s="30">
        <f t="shared" si="205"/>
        <v>11516</v>
      </c>
      <c r="P132" s="30">
        <f t="shared" si="205"/>
        <v>17205</v>
      </c>
      <c r="Q132" s="30">
        <f t="shared" si="205"/>
        <v>25347</v>
      </c>
      <c r="R132" s="30">
        <f t="shared" si="205"/>
        <v>36171</v>
      </c>
      <c r="S132" s="30">
        <f t="shared" si="205"/>
        <v>47501</v>
      </c>
      <c r="T132" s="30">
        <f t="shared" si="205"/>
        <v>75183</v>
      </c>
      <c r="U132" s="30">
        <f t="shared" si="205"/>
        <v>116371</v>
      </c>
      <c r="V132" s="30">
        <f t="shared" si="205"/>
        <v>176064</v>
      </c>
      <c r="W132" s="30">
        <f t="shared" si="205"/>
        <v>207000</v>
      </c>
      <c r="X132" s="30">
        <f t="shared" si="205"/>
        <v>231839</v>
      </c>
      <c r="Y132" s="30">
        <f t="shared" si="205"/>
        <v>290479</v>
      </c>
      <c r="Z132" s="30">
        <f t="shared" si="205"/>
        <v>321686</v>
      </c>
      <c r="AA132" s="30">
        <f t="shared" si="205"/>
        <v>375319</v>
      </c>
      <c r="AB132" s="30">
        <f t="shared" si="205"/>
        <v>365725</v>
      </c>
      <c r="AC132" s="30">
        <f t="shared" si="205"/>
        <v>338516</v>
      </c>
      <c r="AD132" s="30">
        <f t="shared" si="205"/>
        <v>323888</v>
      </c>
      <c r="AE132" s="30">
        <f t="shared" si="205"/>
        <v>351002</v>
      </c>
      <c r="AF132" s="30">
        <f t="shared" si="205"/>
        <v>352755</v>
      </c>
      <c r="AG132" s="30">
        <f t="shared" si="205"/>
        <v>352583</v>
      </c>
      <c r="AH132" s="30">
        <f t="shared" si="205"/>
        <v>364980</v>
      </c>
      <c r="AI132" s="30">
        <f t="shared" si="205"/>
        <v>359241</v>
      </c>
    </row>
    <row r="133" spans="1:35">
      <c r="A133" s="4"/>
      <c r="B133" s="6"/>
      <c r="C133" s="6"/>
      <c r="D133" s="6"/>
      <c r="E133" s="6"/>
      <c r="F133" s="6"/>
      <c r="G133" s="6"/>
      <c r="H133" s="6"/>
      <c r="I133" s="6"/>
      <c r="J133" s="6"/>
      <c r="K133" s="6"/>
      <c r="L133" s="6"/>
      <c r="M133" s="6"/>
      <c r="N133" s="6"/>
      <c r="O133" s="6"/>
      <c r="P133" s="6"/>
      <c r="Q133" s="6"/>
      <c r="R133" s="6"/>
      <c r="S133" s="6"/>
      <c r="T133" s="6"/>
      <c r="U133" s="6"/>
      <c r="V133" s="6"/>
      <c r="W133" s="6"/>
      <c r="X133" s="8"/>
      <c r="Y133" s="8"/>
      <c r="Z133" s="8"/>
      <c r="AA133" s="8"/>
      <c r="AB133" s="8"/>
      <c r="AC133" s="8"/>
      <c r="AD133" s="8"/>
      <c r="AE133" s="8"/>
      <c r="AF133" s="8"/>
      <c r="AG133" s="8"/>
      <c r="AH133" s="8"/>
      <c r="AI133" s="8"/>
    </row>
    <row r="134" spans="1:35">
      <c r="A134" s="4"/>
      <c r="B134" s="6"/>
      <c r="C134" s="6"/>
      <c r="D134" s="6"/>
      <c r="E134" s="6"/>
      <c r="F134" s="6"/>
      <c r="G134" s="6"/>
      <c r="H134" s="6"/>
      <c r="I134" s="6"/>
      <c r="J134" s="6"/>
      <c r="K134" s="6"/>
      <c r="L134" s="6"/>
      <c r="M134" s="6"/>
      <c r="N134" s="6"/>
      <c r="O134" s="6"/>
      <c r="P134" s="6"/>
      <c r="Q134" s="6"/>
      <c r="R134" s="6"/>
      <c r="S134" s="6"/>
      <c r="T134" s="6"/>
      <c r="U134" s="6"/>
      <c r="V134" s="6"/>
      <c r="W134" s="6"/>
      <c r="X134" s="8"/>
      <c r="Y134" s="8"/>
      <c r="Z134" s="8"/>
      <c r="AA134" s="8"/>
      <c r="AB134" s="8"/>
      <c r="AC134" s="8"/>
      <c r="AD134" s="8"/>
      <c r="AE134" s="8"/>
      <c r="AF134" s="8"/>
      <c r="AG134" s="8"/>
      <c r="AH134" s="8"/>
      <c r="AI134" s="8"/>
    </row>
    <row r="135" spans="1:35" ht="15.15" customHeight="1">
      <c r="A135" s="15" t="s">
        <v>83</v>
      </c>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row>
    <row r="136" spans="1:35">
      <c r="A136" s="4" t="s">
        <v>84</v>
      </c>
      <c r="B136" s="6">
        <v>604.14700000000005</v>
      </c>
      <c r="C136" s="6">
        <v>498.55700000000002</v>
      </c>
      <c r="D136" s="6">
        <v>676.41300000000001</v>
      </c>
      <c r="E136" s="6">
        <v>1203</v>
      </c>
      <c r="F136" s="6">
        <v>756</v>
      </c>
      <c r="G136" s="6">
        <v>1552</v>
      </c>
      <c r="H136" s="6">
        <v>1230</v>
      </c>
      <c r="I136" s="6">
        <v>1481</v>
      </c>
      <c r="J136" s="6">
        <v>1326</v>
      </c>
      <c r="K136" s="6">
        <v>1191</v>
      </c>
      <c r="L136" s="6">
        <v>2310</v>
      </c>
      <c r="M136" s="6">
        <v>2252</v>
      </c>
      <c r="N136" s="6">
        <v>3396</v>
      </c>
      <c r="O136" s="6">
        <v>2969</v>
      </c>
      <c r="P136" s="6">
        <v>3491</v>
      </c>
      <c r="Q136" s="6">
        <v>6392</v>
      </c>
      <c r="R136" s="6">
        <v>9352</v>
      </c>
      <c r="S136" s="6">
        <v>11875</v>
      </c>
      <c r="T136" s="6">
        <v>5263</v>
      </c>
      <c r="U136" s="6">
        <v>11261</v>
      </c>
      <c r="V136" s="6">
        <v>9815</v>
      </c>
      <c r="W136" s="6">
        <v>10746</v>
      </c>
      <c r="X136" s="8">
        <v>14259</v>
      </c>
      <c r="Y136" s="8">
        <v>13844</v>
      </c>
      <c r="Z136" s="8">
        <v>21120</v>
      </c>
      <c r="AA136" s="8">
        <v>20484</v>
      </c>
      <c r="AB136" s="8">
        <v>20289</v>
      </c>
      <c r="AC136" s="8">
        <v>25913</v>
      </c>
      <c r="AD136" s="8">
        <v>50224</v>
      </c>
      <c r="AE136" s="8">
        <v>39789</v>
      </c>
      <c r="AF136" s="8">
        <v>35929</v>
      </c>
      <c r="AG136" s="8">
        <v>24977</v>
      </c>
      <c r="AH136" s="8">
        <v>30737</v>
      </c>
      <c r="AI136" s="8">
        <v>29943</v>
      </c>
    </row>
    <row r="137" spans="1:35">
      <c r="A137" s="17" t="s">
        <v>30</v>
      </c>
      <c r="B137" s="20">
        <v>530.37300000000005</v>
      </c>
      <c r="C137" s="20">
        <v>86.588999999999999</v>
      </c>
      <c r="D137" s="20">
        <v>310.178</v>
      </c>
      <c r="E137" s="20">
        <v>424</v>
      </c>
      <c r="F137" s="38">
        <v>-816</v>
      </c>
      <c r="G137" s="38">
        <v>-1045</v>
      </c>
      <c r="H137" s="20">
        <v>309</v>
      </c>
      <c r="I137" s="20">
        <v>601</v>
      </c>
      <c r="J137" s="20">
        <v>786</v>
      </c>
      <c r="K137" s="38">
        <v>-25</v>
      </c>
      <c r="L137" s="20">
        <v>65</v>
      </c>
      <c r="M137" s="20">
        <v>69</v>
      </c>
      <c r="N137" s="20">
        <v>276</v>
      </c>
      <c r="O137" s="20">
        <v>1335</v>
      </c>
      <c r="P137" s="20">
        <v>1989</v>
      </c>
      <c r="Q137" s="20">
        <v>3495</v>
      </c>
      <c r="R137" s="20">
        <v>6119</v>
      </c>
      <c r="S137" s="20">
        <v>8235</v>
      </c>
      <c r="T137" s="20">
        <v>14013</v>
      </c>
      <c r="U137" s="20">
        <v>25922</v>
      </c>
      <c r="V137" s="20">
        <v>41733</v>
      </c>
      <c r="W137" s="20">
        <v>37037</v>
      </c>
      <c r="X137" s="19">
        <f t="shared" ref="X137:AI137" si="206">X65</f>
        <v>39510</v>
      </c>
      <c r="Y137" s="19">
        <f t="shared" si="206"/>
        <v>53394</v>
      </c>
      <c r="Z137" s="19">
        <f t="shared" si="206"/>
        <v>45687</v>
      </c>
      <c r="AA137" s="19">
        <f t="shared" si="206"/>
        <v>48351</v>
      </c>
      <c r="AB137" s="19">
        <f t="shared" si="206"/>
        <v>59531</v>
      </c>
      <c r="AC137" s="19">
        <f t="shared" si="206"/>
        <v>55256</v>
      </c>
      <c r="AD137" s="19">
        <f t="shared" si="206"/>
        <v>57411</v>
      </c>
      <c r="AE137" s="19">
        <f t="shared" si="206"/>
        <v>94680</v>
      </c>
      <c r="AF137" s="19">
        <f t="shared" si="206"/>
        <v>99803</v>
      </c>
      <c r="AG137" s="19">
        <f t="shared" si="206"/>
        <v>96995</v>
      </c>
      <c r="AH137" s="19">
        <f t="shared" si="206"/>
        <v>93736</v>
      </c>
      <c r="AI137" s="19">
        <f t="shared" si="206"/>
        <v>112010</v>
      </c>
    </row>
    <row r="138" spans="1:35">
      <c r="A138" s="4" t="s">
        <v>85</v>
      </c>
      <c r="B138" s="6">
        <v>0</v>
      </c>
      <c r="C138" s="6">
        <v>0</v>
      </c>
      <c r="D138" s="6">
        <v>0</v>
      </c>
      <c r="E138" s="6">
        <v>0</v>
      </c>
      <c r="F138" s="6">
        <v>0</v>
      </c>
      <c r="G138" s="6">
        <v>0</v>
      </c>
      <c r="H138" s="6">
        <v>0</v>
      </c>
      <c r="I138" s="6">
        <v>0</v>
      </c>
      <c r="J138" s="6">
        <v>0</v>
      </c>
      <c r="K138" s="33">
        <v>-12</v>
      </c>
      <c r="L138" s="6">
        <v>0</v>
      </c>
      <c r="M138" s="33">
        <v>-1</v>
      </c>
      <c r="N138" s="6">
        <v>0</v>
      </c>
      <c r="O138" s="6">
        <v>0</v>
      </c>
      <c r="P138" s="6">
        <v>0</v>
      </c>
      <c r="Q138" s="6">
        <v>0</v>
      </c>
      <c r="R138" s="6">
        <v>0</v>
      </c>
      <c r="S138" s="6">
        <v>0</v>
      </c>
      <c r="T138" s="6">
        <v>0</v>
      </c>
      <c r="U138" s="6">
        <v>0</v>
      </c>
      <c r="V138" s="6">
        <v>0</v>
      </c>
      <c r="W138" s="6">
        <v>0</v>
      </c>
      <c r="X138" s="8">
        <v>0</v>
      </c>
      <c r="Y138" s="8">
        <v>0</v>
      </c>
      <c r="Z138" s="8">
        <v>0</v>
      </c>
      <c r="AA138" s="8">
        <v>0</v>
      </c>
      <c r="AB138" s="8">
        <v>0</v>
      </c>
      <c r="AC138" s="8">
        <v>0</v>
      </c>
      <c r="AD138" s="8">
        <v>0</v>
      </c>
      <c r="AE138" s="8">
        <v>0</v>
      </c>
      <c r="AF138" s="8">
        <v>0</v>
      </c>
      <c r="AG138" s="8">
        <v>0</v>
      </c>
      <c r="AH138" s="8">
        <v>0</v>
      </c>
      <c r="AI138" s="8">
        <v>0</v>
      </c>
    </row>
    <row r="139" spans="1:35">
      <c r="A139" s="4" t="s">
        <v>86</v>
      </c>
      <c r="B139" s="6">
        <v>217.18200000000002</v>
      </c>
      <c r="C139" s="6">
        <v>166.113</v>
      </c>
      <c r="D139" s="6">
        <v>167.958</v>
      </c>
      <c r="E139" s="6">
        <v>127</v>
      </c>
      <c r="F139" s="6">
        <v>156</v>
      </c>
      <c r="G139" s="6">
        <v>118</v>
      </c>
      <c r="H139" s="6">
        <v>111</v>
      </c>
      <c r="I139" s="6">
        <v>85</v>
      </c>
      <c r="J139" s="6">
        <v>84</v>
      </c>
      <c r="K139" s="6">
        <v>102</v>
      </c>
      <c r="L139" s="6">
        <v>118</v>
      </c>
      <c r="M139" s="6">
        <v>113</v>
      </c>
      <c r="N139" s="6">
        <v>150</v>
      </c>
      <c r="O139" s="6">
        <v>179</v>
      </c>
      <c r="P139" s="6">
        <v>225</v>
      </c>
      <c r="Q139" s="6">
        <v>327</v>
      </c>
      <c r="R139" s="6">
        <v>496</v>
      </c>
      <c r="S139" s="6">
        <v>734</v>
      </c>
      <c r="T139" s="6">
        <v>1027</v>
      </c>
      <c r="U139" s="6">
        <v>1814</v>
      </c>
      <c r="V139" s="6">
        <v>3277</v>
      </c>
      <c r="W139" s="6">
        <v>6757</v>
      </c>
      <c r="X139" s="8">
        <v>7946</v>
      </c>
      <c r="Y139" s="8">
        <v>11257</v>
      </c>
      <c r="Z139" s="8">
        <v>10505</v>
      </c>
      <c r="AA139" s="8">
        <v>10157</v>
      </c>
      <c r="AB139" s="8">
        <v>10903</v>
      </c>
      <c r="AC139" s="8">
        <v>12547</v>
      </c>
      <c r="AD139" s="8">
        <v>11056</v>
      </c>
      <c r="AE139" s="8">
        <v>11284</v>
      </c>
      <c r="AF139" s="8">
        <v>11104</v>
      </c>
      <c r="AG139" s="8">
        <v>11519</v>
      </c>
      <c r="AH139" s="8">
        <v>11445</v>
      </c>
      <c r="AI139" s="8">
        <v>11698</v>
      </c>
    </row>
    <row r="140" spans="1:35">
      <c r="A140" s="4" t="s">
        <v>87</v>
      </c>
      <c r="B140" s="6">
        <v>14.686999999999999</v>
      </c>
      <c r="C140" s="6">
        <v>13.145</v>
      </c>
      <c r="D140" s="6">
        <v>11.13</v>
      </c>
      <c r="E140" s="6">
        <v>6</v>
      </c>
      <c r="F140" s="6">
        <v>70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8">
        <v>0</v>
      </c>
      <c r="Y140" s="8">
        <v>0</v>
      </c>
      <c r="Z140" s="8">
        <v>0</v>
      </c>
      <c r="AA140" s="8">
        <v>0</v>
      </c>
      <c r="AB140" s="8">
        <v>0</v>
      </c>
      <c r="AC140" s="8">
        <v>0</v>
      </c>
      <c r="AD140" s="8">
        <v>0</v>
      </c>
      <c r="AE140" s="8">
        <v>0</v>
      </c>
      <c r="AF140" s="8">
        <v>0</v>
      </c>
      <c r="AG140" s="8">
        <v>0</v>
      </c>
      <c r="AH140" s="8">
        <v>0</v>
      </c>
      <c r="AI140" s="8">
        <v>0</v>
      </c>
    </row>
    <row r="141" spans="1:35">
      <c r="A141" s="4" t="s">
        <v>88</v>
      </c>
      <c r="B141" s="6">
        <v>0</v>
      </c>
      <c r="C141" s="6">
        <v>0</v>
      </c>
      <c r="D141" s="6">
        <v>0</v>
      </c>
      <c r="E141" s="6">
        <v>0</v>
      </c>
      <c r="F141" s="6">
        <v>0</v>
      </c>
      <c r="G141" s="33">
        <v>-50</v>
      </c>
      <c r="H141" s="6">
        <v>1</v>
      </c>
      <c r="I141" s="33">
        <v>-35</v>
      </c>
      <c r="J141" s="6">
        <v>163</v>
      </c>
      <c r="K141" s="33">
        <v>-36</v>
      </c>
      <c r="L141" s="33">
        <v>-34</v>
      </c>
      <c r="M141" s="33">
        <v>-11</v>
      </c>
      <c r="N141" s="6">
        <v>20</v>
      </c>
      <c r="O141" s="6">
        <v>52</v>
      </c>
      <c r="P141" s="6">
        <v>53</v>
      </c>
      <c r="Q141" s="6">
        <v>73</v>
      </c>
      <c r="R141" s="6">
        <v>398</v>
      </c>
      <c r="S141" s="6">
        <v>1040</v>
      </c>
      <c r="T141" s="6">
        <v>1440</v>
      </c>
      <c r="U141" s="6">
        <v>2868</v>
      </c>
      <c r="V141" s="6">
        <v>4405</v>
      </c>
      <c r="W141" s="6">
        <v>1141</v>
      </c>
      <c r="X141" s="8">
        <v>2347</v>
      </c>
      <c r="Y141" s="8">
        <v>1382</v>
      </c>
      <c r="Z141" s="8">
        <v>4938</v>
      </c>
      <c r="AA141" s="8">
        <v>5966</v>
      </c>
      <c r="AB141" s="37">
        <v>-32590</v>
      </c>
      <c r="AC141" s="37">
        <v>-340</v>
      </c>
      <c r="AD141" s="37">
        <v>-215</v>
      </c>
      <c r="AE141" s="37">
        <v>-4774</v>
      </c>
      <c r="AF141" s="8">
        <v>895</v>
      </c>
      <c r="AG141" s="8">
        <v>0</v>
      </c>
      <c r="AH141" s="8">
        <v>0</v>
      </c>
      <c r="AI141" s="8">
        <v>0</v>
      </c>
    </row>
    <row r="142" spans="1:35">
      <c r="A142" s="4" t="s">
        <v>89</v>
      </c>
      <c r="B142" s="6">
        <v>0</v>
      </c>
      <c r="C142" s="6">
        <v>0</v>
      </c>
      <c r="D142" s="6">
        <v>0</v>
      </c>
      <c r="E142" s="6">
        <v>0</v>
      </c>
      <c r="F142" s="6">
        <v>0</v>
      </c>
      <c r="G142" s="6">
        <v>0</v>
      </c>
      <c r="H142" s="6">
        <v>0</v>
      </c>
      <c r="I142" s="6">
        <v>0</v>
      </c>
      <c r="J142" s="6">
        <v>0</v>
      </c>
      <c r="K142" s="6">
        <v>0</v>
      </c>
      <c r="L142" s="6">
        <v>0</v>
      </c>
      <c r="M142" s="6">
        <v>16</v>
      </c>
      <c r="N142" s="6">
        <v>33</v>
      </c>
      <c r="O142" s="6">
        <v>42</v>
      </c>
      <c r="P142" s="6">
        <v>163</v>
      </c>
      <c r="Q142" s="6">
        <v>242</v>
      </c>
      <c r="R142" s="6">
        <v>516</v>
      </c>
      <c r="S142" s="6">
        <v>710</v>
      </c>
      <c r="T142" s="6">
        <v>879</v>
      </c>
      <c r="U142" s="6">
        <v>1168</v>
      </c>
      <c r="V142" s="6">
        <v>1740</v>
      </c>
      <c r="W142" s="6">
        <v>2253</v>
      </c>
      <c r="X142" s="8">
        <v>2863</v>
      </c>
      <c r="Y142" s="8">
        <v>3586</v>
      </c>
      <c r="Z142" s="8">
        <v>4210</v>
      </c>
      <c r="AA142" s="8">
        <v>4840</v>
      </c>
      <c r="AB142" s="37">
        <v>5340</v>
      </c>
      <c r="AC142" s="37">
        <v>6068</v>
      </c>
      <c r="AD142" s="37">
        <v>6829</v>
      </c>
      <c r="AE142" s="8">
        <v>7906</v>
      </c>
      <c r="AF142" s="8">
        <v>9038</v>
      </c>
      <c r="AG142" s="8">
        <v>10833</v>
      </c>
      <c r="AH142" s="8">
        <v>11688</v>
      </c>
      <c r="AI142" s="8">
        <v>12863</v>
      </c>
    </row>
    <row r="143" spans="1:35">
      <c r="A143" s="4" t="s">
        <v>90</v>
      </c>
      <c r="B143" s="6">
        <v>0</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8">
        <v>0</v>
      </c>
      <c r="Y143" s="8">
        <v>0</v>
      </c>
      <c r="Z143" s="8">
        <v>0</v>
      </c>
      <c r="AA143" s="37">
        <v>-166</v>
      </c>
      <c r="AB143" s="37">
        <v>-444</v>
      </c>
      <c r="AC143" s="37">
        <v>-652</v>
      </c>
      <c r="AD143" s="37">
        <v>-97</v>
      </c>
      <c r="AE143" s="37">
        <v>-147</v>
      </c>
      <c r="AF143" s="8">
        <v>111</v>
      </c>
      <c r="AG143" s="37">
        <v>-2227</v>
      </c>
      <c r="AH143" s="37">
        <v>-2266</v>
      </c>
      <c r="AI143" s="37">
        <v>-89</v>
      </c>
    </row>
    <row r="144" spans="1:35">
      <c r="A144" s="4" t="s">
        <v>91</v>
      </c>
      <c r="B144" s="6">
        <v>0</v>
      </c>
      <c r="C144" s="6">
        <v>0</v>
      </c>
      <c r="D144" s="6">
        <v>0</v>
      </c>
      <c r="E144" s="6">
        <v>0</v>
      </c>
      <c r="F144" s="6">
        <v>0</v>
      </c>
      <c r="G144" s="6">
        <v>0</v>
      </c>
      <c r="H144" s="6">
        <v>0</v>
      </c>
      <c r="I144" s="6">
        <v>0</v>
      </c>
      <c r="J144" s="6">
        <v>0</v>
      </c>
      <c r="K144" s="6">
        <v>0</v>
      </c>
      <c r="L144" s="6">
        <v>0</v>
      </c>
      <c r="M144" s="6">
        <v>12</v>
      </c>
      <c r="N144" s="6">
        <v>5</v>
      </c>
      <c r="O144" s="6">
        <v>0</v>
      </c>
      <c r="P144" s="6">
        <v>0</v>
      </c>
      <c r="Q144" s="6">
        <v>0</v>
      </c>
      <c r="R144" s="6">
        <v>0</v>
      </c>
      <c r="S144" s="6">
        <v>0</v>
      </c>
      <c r="T144" s="6">
        <v>0</v>
      </c>
      <c r="U144" s="6">
        <v>0</v>
      </c>
      <c r="V144" s="6">
        <v>0</v>
      </c>
      <c r="W144" s="6">
        <v>0</v>
      </c>
      <c r="X144" s="8">
        <v>0</v>
      </c>
      <c r="Y144" s="8">
        <v>0</v>
      </c>
      <c r="Z144" s="8">
        <v>0</v>
      </c>
      <c r="AA144" s="8">
        <v>0</v>
      </c>
      <c r="AB144" s="8">
        <v>0</v>
      </c>
      <c r="AC144" s="8">
        <v>0</v>
      </c>
      <c r="AD144" s="8">
        <v>0</v>
      </c>
      <c r="AE144" s="8">
        <v>0</v>
      </c>
      <c r="AF144" s="8">
        <v>0</v>
      </c>
      <c r="AG144" s="8">
        <v>0</v>
      </c>
      <c r="AH144" s="8">
        <v>0</v>
      </c>
      <c r="AI144" s="8">
        <v>0</v>
      </c>
    </row>
    <row r="145" spans="1:35">
      <c r="A145" s="4" t="s">
        <v>92</v>
      </c>
      <c r="B145" s="6">
        <v>0</v>
      </c>
      <c r="C145" s="6">
        <v>0</v>
      </c>
      <c r="D145" s="6">
        <v>0</v>
      </c>
      <c r="E145" s="6">
        <v>0</v>
      </c>
      <c r="F145" s="6">
        <v>0</v>
      </c>
      <c r="G145" s="6">
        <v>37</v>
      </c>
      <c r="H145" s="6">
        <v>0</v>
      </c>
      <c r="I145" s="6">
        <v>0</v>
      </c>
      <c r="J145" s="6">
        <v>10</v>
      </c>
      <c r="K145" s="6">
        <v>9</v>
      </c>
      <c r="L145" s="6">
        <v>7</v>
      </c>
      <c r="M145" s="6">
        <v>2</v>
      </c>
      <c r="N145" s="6">
        <v>7</v>
      </c>
      <c r="O145" s="6">
        <v>9</v>
      </c>
      <c r="P145" s="6">
        <v>15</v>
      </c>
      <c r="Q145" s="6">
        <v>12</v>
      </c>
      <c r="R145" s="6">
        <v>22</v>
      </c>
      <c r="S145" s="6">
        <v>0</v>
      </c>
      <c r="T145" s="6">
        <v>0</v>
      </c>
      <c r="U145" s="6">
        <v>0</v>
      </c>
      <c r="V145" s="6">
        <v>0</v>
      </c>
      <c r="W145" s="6">
        <v>0</v>
      </c>
      <c r="X145" s="8">
        <v>0</v>
      </c>
      <c r="Y145" s="8">
        <v>0</v>
      </c>
      <c r="Z145" s="8">
        <v>0</v>
      </c>
      <c r="AA145" s="8">
        <v>0</v>
      </c>
      <c r="AB145" s="8">
        <v>0</v>
      </c>
      <c r="AC145" s="8">
        <v>0</v>
      </c>
      <c r="AD145" s="8">
        <v>0</v>
      </c>
      <c r="AE145" s="8">
        <v>0</v>
      </c>
      <c r="AF145" s="8">
        <v>0</v>
      </c>
      <c r="AG145" s="8">
        <v>0</v>
      </c>
      <c r="AH145" s="8">
        <v>0</v>
      </c>
      <c r="AI145" s="8">
        <v>0</v>
      </c>
    </row>
    <row r="146" spans="1:35">
      <c r="A146" s="4" t="s">
        <v>93</v>
      </c>
      <c r="B146" s="6">
        <v>0</v>
      </c>
      <c r="C146" s="6">
        <v>0</v>
      </c>
      <c r="D146" s="6">
        <v>0</v>
      </c>
      <c r="E146" s="6">
        <v>0</v>
      </c>
      <c r="F146" s="6">
        <v>0</v>
      </c>
      <c r="G146" s="6">
        <v>0</v>
      </c>
      <c r="H146" s="33">
        <v>-40</v>
      </c>
      <c r="I146" s="33">
        <v>-230</v>
      </c>
      <c r="J146" s="33">
        <v>-367</v>
      </c>
      <c r="K146" s="33">
        <v>-88</v>
      </c>
      <c r="L146" s="6">
        <v>35</v>
      </c>
      <c r="M146" s="33">
        <v>-37</v>
      </c>
      <c r="N146" s="33">
        <v>-5</v>
      </c>
      <c r="O146" s="6">
        <v>0</v>
      </c>
      <c r="P146" s="6">
        <v>0</v>
      </c>
      <c r="Q146" s="6">
        <v>0</v>
      </c>
      <c r="R146" s="6">
        <v>0</v>
      </c>
      <c r="S146" s="6">
        <v>0</v>
      </c>
      <c r="T146" s="6">
        <v>0</v>
      </c>
      <c r="U146" s="6">
        <v>0</v>
      </c>
      <c r="V146" s="6">
        <v>0</v>
      </c>
      <c r="W146" s="6">
        <v>0</v>
      </c>
      <c r="X146" s="8">
        <v>0</v>
      </c>
      <c r="Y146" s="8">
        <v>0</v>
      </c>
      <c r="Z146" s="8">
        <v>0</v>
      </c>
      <c r="AA146" s="8">
        <v>0</v>
      </c>
      <c r="AB146" s="8">
        <v>0</v>
      </c>
      <c r="AC146" s="8">
        <v>0</v>
      </c>
      <c r="AD146" s="8">
        <v>0</v>
      </c>
      <c r="AE146" s="8">
        <v>0</v>
      </c>
      <c r="AF146" s="8">
        <v>0</v>
      </c>
      <c r="AG146" s="8">
        <v>0</v>
      </c>
      <c r="AH146" s="8">
        <v>0</v>
      </c>
      <c r="AI146" s="8">
        <v>0</v>
      </c>
    </row>
    <row r="147" spans="1:35">
      <c r="A147" s="4" t="s">
        <v>22</v>
      </c>
      <c r="B147" s="6">
        <v>0</v>
      </c>
      <c r="C147" s="6">
        <v>0</v>
      </c>
      <c r="D147" s="6">
        <v>0</v>
      </c>
      <c r="E147" s="6">
        <v>0</v>
      </c>
      <c r="F147" s="6">
        <v>0</v>
      </c>
      <c r="G147" s="6">
        <v>0</v>
      </c>
      <c r="H147" s="6">
        <v>0</v>
      </c>
      <c r="I147" s="6">
        <v>0</v>
      </c>
      <c r="J147" s="6">
        <v>0</v>
      </c>
      <c r="K147" s="6">
        <v>13</v>
      </c>
      <c r="L147" s="6">
        <v>0</v>
      </c>
      <c r="M147" s="6">
        <v>0</v>
      </c>
      <c r="N147" s="6">
        <v>0</v>
      </c>
      <c r="O147" s="6">
        <v>0</v>
      </c>
      <c r="P147" s="6">
        <v>0</v>
      </c>
      <c r="Q147" s="6">
        <v>0</v>
      </c>
      <c r="R147" s="6">
        <v>0</v>
      </c>
      <c r="S147" s="6">
        <v>0</v>
      </c>
      <c r="T147" s="6">
        <v>0</v>
      </c>
      <c r="U147" s="6">
        <v>0</v>
      </c>
      <c r="V147" s="6">
        <v>0</v>
      </c>
      <c r="W147" s="6">
        <v>0</v>
      </c>
      <c r="X147" s="8">
        <v>0</v>
      </c>
      <c r="Y147" s="8">
        <v>0</v>
      </c>
      <c r="Z147" s="8">
        <v>0</v>
      </c>
      <c r="AA147" s="8">
        <v>0</v>
      </c>
      <c r="AB147" s="8">
        <v>0</v>
      </c>
      <c r="AC147" s="8">
        <v>0</v>
      </c>
      <c r="AD147" s="8">
        <v>0</v>
      </c>
      <c r="AE147" s="8">
        <v>0</v>
      </c>
      <c r="AF147" s="8">
        <v>0</v>
      </c>
      <c r="AG147" s="8">
        <v>0</v>
      </c>
      <c r="AH147" s="8">
        <v>0</v>
      </c>
      <c r="AI147" s="8">
        <v>0</v>
      </c>
    </row>
    <row r="148" spans="1:35">
      <c r="A148" s="4" t="s">
        <v>94</v>
      </c>
      <c r="B148" s="6">
        <v>0</v>
      </c>
      <c r="C148" s="6">
        <v>0</v>
      </c>
      <c r="D148" s="6">
        <v>0</v>
      </c>
      <c r="E148" s="6">
        <v>0</v>
      </c>
      <c r="F148" s="6">
        <v>0</v>
      </c>
      <c r="G148" s="6">
        <v>375</v>
      </c>
      <c r="H148" s="6">
        <v>7</v>
      </c>
      <c r="I148" s="6">
        <v>0</v>
      </c>
      <c r="J148" s="6">
        <v>0</v>
      </c>
      <c r="K148" s="6">
        <v>11</v>
      </c>
      <c r="L148" s="6">
        <v>1</v>
      </c>
      <c r="M148" s="6">
        <v>0</v>
      </c>
      <c r="N148" s="6">
        <v>0</v>
      </c>
      <c r="O148" s="6">
        <v>0</v>
      </c>
      <c r="P148" s="6">
        <v>0</v>
      </c>
      <c r="Q148" s="6">
        <v>0</v>
      </c>
      <c r="R148" s="6">
        <v>0</v>
      </c>
      <c r="S148" s="6">
        <v>0</v>
      </c>
      <c r="T148" s="6">
        <v>0</v>
      </c>
      <c r="U148" s="6">
        <v>0</v>
      </c>
      <c r="V148" s="6">
        <v>0</v>
      </c>
      <c r="W148" s="6">
        <v>0</v>
      </c>
      <c r="X148" s="8">
        <v>0</v>
      </c>
      <c r="Y148" s="8">
        <v>0</v>
      </c>
      <c r="Z148" s="8">
        <v>0</v>
      </c>
      <c r="AA148" s="8">
        <v>0</v>
      </c>
      <c r="AB148" s="8">
        <v>0</v>
      </c>
      <c r="AC148" s="8">
        <v>0</v>
      </c>
      <c r="AD148" s="8">
        <v>0</v>
      </c>
      <c r="AE148" s="8">
        <v>0</v>
      </c>
      <c r="AF148" s="8">
        <v>0</v>
      </c>
      <c r="AG148" s="8">
        <v>0</v>
      </c>
      <c r="AH148" s="8">
        <v>0</v>
      </c>
      <c r="AI148" s="8">
        <v>0</v>
      </c>
    </row>
    <row r="149" spans="1:35">
      <c r="A149" s="4" t="s">
        <v>95</v>
      </c>
      <c r="B149" s="6">
        <v>0</v>
      </c>
      <c r="C149" s="6">
        <v>0</v>
      </c>
      <c r="D149" s="6">
        <v>0</v>
      </c>
      <c r="E149" s="6">
        <v>0</v>
      </c>
      <c r="F149" s="6">
        <v>0</v>
      </c>
      <c r="G149" s="6">
        <v>0</v>
      </c>
      <c r="H149" s="6">
        <v>0</v>
      </c>
      <c r="I149" s="6">
        <v>0</v>
      </c>
      <c r="J149" s="6">
        <v>0</v>
      </c>
      <c r="K149" s="6">
        <v>0</v>
      </c>
      <c r="L149" s="6">
        <v>0</v>
      </c>
      <c r="M149" s="6">
        <v>7</v>
      </c>
      <c r="N149" s="6">
        <v>99</v>
      </c>
      <c r="O149" s="6">
        <v>453</v>
      </c>
      <c r="P149" s="6">
        <v>0</v>
      </c>
      <c r="Q149" s="6">
        <v>0</v>
      </c>
      <c r="R149" s="6">
        <v>0</v>
      </c>
      <c r="S149" s="6">
        <v>0</v>
      </c>
      <c r="T149" s="6">
        <v>0</v>
      </c>
      <c r="U149" s="6">
        <v>0</v>
      </c>
      <c r="V149" s="6">
        <v>0</v>
      </c>
      <c r="W149" s="6">
        <v>0</v>
      </c>
      <c r="X149" s="8">
        <v>0</v>
      </c>
      <c r="Y149" s="8">
        <v>0</v>
      </c>
      <c r="Z149" s="8">
        <v>0</v>
      </c>
      <c r="AA149" s="8">
        <v>0</v>
      </c>
      <c r="AB149" s="8">
        <v>0</v>
      </c>
      <c r="AC149" s="8">
        <v>0</v>
      </c>
      <c r="AD149" s="8">
        <v>0</v>
      </c>
      <c r="AE149" s="8">
        <v>0</v>
      </c>
      <c r="AF149" s="8">
        <v>0</v>
      </c>
      <c r="AG149" s="8">
        <v>0</v>
      </c>
      <c r="AH149" s="8">
        <v>0</v>
      </c>
      <c r="AI149" s="8">
        <v>0</v>
      </c>
    </row>
    <row r="150" spans="1:35">
      <c r="A150" s="4" t="s">
        <v>96</v>
      </c>
      <c r="B150" s="33">
        <v>-180.02600000000001</v>
      </c>
      <c r="C150" s="33">
        <v>-294.76100000000002</v>
      </c>
      <c r="D150" s="33">
        <v>-199.40100000000001</v>
      </c>
      <c r="E150" s="33">
        <v>-350</v>
      </c>
      <c r="F150" s="6">
        <v>435</v>
      </c>
      <c r="G150" s="6">
        <v>469</v>
      </c>
      <c r="H150" s="6">
        <v>72</v>
      </c>
      <c r="I150" s="6">
        <v>274</v>
      </c>
      <c r="J150" s="33">
        <v>-272</v>
      </c>
      <c r="K150" s="6">
        <v>487</v>
      </c>
      <c r="L150" s="33">
        <v>-99</v>
      </c>
      <c r="M150" s="33">
        <v>-201</v>
      </c>
      <c r="N150" s="33">
        <v>-8</v>
      </c>
      <c r="O150" s="33">
        <v>-121</v>
      </c>
      <c r="P150" s="33">
        <v>-357</v>
      </c>
      <c r="Q150" s="33">
        <v>-385</v>
      </c>
      <c r="R150" s="33">
        <v>-785</v>
      </c>
      <c r="S150" s="33">
        <v>-939</v>
      </c>
      <c r="T150" s="33">
        <v>-2142</v>
      </c>
      <c r="U150" s="6">
        <v>143</v>
      </c>
      <c r="V150" s="33">
        <v>-5551</v>
      </c>
      <c r="W150" s="33">
        <v>-2172</v>
      </c>
      <c r="X150" s="37">
        <v>-4232</v>
      </c>
      <c r="Y150" s="8">
        <v>611</v>
      </c>
      <c r="Z150" s="8">
        <v>1095</v>
      </c>
      <c r="AA150" s="37">
        <v>-2093</v>
      </c>
      <c r="AB150" s="37">
        <v>-5322</v>
      </c>
      <c r="AC150" s="8">
        <v>245</v>
      </c>
      <c r="AD150" s="8">
        <v>6917</v>
      </c>
      <c r="AE150" s="37">
        <v>-10125</v>
      </c>
      <c r="AF150" s="37">
        <v>-1823</v>
      </c>
      <c r="AG150" s="37">
        <v>-1688</v>
      </c>
      <c r="AH150" s="37">
        <v>-3788</v>
      </c>
      <c r="AI150" s="37">
        <v>-6682</v>
      </c>
    </row>
    <row r="151" spans="1:35">
      <c r="A151" s="4" t="s">
        <v>97</v>
      </c>
      <c r="B151" s="6">
        <v>91.558000000000007</v>
      </c>
      <c r="C151" s="33">
        <v>-926.54100000000005</v>
      </c>
      <c r="D151" s="6">
        <v>418.20400000000001</v>
      </c>
      <c r="E151" s="33">
        <v>-687</v>
      </c>
      <c r="F151" s="6">
        <v>1113</v>
      </c>
      <c r="G151" s="6">
        <v>225</v>
      </c>
      <c r="H151" s="6">
        <v>359</v>
      </c>
      <c r="I151" s="6">
        <v>58</v>
      </c>
      <c r="J151" s="33">
        <v>-13</v>
      </c>
      <c r="K151" s="6">
        <v>22</v>
      </c>
      <c r="L151" s="33">
        <v>-34</v>
      </c>
      <c r="M151" s="33">
        <v>-11</v>
      </c>
      <c r="N151" s="33">
        <v>-45</v>
      </c>
      <c r="O151" s="33">
        <v>-64</v>
      </c>
      <c r="P151" s="33">
        <v>-105</v>
      </c>
      <c r="Q151" s="33">
        <v>-76</v>
      </c>
      <c r="R151" s="33">
        <v>-163</v>
      </c>
      <c r="S151" s="6">
        <v>54</v>
      </c>
      <c r="T151" s="33">
        <v>-596</v>
      </c>
      <c r="U151" s="6">
        <v>275</v>
      </c>
      <c r="V151" s="33">
        <v>-15</v>
      </c>
      <c r="W151" s="33">
        <v>-973</v>
      </c>
      <c r="X151" s="37">
        <v>-76</v>
      </c>
      <c r="Y151" s="37">
        <v>-238</v>
      </c>
      <c r="Z151" s="8">
        <v>217</v>
      </c>
      <c r="AA151" s="37">
        <v>-2723</v>
      </c>
      <c r="AB151" s="8">
        <v>828</v>
      </c>
      <c r="AC151" s="37">
        <v>-289</v>
      </c>
      <c r="AD151" s="37">
        <v>-127</v>
      </c>
      <c r="AE151" s="37">
        <v>-2642</v>
      </c>
      <c r="AF151" s="8">
        <v>1484</v>
      </c>
      <c r="AG151" s="37">
        <v>-1618</v>
      </c>
      <c r="AH151" s="37">
        <v>-1046</v>
      </c>
      <c r="AI151" s="8">
        <v>1400</v>
      </c>
    </row>
    <row r="152" spans="1:35">
      <c r="A152" s="7" t="s">
        <v>98</v>
      </c>
      <c r="B152" s="91">
        <v>23.841000000000001</v>
      </c>
      <c r="C152" s="92">
        <v>-68.945999999999998</v>
      </c>
      <c r="D152" s="92">
        <v>-24.963000000000001</v>
      </c>
      <c r="E152" s="91">
        <v>42</v>
      </c>
      <c r="F152" s="92">
        <v>-91</v>
      </c>
      <c r="G152" s="91">
        <v>0</v>
      </c>
      <c r="H152" s="91">
        <v>0</v>
      </c>
      <c r="I152" s="91">
        <v>0</v>
      </c>
      <c r="J152" s="91">
        <v>0</v>
      </c>
      <c r="K152" s="91">
        <v>0</v>
      </c>
      <c r="L152" s="91">
        <v>0</v>
      </c>
      <c r="M152" s="91">
        <v>0</v>
      </c>
      <c r="N152" s="91">
        <v>0</v>
      </c>
      <c r="O152" s="91">
        <v>0</v>
      </c>
      <c r="P152" s="91">
        <v>0</v>
      </c>
      <c r="Q152" s="91">
        <v>0</v>
      </c>
      <c r="R152" s="91">
        <v>0</v>
      </c>
      <c r="S152" s="91">
        <v>0</v>
      </c>
      <c r="T152" s="91">
        <v>0</v>
      </c>
      <c r="U152" s="91">
        <v>0</v>
      </c>
      <c r="V152" s="91">
        <v>0</v>
      </c>
      <c r="W152" s="91">
        <v>0</v>
      </c>
      <c r="X152" s="62">
        <v>0</v>
      </c>
      <c r="Y152" s="62">
        <v>0</v>
      </c>
      <c r="Z152" s="62">
        <v>0</v>
      </c>
      <c r="AA152" s="62">
        <v>0</v>
      </c>
      <c r="AB152" s="62">
        <v>0</v>
      </c>
      <c r="AC152" s="62">
        <v>0</v>
      </c>
      <c r="AD152" s="62">
        <v>0</v>
      </c>
      <c r="AE152" s="62">
        <v>0</v>
      </c>
      <c r="AF152" s="62">
        <v>0</v>
      </c>
      <c r="AG152" s="62">
        <v>0</v>
      </c>
      <c r="AH152" s="62">
        <v>0</v>
      </c>
      <c r="AI152" s="62">
        <v>0</v>
      </c>
    </row>
    <row r="153" spans="1:35">
      <c r="A153" s="4" t="s">
        <v>99</v>
      </c>
      <c r="B153" s="33">
        <v>-87.376000000000005</v>
      </c>
      <c r="C153" s="33">
        <v>-96.314000000000007</v>
      </c>
      <c r="D153" s="6">
        <v>33.616</v>
      </c>
      <c r="E153" s="33">
        <v>-59</v>
      </c>
      <c r="F153" s="33">
        <v>45</v>
      </c>
      <c r="G153" s="6">
        <v>36</v>
      </c>
      <c r="H153" s="6">
        <v>31</v>
      </c>
      <c r="I153" s="33">
        <v>-32</v>
      </c>
      <c r="J153" s="33">
        <v>-37</v>
      </c>
      <c r="K153" s="6">
        <v>106</v>
      </c>
      <c r="L153" s="33">
        <v>-114</v>
      </c>
      <c r="M153" s="33">
        <v>-34</v>
      </c>
      <c r="N153" s="33">
        <v>-176</v>
      </c>
      <c r="O153" s="33">
        <v>-150</v>
      </c>
      <c r="P153" s="33">
        <v>-1626</v>
      </c>
      <c r="Q153" s="33">
        <v>-1279</v>
      </c>
      <c r="R153" s="33">
        <v>-274</v>
      </c>
      <c r="S153" s="6">
        <v>0</v>
      </c>
      <c r="T153" s="6">
        <v>0</v>
      </c>
      <c r="U153" s="6">
        <v>0</v>
      </c>
      <c r="V153" s="6">
        <v>0</v>
      </c>
      <c r="W153" s="6">
        <v>0</v>
      </c>
      <c r="X153" s="8">
        <v>0</v>
      </c>
      <c r="Y153" s="8">
        <v>0</v>
      </c>
      <c r="Z153" s="8">
        <v>0</v>
      </c>
      <c r="AA153" s="8">
        <v>0</v>
      </c>
      <c r="AB153" s="8">
        <v>0</v>
      </c>
      <c r="AC153" s="8">
        <v>0</v>
      </c>
      <c r="AD153" s="8">
        <v>0</v>
      </c>
      <c r="AE153" s="8">
        <v>0</v>
      </c>
      <c r="AF153" s="8">
        <v>0</v>
      </c>
      <c r="AG153" s="8">
        <v>0</v>
      </c>
      <c r="AH153" s="8">
        <v>0</v>
      </c>
      <c r="AI153" s="8">
        <v>0</v>
      </c>
    </row>
    <row r="154" spans="1:35">
      <c r="A154" s="4" t="s">
        <v>100</v>
      </c>
      <c r="B154" s="6">
        <v>0</v>
      </c>
      <c r="C154" s="6">
        <v>0</v>
      </c>
      <c r="D154" s="6">
        <v>0</v>
      </c>
      <c r="E154" s="6">
        <v>0</v>
      </c>
      <c r="F154" s="6">
        <v>0</v>
      </c>
      <c r="G154" s="33">
        <v>-4</v>
      </c>
      <c r="H154" s="6">
        <v>83</v>
      </c>
      <c r="I154" s="33">
        <v>-3</v>
      </c>
      <c r="J154" s="6">
        <v>20</v>
      </c>
      <c r="K154" s="6">
        <v>12</v>
      </c>
      <c r="L154" s="33">
        <v>-11</v>
      </c>
      <c r="M154" s="33">
        <v>-30</v>
      </c>
      <c r="N154" s="33">
        <v>-39</v>
      </c>
      <c r="O154" s="33">
        <v>-61</v>
      </c>
      <c r="P154" s="33">
        <v>-1040</v>
      </c>
      <c r="Q154" s="6">
        <v>285</v>
      </c>
      <c r="R154" s="6">
        <v>289</v>
      </c>
      <c r="S154" s="33">
        <v>-713</v>
      </c>
      <c r="T154" s="33">
        <v>-1610</v>
      </c>
      <c r="U154" s="33">
        <v>-1391</v>
      </c>
      <c r="V154" s="33">
        <v>-3162</v>
      </c>
      <c r="W154" s="6">
        <v>1080</v>
      </c>
      <c r="X154" s="8">
        <v>167</v>
      </c>
      <c r="Y154" s="37">
        <v>-179</v>
      </c>
      <c r="Z154" s="8">
        <v>1090</v>
      </c>
      <c r="AA154" s="37">
        <v>-5318</v>
      </c>
      <c r="AB154" s="37">
        <v>-423</v>
      </c>
      <c r="AC154" s="8">
        <v>873</v>
      </c>
      <c r="AD154" s="37">
        <v>-9588</v>
      </c>
      <c r="AE154" s="37">
        <v>-8042</v>
      </c>
      <c r="AF154" s="37">
        <v>-6499</v>
      </c>
      <c r="AG154" s="37">
        <v>-5684</v>
      </c>
      <c r="AH154" s="37">
        <v>-11731</v>
      </c>
      <c r="AI154" s="37">
        <v>-9197</v>
      </c>
    </row>
    <row r="155" spans="1:35">
      <c r="A155" s="4" t="s">
        <v>101</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586</v>
      </c>
      <c r="T155" s="33">
        <v>-2718</v>
      </c>
      <c r="U155" s="33">
        <v>-1934</v>
      </c>
      <c r="V155" s="33">
        <v>-1414</v>
      </c>
      <c r="W155" s="6">
        <v>223</v>
      </c>
      <c r="X155" s="37">
        <v>-2220</v>
      </c>
      <c r="Y155" s="37">
        <v>-3735</v>
      </c>
      <c r="Z155" s="37">
        <v>-51</v>
      </c>
      <c r="AA155" s="37">
        <v>-4254</v>
      </c>
      <c r="AB155" s="37">
        <v>-8010</v>
      </c>
      <c r="AC155" s="8">
        <v>2931</v>
      </c>
      <c r="AD155" s="8">
        <v>1553</v>
      </c>
      <c r="AE155" s="37">
        <v>-3903</v>
      </c>
      <c r="AF155" s="37">
        <v>-7520</v>
      </c>
      <c r="AG155" s="8">
        <v>1271</v>
      </c>
      <c r="AH155" s="37">
        <v>-1356</v>
      </c>
      <c r="AI155" s="37">
        <v>-347</v>
      </c>
    </row>
    <row r="156" spans="1:35">
      <c r="A156" s="4" t="s">
        <v>102</v>
      </c>
      <c r="B156" s="6">
        <v>69.852000000000004</v>
      </c>
      <c r="C156" s="6">
        <v>315.68599999999998</v>
      </c>
      <c r="D156" s="6">
        <v>139.095</v>
      </c>
      <c r="E156" s="6">
        <v>283</v>
      </c>
      <c r="F156" s="33">
        <v>-374</v>
      </c>
      <c r="G156" s="33">
        <v>-107</v>
      </c>
      <c r="H156" s="6">
        <v>34</v>
      </c>
      <c r="I156" s="6">
        <v>93</v>
      </c>
      <c r="J156" s="6">
        <v>318</v>
      </c>
      <c r="K156" s="33">
        <v>-356</v>
      </c>
      <c r="L156" s="6">
        <v>110</v>
      </c>
      <c r="M156" s="6">
        <v>243</v>
      </c>
      <c r="N156" s="6">
        <v>297</v>
      </c>
      <c r="O156" s="6">
        <v>328</v>
      </c>
      <c r="P156" s="6">
        <v>1611</v>
      </c>
      <c r="Q156" s="6">
        <v>1494</v>
      </c>
      <c r="R156" s="6">
        <v>596</v>
      </c>
      <c r="S156" s="6">
        <v>92</v>
      </c>
      <c r="T156" s="6">
        <v>6307</v>
      </c>
      <c r="U156" s="6">
        <v>2515</v>
      </c>
      <c r="V156" s="6">
        <v>4467</v>
      </c>
      <c r="W156" s="6">
        <v>2340</v>
      </c>
      <c r="X156" s="8">
        <v>5938</v>
      </c>
      <c r="Y156" s="8">
        <v>5400</v>
      </c>
      <c r="Z156" s="8">
        <v>1791</v>
      </c>
      <c r="AA156" s="8">
        <v>9618</v>
      </c>
      <c r="AB156" s="37">
        <v>9175</v>
      </c>
      <c r="AC156" s="37">
        <v>-1923</v>
      </c>
      <c r="AD156" s="37">
        <v>-4062</v>
      </c>
      <c r="AE156" s="8">
        <v>12326</v>
      </c>
      <c r="AF156" s="8">
        <v>9448</v>
      </c>
      <c r="AG156" s="37">
        <v>-1889</v>
      </c>
      <c r="AH156" s="8">
        <v>6020</v>
      </c>
      <c r="AI156" s="8">
        <v>902</v>
      </c>
    </row>
    <row r="157" spans="1:35">
      <c r="A157" s="4" t="s">
        <v>103</v>
      </c>
      <c r="B157" s="6">
        <v>100.361</v>
      </c>
      <c r="C157" s="33">
        <v>-54.724000000000004</v>
      </c>
      <c r="D157" s="6">
        <v>50.045000000000002</v>
      </c>
      <c r="E157" s="6">
        <v>0</v>
      </c>
      <c r="F157" s="6">
        <v>0</v>
      </c>
      <c r="G157" s="6">
        <v>0</v>
      </c>
      <c r="H157" s="6">
        <v>0</v>
      </c>
      <c r="I157" s="6">
        <v>0</v>
      </c>
      <c r="J157" s="6">
        <v>0</v>
      </c>
      <c r="K157" s="6">
        <v>0</v>
      </c>
      <c r="L157" s="6">
        <v>0</v>
      </c>
      <c r="M157" s="6">
        <v>0</v>
      </c>
      <c r="N157" s="6">
        <v>0</v>
      </c>
      <c r="O157" s="6">
        <v>0</v>
      </c>
      <c r="P157" s="6">
        <v>0</v>
      </c>
      <c r="Q157" s="6">
        <v>0</v>
      </c>
      <c r="R157" s="6">
        <v>0</v>
      </c>
      <c r="S157" s="6">
        <v>0</v>
      </c>
      <c r="T157" s="6">
        <v>0</v>
      </c>
      <c r="U157" s="6">
        <v>0</v>
      </c>
      <c r="V157" s="6">
        <v>0</v>
      </c>
      <c r="W157" s="6">
        <v>0</v>
      </c>
      <c r="X157" s="8">
        <v>0</v>
      </c>
      <c r="Y157" s="8">
        <v>0</v>
      </c>
      <c r="Z157" s="8">
        <v>0</v>
      </c>
      <c r="AA157" s="8">
        <v>0</v>
      </c>
      <c r="AB157" s="8">
        <v>0</v>
      </c>
      <c r="AC157" s="8">
        <v>0</v>
      </c>
      <c r="AD157" s="8">
        <v>0</v>
      </c>
      <c r="AE157" s="8">
        <v>0</v>
      </c>
      <c r="AF157" s="8">
        <v>0</v>
      </c>
      <c r="AG157" s="8">
        <v>0</v>
      </c>
      <c r="AH157" s="8">
        <v>0</v>
      </c>
      <c r="AI157" s="8">
        <v>0</v>
      </c>
    </row>
    <row r="158" spans="1:35">
      <c r="A158" s="4" t="s">
        <v>104</v>
      </c>
      <c r="B158" s="33">
        <v>-57.326999999999998</v>
      </c>
      <c r="C158" s="6">
        <v>202.89400000000001</v>
      </c>
      <c r="D158" s="33">
        <v>-249.69400000000002</v>
      </c>
      <c r="E158" s="33">
        <v>-47</v>
      </c>
      <c r="F158" s="6">
        <v>117</v>
      </c>
      <c r="G158" s="6">
        <v>109</v>
      </c>
      <c r="H158" s="33">
        <v>-107</v>
      </c>
      <c r="I158" s="6">
        <v>2</v>
      </c>
      <c r="J158" s="6">
        <v>0</v>
      </c>
      <c r="K158" s="6">
        <v>0</v>
      </c>
      <c r="L158" s="6">
        <v>0</v>
      </c>
      <c r="M158" s="6">
        <v>0</v>
      </c>
      <c r="N158" s="6">
        <v>0</v>
      </c>
      <c r="O158" s="6">
        <v>0</v>
      </c>
      <c r="P158" s="6">
        <v>0</v>
      </c>
      <c r="Q158" s="6">
        <v>0</v>
      </c>
      <c r="R158" s="6">
        <v>0</v>
      </c>
      <c r="S158" s="6">
        <v>0</v>
      </c>
      <c r="T158" s="6">
        <v>0</v>
      </c>
      <c r="U158" s="6">
        <v>0</v>
      </c>
      <c r="V158" s="6">
        <v>0</v>
      </c>
      <c r="W158" s="6">
        <v>0</v>
      </c>
      <c r="X158" s="8">
        <v>0</v>
      </c>
      <c r="Y158" s="8">
        <v>0</v>
      </c>
      <c r="Z158" s="8">
        <v>0</v>
      </c>
      <c r="AA158" s="8">
        <v>0</v>
      </c>
      <c r="AB158" s="8">
        <v>0</v>
      </c>
      <c r="AC158" s="8">
        <v>0</v>
      </c>
      <c r="AD158" s="8">
        <v>0</v>
      </c>
      <c r="AE158" s="8">
        <v>0</v>
      </c>
      <c r="AF158" s="8">
        <v>0</v>
      </c>
      <c r="AG158" s="8">
        <v>0</v>
      </c>
      <c r="AH158" s="8">
        <v>0</v>
      </c>
      <c r="AI158" s="8">
        <v>0</v>
      </c>
    </row>
    <row r="159" spans="1:35">
      <c r="A159" s="4" t="s">
        <v>105</v>
      </c>
      <c r="B159" s="6">
        <v>96.915000000000006</v>
      </c>
      <c r="C159" s="33">
        <v>-13.383000000000001</v>
      </c>
      <c r="D159" s="6">
        <v>39.991</v>
      </c>
      <c r="E159" s="33">
        <v>-10</v>
      </c>
      <c r="F159" s="6">
        <v>212</v>
      </c>
      <c r="G159" s="33">
        <v>-9</v>
      </c>
      <c r="H159" s="33">
        <v>-85</v>
      </c>
      <c r="I159" s="33">
        <v>-15</v>
      </c>
      <c r="J159" s="6">
        <v>176</v>
      </c>
      <c r="K159" s="33">
        <v>-60</v>
      </c>
      <c r="L159" s="33">
        <v>45</v>
      </c>
      <c r="M159" s="6">
        <v>0</v>
      </c>
      <c r="N159" s="6">
        <v>0</v>
      </c>
      <c r="O159" s="6">
        <v>0</v>
      </c>
      <c r="P159" s="6">
        <v>0</v>
      </c>
      <c r="Q159" s="6">
        <v>0</v>
      </c>
      <c r="R159" s="6">
        <v>0</v>
      </c>
      <c r="S159" s="6">
        <v>0</v>
      </c>
      <c r="T159" s="6">
        <v>0</v>
      </c>
      <c r="U159" s="6">
        <v>0</v>
      </c>
      <c r="V159" s="6">
        <v>0</v>
      </c>
      <c r="W159" s="6">
        <v>0</v>
      </c>
      <c r="X159" s="8">
        <v>0</v>
      </c>
      <c r="Y159" s="8">
        <v>0</v>
      </c>
      <c r="Z159" s="8">
        <v>0</v>
      </c>
      <c r="AA159" s="8">
        <v>0</v>
      </c>
      <c r="AB159" s="8">
        <v>0</v>
      </c>
      <c r="AC159" s="8">
        <v>0</v>
      </c>
      <c r="AD159" s="8">
        <v>0</v>
      </c>
      <c r="AE159" s="8">
        <v>0</v>
      </c>
      <c r="AF159" s="8">
        <v>0</v>
      </c>
      <c r="AG159" s="8">
        <v>0</v>
      </c>
      <c r="AH159" s="8">
        <v>0</v>
      </c>
      <c r="AI159" s="8">
        <v>0</v>
      </c>
    </row>
    <row r="160" spans="1:35">
      <c r="A160" s="4" t="s">
        <v>106</v>
      </c>
      <c r="B160" s="6">
        <v>100.93300000000001</v>
      </c>
      <c r="C160" s="6">
        <v>19.029</v>
      </c>
      <c r="D160" s="6">
        <v>40.835999999999999</v>
      </c>
      <c r="E160" s="6">
        <v>31</v>
      </c>
      <c r="F160" s="33">
        <v>-348</v>
      </c>
      <c r="G160" s="6">
        <v>0</v>
      </c>
      <c r="H160" s="6">
        <v>0</v>
      </c>
      <c r="I160" s="6">
        <v>0</v>
      </c>
      <c r="J160" s="6">
        <v>0</v>
      </c>
      <c r="K160" s="6">
        <v>0</v>
      </c>
      <c r="L160" s="6">
        <v>0</v>
      </c>
      <c r="M160" s="6">
        <v>0</v>
      </c>
      <c r="N160" s="6">
        <v>0</v>
      </c>
      <c r="O160" s="6">
        <v>0</v>
      </c>
      <c r="P160" s="6">
        <v>0</v>
      </c>
      <c r="Q160" s="6">
        <v>0</v>
      </c>
      <c r="R160" s="6">
        <v>0</v>
      </c>
      <c r="S160" s="6">
        <v>0</v>
      </c>
      <c r="T160" s="6">
        <v>0</v>
      </c>
      <c r="U160" s="6">
        <v>0</v>
      </c>
      <c r="V160" s="6">
        <v>0</v>
      </c>
      <c r="W160" s="6">
        <v>0</v>
      </c>
      <c r="X160" s="8">
        <v>0</v>
      </c>
      <c r="Y160" s="8">
        <v>0</v>
      </c>
      <c r="Z160" s="8">
        <v>0</v>
      </c>
      <c r="AA160" s="8">
        <v>0</v>
      </c>
      <c r="AB160" s="8">
        <v>0</v>
      </c>
      <c r="AC160" s="8">
        <v>0</v>
      </c>
      <c r="AD160" s="8">
        <v>0</v>
      </c>
      <c r="AE160" s="8">
        <v>0</v>
      </c>
      <c r="AF160" s="8">
        <v>0</v>
      </c>
      <c r="AG160" s="8">
        <v>0</v>
      </c>
      <c r="AH160" s="8">
        <v>0</v>
      </c>
      <c r="AI160" s="8">
        <v>0</v>
      </c>
    </row>
    <row r="161" spans="1:36">
      <c r="A161" s="4" t="s">
        <v>107</v>
      </c>
      <c r="B161" s="6">
        <v>0</v>
      </c>
      <c r="C161" s="6">
        <v>0</v>
      </c>
      <c r="D161" s="6">
        <v>0</v>
      </c>
      <c r="E161" s="6">
        <v>0</v>
      </c>
      <c r="F161" s="6">
        <v>0</v>
      </c>
      <c r="G161" s="6">
        <v>0</v>
      </c>
      <c r="H161" s="6">
        <v>0</v>
      </c>
      <c r="I161" s="6">
        <v>0</v>
      </c>
      <c r="J161" s="6">
        <v>0</v>
      </c>
      <c r="K161" s="6">
        <v>0</v>
      </c>
      <c r="L161" s="6">
        <v>0</v>
      </c>
      <c r="M161" s="6">
        <v>0</v>
      </c>
      <c r="N161" s="6">
        <v>0</v>
      </c>
      <c r="O161" s="6">
        <v>0</v>
      </c>
      <c r="P161" s="6">
        <v>319</v>
      </c>
      <c r="Q161" s="6">
        <v>566</v>
      </c>
      <c r="R161" s="6">
        <v>718</v>
      </c>
      <c r="S161" s="6">
        <v>521</v>
      </c>
      <c r="T161" s="6">
        <v>1217</v>
      </c>
      <c r="U161" s="6">
        <v>1654</v>
      </c>
      <c r="V161" s="6">
        <v>2824</v>
      </c>
      <c r="W161" s="6">
        <v>1459</v>
      </c>
      <c r="X161" s="8">
        <v>1460</v>
      </c>
      <c r="Y161" s="8">
        <v>1042</v>
      </c>
      <c r="Z161" s="37">
        <v>-1554</v>
      </c>
      <c r="AA161" s="37">
        <v>-626</v>
      </c>
      <c r="AB161" s="37">
        <v>-44</v>
      </c>
      <c r="AC161" s="37">
        <v>-625</v>
      </c>
      <c r="AD161" s="8">
        <v>2081</v>
      </c>
      <c r="AE161" s="8">
        <v>1676</v>
      </c>
      <c r="AF161" s="8">
        <v>478</v>
      </c>
      <c r="AG161" s="8">
        <v>0</v>
      </c>
      <c r="AH161" s="8">
        <v>0</v>
      </c>
      <c r="AI161" s="8">
        <v>0</v>
      </c>
    </row>
    <row r="162" spans="1:36">
      <c r="A162" s="4" t="s">
        <v>108</v>
      </c>
      <c r="B162" s="6">
        <v>0</v>
      </c>
      <c r="C162" s="6">
        <v>0</v>
      </c>
      <c r="D162" s="6">
        <v>0</v>
      </c>
      <c r="E162" s="6">
        <v>0</v>
      </c>
      <c r="F162" s="6">
        <v>0</v>
      </c>
      <c r="G162" s="6">
        <v>0</v>
      </c>
      <c r="H162" s="6">
        <v>0</v>
      </c>
      <c r="I162" s="6">
        <v>0</v>
      </c>
      <c r="J162" s="6">
        <v>0</v>
      </c>
      <c r="K162" s="6">
        <v>0</v>
      </c>
      <c r="L162" s="6">
        <v>0</v>
      </c>
      <c r="M162" s="6">
        <v>152</v>
      </c>
      <c r="N162" s="6">
        <v>320</v>
      </c>
      <c r="O162" s="6">
        <v>533</v>
      </c>
      <c r="P162" s="6">
        <v>973</v>
      </c>
      <c r="Q162" s="6">
        <v>716</v>
      </c>
      <c r="R162" s="6">
        <v>1664</v>
      </c>
      <c r="S162" s="33">
        <v>-161</v>
      </c>
      <c r="T162" s="6">
        <v>778</v>
      </c>
      <c r="U162" s="6">
        <v>4495</v>
      </c>
      <c r="V162" s="6">
        <v>2552</v>
      </c>
      <c r="W162" s="6">
        <v>4521</v>
      </c>
      <c r="X162" s="8">
        <v>6010</v>
      </c>
      <c r="Y162" s="8">
        <v>8746</v>
      </c>
      <c r="Z162" s="37">
        <v>-2104</v>
      </c>
      <c r="AA162" s="37">
        <v>-154</v>
      </c>
      <c r="AB162" s="8">
        <v>38490</v>
      </c>
      <c r="AC162" s="37">
        <v>-4700</v>
      </c>
      <c r="AD162" s="8">
        <v>8916</v>
      </c>
      <c r="AE162" s="8">
        <v>5799</v>
      </c>
      <c r="AF162" s="8">
        <v>5632</v>
      </c>
      <c r="AG162" s="8">
        <v>3031</v>
      </c>
      <c r="AH162" s="8">
        <v>15552</v>
      </c>
      <c r="AI162" s="37">
        <v>-11076</v>
      </c>
    </row>
    <row r="163" spans="1:36">
      <c r="A163" s="17" t="s">
        <v>109</v>
      </c>
      <c r="B163" s="18">
        <f t="shared" ref="B163:AI163" si="207">SUM(B137:B162)</f>
        <v>920.97300000000007</v>
      </c>
      <c r="C163" s="34">
        <f t="shared" si="207"/>
        <v>-651.21300000000031</v>
      </c>
      <c r="D163" s="18">
        <f t="shared" si="207"/>
        <v>736.99499999999989</v>
      </c>
      <c r="E163" s="34">
        <f t="shared" si="207"/>
        <v>-240</v>
      </c>
      <c r="F163" s="18">
        <f t="shared" si="207"/>
        <v>519</v>
      </c>
      <c r="G163" s="18">
        <f t="shared" si="207"/>
        <v>154</v>
      </c>
      <c r="H163" s="18">
        <f t="shared" si="207"/>
        <v>775</v>
      </c>
      <c r="I163" s="18">
        <f t="shared" si="207"/>
        <v>798</v>
      </c>
      <c r="J163" s="18">
        <f t="shared" si="207"/>
        <v>868</v>
      </c>
      <c r="K163" s="18">
        <f t="shared" si="207"/>
        <v>185</v>
      </c>
      <c r="L163" s="18">
        <f t="shared" si="207"/>
        <v>89</v>
      </c>
      <c r="M163" s="18">
        <f t="shared" si="207"/>
        <v>289</v>
      </c>
      <c r="N163" s="18">
        <f t="shared" si="207"/>
        <v>934</v>
      </c>
      <c r="O163" s="18">
        <f t="shared" si="207"/>
        <v>2535</v>
      </c>
      <c r="P163" s="18">
        <f t="shared" si="207"/>
        <v>2220</v>
      </c>
      <c r="Q163" s="18">
        <f t="shared" si="207"/>
        <v>5470</v>
      </c>
      <c r="R163" s="18">
        <f t="shared" si="207"/>
        <v>9596</v>
      </c>
      <c r="S163" s="18">
        <f t="shared" si="207"/>
        <v>10159</v>
      </c>
      <c r="T163" s="18">
        <f t="shared" si="207"/>
        <v>18595</v>
      </c>
      <c r="U163" s="18">
        <f t="shared" si="207"/>
        <v>37529</v>
      </c>
      <c r="V163" s="18">
        <f t="shared" si="207"/>
        <v>50856</v>
      </c>
      <c r="W163" s="18">
        <f t="shared" si="207"/>
        <v>53666</v>
      </c>
      <c r="X163" s="19">
        <f t="shared" si="207"/>
        <v>59713</v>
      </c>
      <c r="Y163" s="19">
        <f t="shared" si="207"/>
        <v>81266</v>
      </c>
      <c r="Z163" s="19">
        <f t="shared" si="207"/>
        <v>65824</v>
      </c>
      <c r="AA163" s="19">
        <f t="shared" si="207"/>
        <v>63598</v>
      </c>
      <c r="AB163" s="19">
        <f t="shared" si="207"/>
        <v>77434</v>
      </c>
      <c r="AC163" s="19">
        <f t="shared" si="207"/>
        <v>69391</v>
      </c>
      <c r="AD163" s="19">
        <f t="shared" si="207"/>
        <v>80674</v>
      </c>
      <c r="AE163" s="19">
        <f t="shared" si="207"/>
        <v>104038</v>
      </c>
      <c r="AF163" s="19">
        <f t="shared" si="207"/>
        <v>122151</v>
      </c>
      <c r="AG163" s="19">
        <f t="shared" si="207"/>
        <v>110543</v>
      </c>
      <c r="AH163" s="19">
        <f t="shared" si="207"/>
        <v>118254</v>
      </c>
      <c r="AI163" s="39">
        <f t="shared" si="207"/>
        <v>111482</v>
      </c>
    </row>
    <row r="164" spans="1:36">
      <c r="A164" s="25"/>
      <c r="B164" s="26"/>
      <c r="C164" s="26"/>
      <c r="D164" s="26"/>
      <c r="E164" s="26"/>
      <c r="F164" s="26"/>
      <c r="G164" s="26"/>
      <c r="H164" s="26"/>
      <c r="I164" s="26"/>
      <c r="J164" s="26"/>
      <c r="K164" s="26"/>
      <c r="L164" s="26"/>
      <c r="M164" s="26"/>
      <c r="N164" s="26"/>
      <c r="O164" s="26"/>
      <c r="P164" s="26"/>
      <c r="Q164" s="26"/>
      <c r="R164" s="26"/>
      <c r="S164" s="26"/>
      <c r="T164" s="26"/>
      <c r="U164" s="26"/>
      <c r="V164" s="26"/>
      <c r="W164" s="26"/>
      <c r="X164" s="27"/>
      <c r="Y164" s="27"/>
      <c r="Z164" s="27"/>
      <c r="AA164" s="27"/>
      <c r="AB164" s="27"/>
      <c r="AC164" s="27"/>
      <c r="AD164" s="27"/>
      <c r="AE164" s="27"/>
      <c r="AF164" s="27"/>
      <c r="AG164" s="27"/>
      <c r="AH164" s="27"/>
      <c r="AI164" s="27"/>
    </row>
    <row r="165" spans="1:36">
      <c r="A165" s="4" t="s">
        <v>110</v>
      </c>
      <c r="B165" s="33">
        <v>-2121.3409999999999</v>
      </c>
      <c r="C165" s="33">
        <v>-1431.998</v>
      </c>
      <c r="D165" s="33">
        <v>-312.07299999999998</v>
      </c>
      <c r="E165" s="33">
        <v>-1672</v>
      </c>
      <c r="F165" s="33">
        <v>-437</v>
      </c>
      <c r="G165" s="33">
        <v>-999</v>
      </c>
      <c r="H165" s="33">
        <v>-2313</v>
      </c>
      <c r="I165" s="33">
        <v>-4236</v>
      </c>
      <c r="J165" s="33">
        <v>-4267</v>
      </c>
      <c r="K165" s="33">
        <v>-4268</v>
      </c>
      <c r="L165" s="33">
        <v>-4144</v>
      </c>
      <c r="M165" s="33">
        <v>-2648</v>
      </c>
      <c r="N165" s="33">
        <v>-3270</v>
      </c>
      <c r="O165" s="33">
        <v>-11470</v>
      </c>
      <c r="P165" s="33">
        <v>-7255</v>
      </c>
      <c r="Q165" s="6">
        <v>0</v>
      </c>
      <c r="R165" s="6">
        <v>0</v>
      </c>
      <c r="S165" s="6">
        <v>0</v>
      </c>
      <c r="T165" s="6">
        <v>0</v>
      </c>
      <c r="U165" s="6">
        <v>0</v>
      </c>
      <c r="V165" s="6">
        <v>0</v>
      </c>
      <c r="W165" s="6">
        <v>0</v>
      </c>
      <c r="X165" s="8">
        <v>0</v>
      </c>
      <c r="Y165" s="8">
        <v>0</v>
      </c>
      <c r="Z165" s="8">
        <v>0</v>
      </c>
      <c r="AA165" s="8">
        <v>0</v>
      </c>
      <c r="AB165" s="8">
        <v>0</v>
      </c>
      <c r="AC165" s="8">
        <v>0</v>
      </c>
      <c r="AD165" s="8">
        <v>0</v>
      </c>
      <c r="AE165" s="8">
        <v>0</v>
      </c>
      <c r="AF165" s="8">
        <v>0</v>
      </c>
      <c r="AG165" s="8">
        <v>0</v>
      </c>
      <c r="AH165" s="8">
        <v>0</v>
      </c>
      <c r="AI165" s="8">
        <v>0</v>
      </c>
    </row>
    <row r="166" spans="1:36">
      <c r="A166" s="4" t="s">
        <v>111</v>
      </c>
      <c r="B166" s="6">
        <v>0</v>
      </c>
      <c r="C166" s="6">
        <v>0</v>
      </c>
      <c r="D166" s="6">
        <v>0</v>
      </c>
      <c r="E166" s="6">
        <v>0</v>
      </c>
      <c r="F166" s="6">
        <v>0</v>
      </c>
      <c r="G166" s="6">
        <v>0</v>
      </c>
      <c r="H166" s="6">
        <v>0</v>
      </c>
      <c r="I166" s="6">
        <v>0</v>
      </c>
      <c r="J166" s="6">
        <v>3075</v>
      </c>
      <c r="K166" s="6">
        <v>4811</v>
      </c>
      <c r="L166" s="6">
        <v>2846</v>
      </c>
      <c r="M166" s="6">
        <v>2446</v>
      </c>
      <c r="N166" s="6">
        <v>1141</v>
      </c>
      <c r="O166" s="6">
        <v>8609</v>
      </c>
      <c r="P166" s="6">
        <v>7226</v>
      </c>
      <c r="Q166" s="6">
        <v>0</v>
      </c>
      <c r="R166" s="6">
        <v>0</v>
      </c>
      <c r="S166" s="6">
        <v>0</v>
      </c>
      <c r="T166" s="6">
        <v>0</v>
      </c>
      <c r="U166" s="6">
        <v>0</v>
      </c>
      <c r="V166" s="6">
        <v>0</v>
      </c>
      <c r="W166" s="6">
        <v>0</v>
      </c>
      <c r="X166" s="8">
        <v>0</v>
      </c>
      <c r="Y166" s="8">
        <v>0</v>
      </c>
      <c r="Z166" s="8">
        <v>0</v>
      </c>
      <c r="AA166" s="8">
        <v>0</v>
      </c>
      <c r="AB166" s="8">
        <v>0</v>
      </c>
      <c r="AC166" s="8">
        <v>0</v>
      </c>
      <c r="AD166" s="8">
        <v>0</v>
      </c>
      <c r="AE166" s="8">
        <v>0</v>
      </c>
      <c r="AF166" s="8">
        <v>0</v>
      </c>
      <c r="AG166" s="8">
        <v>0</v>
      </c>
      <c r="AH166" s="8">
        <v>0</v>
      </c>
      <c r="AI166" s="8">
        <v>0</v>
      </c>
    </row>
    <row r="167" spans="1:36">
      <c r="A167" s="7" t="s">
        <v>112</v>
      </c>
      <c r="B167" s="14">
        <v>1472.97</v>
      </c>
      <c r="C167" s="14">
        <v>2153.0509999999999</v>
      </c>
      <c r="D167" s="14">
        <v>473.59500000000003</v>
      </c>
      <c r="E167" s="14">
        <v>1531</v>
      </c>
      <c r="F167" s="14">
        <v>440</v>
      </c>
      <c r="G167" s="14">
        <v>963</v>
      </c>
      <c r="H167" s="14">
        <v>1723</v>
      </c>
      <c r="I167" s="14">
        <v>3155</v>
      </c>
      <c r="J167" s="14">
        <v>256</v>
      </c>
      <c r="K167" s="14">
        <v>278</v>
      </c>
      <c r="L167" s="14">
        <v>1254</v>
      </c>
      <c r="M167" s="14">
        <v>1116</v>
      </c>
      <c r="N167" s="14">
        <v>801</v>
      </c>
      <c r="O167" s="14">
        <v>586</v>
      </c>
      <c r="P167" s="14">
        <v>1086</v>
      </c>
      <c r="Q167" s="14">
        <v>0</v>
      </c>
      <c r="R167" s="14">
        <v>0</v>
      </c>
      <c r="S167" s="14">
        <v>0</v>
      </c>
      <c r="T167" s="14">
        <v>0</v>
      </c>
      <c r="U167" s="14">
        <v>0</v>
      </c>
      <c r="V167" s="14">
        <v>0</v>
      </c>
      <c r="W167" s="14">
        <v>0</v>
      </c>
      <c r="X167" s="8">
        <v>0</v>
      </c>
      <c r="Y167" s="8">
        <v>0</v>
      </c>
      <c r="Z167" s="8">
        <v>0</v>
      </c>
      <c r="AA167" s="8">
        <v>0</v>
      </c>
      <c r="AB167" s="8">
        <v>0</v>
      </c>
      <c r="AC167" s="8">
        <v>0</v>
      </c>
      <c r="AD167" s="8">
        <v>0</v>
      </c>
      <c r="AE167" s="8">
        <v>0</v>
      </c>
      <c r="AF167" s="8">
        <v>0</v>
      </c>
      <c r="AG167" s="8">
        <v>0</v>
      </c>
      <c r="AH167" s="8">
        <v>0</v>
      </c>
      <c r="AI167" s="8">
        <v>0</v>
      </c>
    </row>
    <row r="168" spans="1:36">
      <c r="A168" s="4" t="s">
        <v>113</v>
      </c>
      <c r="B168" s="6">
        <v>0</v>
      </c>
      <c r="C168" s="6">
        <v>0</v>
      </c>
      <c r="D168" s="6">
        <v>0</v>
      </c>
      <c r="E168" s="6">
        <v>0</v>
      </c>
      <c r="F168" s="6">
        <v>0</v>
      </c>
      <c r="G168" s="6">
        <v>0</v>
      </c>
      <c r="H168" s="6">
        <v>0</v>
      </c>
      <c r="I168" s="33">
        <v>-112</v>
      </c>
      <c r="J168" s="33">
        <v>-232</v>
      </c>
      <c r="K168" s="33">
        <v>-1</v>
      </c>
      <c r="L168" s="6">
        <v>0</v>
      </c>
      <c r="M168" s="6">
        <v>0</v>
      </c>
      <c r="N168" s="6">
        <v>0</v>
      </c>
      <c r="O168" s="6">
        <v>0</v>
      </c>
      <c r="P168" s="33">
        <v>-25</v>
      </c>
      <c r="Q168" s="33">
        <v>-17</v>
      </c>
      <c r="R168" s="33">
        <v>-38</v>
      </c>
      <c r="S168" s="6">
        <v>0</v>
      </c>
      <c r="T168" s="6">
        <v>0</v>
      </c>
      <c r="U168" s="6">
        <v>0</v>
      </c>
      <c r="V168" s="6">
        <v>0</v>
      </c>
      <c r="W168" s="6">
        <v>0</v>
      </c>
      <c r="X168" s="8">
        <v>0</v>
      </c>
      <c r="Y168" s="8">
        <v>0</v>
      </c>
      <c r="Z168" s="8">
        <v>0</v>
      </c>
      <c r="AA168" s="8">
        <v>0</v>
      </c>
      <c r="AB168" s="8">
        <v>0</v>
      </c>
      <c r="AC168" s="8">
        <v>0</v>
      </c>
      <c r="AD168" s="8">
        <v>0</v>
      </c>
      <c r="AE168" s="8">
        <v>0</v>
      </c>
      <c r="AF168" s="8">
        <v>0</v>
      </c>
      <c r="AG168" s="8">
        <v>0</v>
      </c>
      <c r="AH168" s="8">
        <v>0</v>
      </c>
      <c r="AI168" s="8">
        <v>0</v>
      </c>
    </row>
    <row r="169" spans="1:36">
      <c r="A169" s="4" t="s">
        <v>114</v>
      </c>
      <c r="B169" s="6">
        <v>0</v>
      </c>
      <c r="C169" s="6">
        <v>0</v>
      </c>
      <c r="D169" s="6">
        <v>0</v>
      </c>
      <c r="E169" s="6">
        <v>0</v>
      </c>
      <c r="F169" s="6">
        <v>0</v>
      </c>
      <c r="G169" s="6">
        <v>0</v>
      </c>
      <c r="H169" s="6">
        <v>0</v>
      </c>
      <c r="I169" s="6">
        <v>0</v>
      </c>
      <c r="J169" s="6">
        <v>0</v>
      </c>
      <c r="K169" s="6">
        <v>0</v>
      </c>
      <c r="L169" s="6">
        <v>0</v>
      </c>
      <c r="M169" s="6">
        <v>0</v>
      </c>
      <c r="N169" s="6">
        <v>0</v>
      </c>
      <c r="O169" s="6">
        <v>0</v>
      </c>
      <c r="P169" s="6">
        <v>0</v>
      </c>
      <c r="Q169" s="33">
        <v>-11719</v>
      </c>
      <c r="R169" s="33">
        <v>-22965</v>
      </c>
      <c r="S169" s="33">
        <v>-46724</v>
      </c>
      <c r="T169" s="33">
        <v>-57793</v>
      </c>
      <c r="U169" s="33">
        <v>-102317</v>
      </c>
      <c r="V169" s="33">
        <v>-151232</v>
      </c>
      <c r="W169" s="33">
        <v>-148489</v>
      </c>
      <c r="X169" s="37">
        <v>-217128</v>
      </c>
      <c r="Y169" s="37">
        <v>-166402</v>
      </c>
      <c r="Z169" s="37">
        <v>-142428</v>
      </c>
      <c r="AA169" s="37">
        <v>-159486</v>
      </c>
      <c r="AB169" s="37">
        <v>-71356</v>
      </c>
      <c r="AC169" s="37">
        <v>-39630</v>
      </c>
      <c r="AD169" s="37">
        <v>-114938</v>
      </c>
      <c r="AE169" s="37">
        <v>-109558</v>
      </c>
      <c r="AF169" s="37">
        <v>-76923</v>
      </c>
      <c r="AG169" s="37">
        <v>-29513</v>
      </c>
      <c r="AH169" s="37">
        <v>-48656</v>
      </c>
      <c r="AI169" s="37">
        <v>-24407</v>
      </c>
      <c r="AJ169" s="40"/>
    </row>
    <row r="170" spans="1:36">
      <c r="A170" s="4" t="s">
        <v>115</v>
      </c>
      <c r="B170" s="6">
        <v>0</v>
      </c>
      <c r="C170" s="6">
        <v>0</v>
      </c>
      <c r="D170" s="6">
        <v>0</v>
      </c>
      <c r="E170" s="6">
        <v>0</v>
      </c>
      <c r="F170" s="6">
        <v>0</v>
      </c>
      <c r="G170" s="6">
        <v>0</v>
      </c>
      <c r="H170" s="6">
        <v>0</v>
      </c>
      <c r="I170" s="6">
        <v>0</v>
      </c>
      <c r="J170" s="6">
        <v>0</v>
      </c>
      <c r="K170" s="6">
        <v>0</v>
      </c>
      <c r="L170" s="6">
        <v>0</v>
      </c>
      <c r="M170" s="6">
        <v>0</v>
      </c>
      <c r="N170" s="6">
        <v>0</v>
      </c>
      <c r="O170" s="6">
        <v>0</v>
      </c>
      <c r="P170" s="6">
        <v>0</v>
      </c>
      <c r="Q170" s="6">
        <v>6483</v>
      </c>
      <c r="R170" s="6">
        <v>11804</v>
      </c>
      <c r="S170" s="6">
        <v>19790</v>
      </c>
      <c r="T170" s="6">
        <v>24930</v>
      </c>
      <c r="U170" s="6">
        <v>20437</v>
      </c>
      <c r="V170" s="6">
        <v>13035</v>
      </c>
      <c r="W170" s="6">
        <v>20317</v>
      </c>
      <c r="X170" s="8">
        <v>18810</v>
      </c>
      <c r="Y170" s="8">
        <v>14538</v>
      </c>
      <c r="Z170" s="8">
        <v>21258</v>
      </c>
      <c r="AA170" s="8">
        <v>31775</v>
      </c>
      <c r="AB170" s="8">
        <v>55881</v>
      </c>
      <c r="AC170" s="8">
        <v>40102</v>
      </c>
      <c r="AD170" s="8">
        <v>69918</v>
      </c>
      <c r="AE170" s="8">
        <v>59023</v>
      </c>
      <c r="AF170" s="8">
        <v>29917</v>
      </c>
      <c r="AG170" s="8">
        <v>39686</v>
      </c>
      <c r="AH170" s="8">
        <v>51211</v>
      </c>
      <c r="AI170" s="8">
        <v>40907</v>
      </c>
    </row>
    <row r="171" spans="1:36">
      <c r="A171" s="4" t="s">
        <v>116</v>
      </c>
      <c r="B171" s="6">
        <v>0</v>
      </c>
      <c r="C171" s="6">
        <v>0</v>
      </c>
      <c r="D171" s="6">
        <v>0</v>
      </c>
      <c r="E171" s="6">
        <v>0</v>
      </c>
      <c r="F171" s="6">
        <v>0</v>
      </c>
      <c r="G171" s="6">
        <v>0</v>
      </c>
      <c r="H171" s="6">
        <v>0</v>
      </c>
      <c r="I171" s="6">
        <v>0</v>
      </c>
      <c r="J171" s="6">
        <v>0</v>
      </c>
      <c r="K171" s="6">
        <v>0</v>
      </c>
      <c r="L171" s="6">
        <v>0</v>
      </c>
      <c r="M171" s="6">
        <v>0</v>
      </c>
      <c r="N171" s="6">
        <v>0</v>
      </c>
      <c r="O171" s="6">
        <v>0</v>
      </c>
      <c r="P171" s="6">
        <v>0</v>
      </c>
      <c r="Q171" s="6">
        <v>2941</v>
      </c>
      <c r="R171" s="6">
        <v>4439</v>
      </c>
      <c r="S171" s="6">
        <v>10888</v>
      </c>
      <c r="T171" s="6">
        <v>21788</v>
      </c>
      <c r="U171" s="6">
        <v>49416</v>
      </c>
      <c r="V171" s="6">
        <v>99770</v>
      </c>
      <c r="W171" s="6">
        <v>104130</v>
      </c>
      <c r="X171" s="8">
        <v>189301</v>
      </c>
      <c r="Y171" s="8">
        <v>107447</v>
      </c>
      <c r="Z171" s="8">
        <v>90536</v>
      </c>
      <c r="AA171" s="8">
        <v>94564</v>
      </c>
      <c r="AB171" s="8">
        <v>47838</v>
      </c>
      <c r="AC171" s="8">
        <v>56988</v>
      </c>
      <c r="AD171" s="8">
        <v>50473</v>
      </c>
      <c r="AE171" s="8">
        <v>47460</v>
      </c>
      <c r="AF171" s="8">
        <v>37446</v>
      </c>
      <c r="AG171" s="8">
        <v>5828</v>
      </c>
      <c r="AH171" s="8">
        <v>11135</v>
      </c>
      <c r="AI171" s="8">
        <v>12890</v>
      </c>
    </row>
    <row r="172" spans="1:36">
      <c r="A172" s="4" t="s">
        <v>117</v>
      </c>
      <c r="B172" s="33">
        <v>-194.85300000000001</v>
      </c>
      <c r="C172" s="33">
        <v>-213.11799999999999</v>
      </c>
      <c r="D172" s="33">
        <v>-159.58699999999999</v>
      </c>
      <c r="E172" s="33">
        <v>-159</v>
      </c>
      <c r="F172" s="33">
        <v>-67</v>
      </c>
      <c r="G172" s="33">
        <v>-53</v>
      </c>
      <c r="H172" s="33">
        <v>-46</v>
      </c>
      <c r="I172" s="33">
        <v>-47</v>
      </c>
      <c r="J172" s="33">
        <v>-142</v>
      </c>
      <c r="K172" s="33">
        <v>-232</v>
      </c>
      <c r="L172" s="33">
        <v>-174</v>
      </c>
      <c r="M172" s="33">
        <v>-164</v>
      </c>
      <c r="N172" s="33">
        <v>-176</v>
      </c>
      <c r="O172" s="33">
        <v>-260</v>
      </c>
      <c r="P172" s="33">
        <v>-657</v>
      </c>
      <c r="Q172" s="33">
        <v>-735</v>
      </c>
      <c r="R172" s="33">
        <v>-1091</v>
      </c>
      <c r="S172" s="33">
        <v>-1144</v>
      </c>
      <c r="T172" s="33">
        <v>-2005</v>
      </c>
      <c r="U172" s="33">
        <v>-4260</v>
      </c>
      <c r="V172" s="33">
        <v>-8295</v>
      </c>
      <c r="W172" s="33">
        <v>-8165</v>
      </c>
      <c r="X172" s="37">
        <v>-9571</v>
      </c>
      <c r="Y172" s="37">
        <v>-11247</v>
      </c>
      <c r="Z172" s="37">
        <v>-12734</v>
      </c>
      <c r="AA172" s="37">
        <v>-12451</v>
      </c>
      <c r="AB172" s="37">
        <v>-13313</v>
      </c>
      <c r="AC172" s="37">
        <v>-10495</v>
      </c>
      <c r="AD172" s="37">
        <v>-7309</v>
      </c>
      <c r="AE172" s="37">
        <v>-11085</v>
      </c>
      <c r="AF172" s="37">
        <v>-10708</v>
      </c>
      <c r="AG172" s="37">
        <v>-10959</v>
      </c>
      <c r="AH172" s="37">
        <v>-9447</v>
      </c>
      <c r="AI172" s="37">
        <v>-12715</v>
      </c>
      <c r="AJ172" s="40"/>
    </row>
    <row r="173" spans="1:36">
      <c r="A173" s="4" t="s">
        <v>118</v>
      </c>
      <c r="B173" s="6">
        <v>0</v>
      </c>
      <c r="C173" s="6">
        <v>0</v>
      </c>
      <c r="D173" s="6">
        <v>0</v>
      </c>
      <c r="E173" s="6">
        <v>0</v>
      </c>
      <c r="F173" s="6">
        <v>0</v>
      </c>
      <c r="G173" s="6">
        <v>47</v>
      </c>
      <c r="H173" s="6">
        <v>89</v>
      </c>
      <c r="I173" s="6">
        <v>23</v>
      </c>
      <c r="J173" s="6">
        <v>0</v>
      </c>
      <c r="K173" s="6">
        <v>0</v>
      </c>
      <c r="L173" s="6">
        <v>0</v>
      </c>
      <c r="M173" s="6">
        <v>0</v>
      </c>
      <c r="N173" s="6">
        <v>0</v>
      </c>
      <c r="O173" s="6">
        <v>0</v>
      </c>
      <c r="P173" s="6">
        <v>0</v>
      </c>
      <c r="Q173" s="6">
        <v>0</v>
      </c>
      <c r="R173" s="6">
        <v>0</v>
      </c>
      <c r="S173" s="6">
        <v>0</v>
      </c>
      <c r="T173" s="6">
        <v>0</v>
      </c>
      <c r="U173" s="6">
        <v>0</v>
      </c>
      <c r="V173" s="6">
        <v>0</v>
      </c>
      <c r="W173" s="6">
        <v>0</v>
      </c>
      <c r="X173" s="8">
        <v>0</v>
      </c>
      <c r="Y173" s="8">
        <v>0</v>
      </c>
      <c r="Z173" s="8">
        <v>0</v>
      </c>
      <c r="AA173" s="8">
        <v>0</v>
      </c>
      <c r="AB173" s="8">
        <v>0</v>
      </c>
      <c r="AC173" s="8">
        <v>0</v>
      </c>
      <c r="AD173" s="8">
        <v>0</v>
      </c>
      <c r="AE173" s="8">
        <v>0</v>
      </c>
      <c r="AF173" s="8">
        <v>0</v>
      </c>
      <c r="AG173" s="8">
        <v>0</v>
      </c>
      <c r="AH173" s="8">
        <v>0</v>
      </c>
      <c r="AI173" s="8">
        <v>0</v>
      </c>
    </row>
    <row r="174" spans="1:36">
      <c r="A174" s="4" t="s">
        <v>119</v>
      </c>
      <c r="B174" s="6">
        <v>0</v>
      </c>
      <c r="C174" s="6">
        <v>0</v>
      </c>
      <c r="D174" s="6">
        <v>0</v>
      </c>
      <c r="E174" s="6">
        <v>0</v>
      </c>
      <c r="F174" s="6">
        <v>0</v>
      </c>
      <c r="G174" s="33">
        <v>-384</v>
      </c>
      <c r="H174" s="33">
        <v>-10</v>
      </c>
      <c r="I174" s="6">
        <v>0</v>
      </c>
      <c r="J174" s="6">
        <v>0</v>
      </c>
      <c r="K174" s="6">
        <v>0</v>
      </c>
      <c r="L174" s="33">
        <v>-52</v>
      </c>
      <c r="M174" s="6">
        <v>0</v>
      </c>
      <c r="N174" s="6">
        <v>0</v>
      </c>
      <c r="O174" s="6">
        <v>0</v>
      </c>
      <c r="P174" s="6">
        <v>0</v>
      </c>
      <c r="Q174" s="6">
        <v>0</v>
      </c>
      <c r="R174" s="33">
        <v>-220</v>
      </c>
      <c r="S174" s="6">
        <v>0</v>
      </c>
      <c r="T174" s="33">
        <v>-638</v>
      </c>
      <c r="U174" s="33">
        <v>-244</v>
      </c>
      <c r="V174" s="33">
        <v>-350</v>
      </c>
      <c r="W174" s="33">
        <v>-496</v>
      </c>
      <c r="X174" s="37">
        <v>-3765</v>
      </c>
      <c r="Y174" s="37">
        <v>-343</v>
      </c>
      <c r="Z174" s="37">
        <v>-297</v>
      </c>
      <c r="AA174" s="37">
        <v>-329</v>
      </c>
      <c r="AB174" s="37">
        <v>-721</v>
      </c>
      <c r="AC174" s="37">
        <v>-624</v>
      </c>
      <c r="AD174" s="37">
        <v>-1524</v>
      </c>
      <c r="AE174" s="37">
        <v>-33</v>
      </c>
      <c r="AF174" s="37">
        <v>-306</v>
      </c>
      <c r="AG174" s="8">
        <v>0</v>
      </c>
      <c r="AH174" s="8">
        <v>0</v>
      </c>
      <c r="AI174" s="8">
        <v>0</v>
      </c>
    </row>
    <row r="175" spans="1:36">
      <c r="A175" s="4" t="s">
        <v>120</v>
      </c>
      <c r="B175" s="6">
        <v>0</v>
      </c>
      <c r="C175" s="6">
        <v>0</v>
      </c>
      <c r="D175" s="6">
        <v>0</v>
      </c>
      <c r="E175" s="6">
        <v>0</v>
      </c>
      <c r="F175" s="6">
        <v>0</v>
      </c>
      <c r="G175" s="6">
        <v>0</v>
      </c>
      <c r="H175" s="6">
        <v>0</v>
      </c>
      <c r="I175" s="6">
        <v>0</v>
      </c>
      <c r="J175" s="6">
        <v>0</v>
      </c>
      <c r="K175" s="6">
        <v>0</v>
      </c>
      <c r="L175" s="6">
        <v>0</v>
      </c>
      <c r="M175" s="6">
        <v>0</v>
      </c>
      <c r="N175" s="6">
        <v>0</v>
      </c>
      <c r="O175" s="6">
        <v>0</v>
      </c>
      <c r="P175" s="33">
        <v>-28</v>
      </c>
      <c r="Q175" s="33">
        <v>-251</v>
      </c>
      <c r="R175" s="33">
        <v>-108</v>
      </c>
      <c r="S175" s="33">
        <v>-69</v>
      </c>
      <c r="T175" s="33">
        <v>-116</v>
      </c>
      <c r="U175" s="33">
        <v>-3192</v>
      </c>
      <c r="V175" s="33">
        <v>-1107</v>
      </c>
      <c r="W175" s="33">
        <v>-911</v>
      </c>
      <c r="X175" s="37">
        <v>-242</v>
      </c>
      <c r="Y175" s="37">
        <v>-241</v>
      </c>
      <c r="Z175" s="37">
        <v>-814</v>
      </c>
      <c r="AA175" s="37">
        <v>-344</v>
      </c>
      <c r="AB175" s="8">
        <v>0</v>
      </c>
      <c r="AC175" s="8">
        <v>0</v>
      </c>
      <c r="AD175" s="8">
        <v>0</v>
      </c>
      <c r="AE175" s="8">
        <v>0</v>
      </c>
      <c r="AF175" s="8">
        <v>0</v>
      </c>
      <c r="AG175" s="8">
        <v>0</v>
      </c>
      <c r="AH175" s="8">
        <v>0</v>
      </c>
      <c r="AI175" s="8">
        <v>0</v>
      </c>
    </row>
    <row r="176" spans="1:36">
      <c r="A176" s="4" t="s">
        <v>121</v>
      </c>
      <c r="B176" s="6">
        <v>0</v>
      </c>
      <c r="C176" s="6">
        <v>0</v>
      </c>
      <c r="D176" s="6">
        <v>0</v>
      </c>
      <c r="E176" s="6">
        <v>0</v>
      </c>
      <c r="F176" s="6">
        <v>0</v>
      </c>
      <c r="G176" s="6">
        <v>0</v>
      </c>
      <c r="H176" s="6">
        <v>0</v>
      </c>
      <c r="I176" s="6">
        <v>0</v>
      </c>
      <c r="J176" s="6">
        <v>0</v>
      </c>
      <c r="K176" s="6">
        <v>0</v>
      </c>
      <c r="L176" s="6">
        <v>0</v>
      </c>
      <c r="M176" s="6">
        <v>0</v>
      </c>
      <c r="N176" s="6">
        <v>0</v>
      </c>
      <c r="O176" s="6">
        <v>0</v>
      </c>
      <c r="P176" s="6">
        <v>0</v>
      </c>
      <c r="Q176" s="6">
        <v>0</v>
      </c>
      <c r="R176" s="6">
        <v>0</v>
      </c>
      <c r="S176" s="6">
        <v>0</v>
      </c>
      <c r="T176" s="6">
        <v>0</v>
      </c>
      <c r="U176" s="6">
        <v>0</v>
      </c>
      <c r="V176" s="6">
        <v>0</v>
      </c>
      <c r="W176" s="6">
        <v>0</v>
      </c>
      <c r="X176" s="8">
        <v>0</v>
      </c>
      <c r="Y176" s="8">
        <v>0</v>
      </c>
      <c r="Z176" s="37">
        <v>-1388</v>
      </c>
      <c r="AA176" s="37">
        <v>-395</v>
      </c>
      <c r="AB176" s="8">
        <v>0</v>
      </c>
      <c r="AC176" s="8">
        <v>0</v>
      </c>
      <c r="AD176" s="8">
        <v>0</v>
      </c>
      <c r="AE176" s="8">
        <v>0</v>
      </c>
      <c r="AF176" s="8">
        <v>0</v>
      </c>
      <c r="AG176" s="8">
        <v>0</v>
      </c>
      <c r="AH176" s="8">
        <v>0</v>
      </c>
      <c r="AI176" s="8">
        <v>0</v>
      </c>
    </row>
    <row r="177" spans="1:35">
      <c r="A177" s="4" t="s">
        <v>122</v>
      </c>
      <c r="B177" s="6">
        <v>0</v>
      </c>
      <c r="C177" s="6">
        <v>0</v>
      </c>
      <c r="D177" s="6">
        <v>0</v>
      </c>
      <c r="E177" s="6">
        <v>0</v>
      </c>
      <c r="F177" s="6">
        <v>0</v>
      </c>
      <c r="G177" s="6">
        <v>0</v>
      </c>
      <c r="H177" s="6">
        <v>0</v>
      </c>
      <c r="I177" s="6">
        <v>0</v>
      </c>
      <c r="J177" s="6">
        <v>0</v>
      </c>
      <c r="K177" s="6">
        <v>0</v>
      </c>
      <c r="L177" s="6">
        <v>0</v>
      </c>
      <c r="M177" s="6">
        <v>0</v>
      </c>
      <c r="N177" s="6">
        <v>0</v>
      </c>
      <c r="O177" s="6">
        <v>0</v>
      </c>
      <c r="P177" s="6">
        <v>0</v>
      </c>
      <c r="Q177" s="6">
        <v>0</v>
      </c>
      <c r="R177" s="6">
        <v>0</v>
      </c>
      <c r="S177" s="6">
        <v>0</v>
      </c>
      <c r="T177" s="6">
        <v>0</v>
      </c>
      <c r="U177" s="6">
        <v>0</v>
      </c>
      <c r="V177" s="6">
        <v>0</v>
      </c>
      <c r="W177" s="6">
        <v>0</v>
      </c>
      <c r="X177" s="8">
        <v>0</v>
      </c>
      <c r="Y177" s="8">
        <v>0</v>
      </c>
      <c r="Z177" s="8">
        <v>0</v>
      </c>
      <c r="AA177" s="8">
        <v>0</v>
      </c>
      <c r="AB177" s="37">
        <v>-1871</v>
      </c>
      <c r="AC177" s="37">
        <v>-1001</v>
      </c>
      <c r="AD177" s="37">
        <v>-210</v>
      </c>
      <c r="AE177" s="37">
        <v>-131</v>
      </c>
      <c r="AF177" s="8">
        <v>0</v>
      </c>
      <c r="AG177" s="8">
        <v>0</v>
      </c>
      <c r="AH177" s="8">
        <v>0</v>
      </c>
      <c r="AI177" s="8">
        <v>0</v>
      </c>
    </row>
    <row r="178" spans="1:35">
      <c r="A178" s="4" t="s">
        <v>123</v>
      </c>
      <c r="B178" s="6">
        <v>0</v>
      </c>
      <c r="C178" s="6">
        <v>0</v>
      </c>
      <c r="D178" s="6">
        <v>0</v>
      </c>
      <c r="E178" s="6">
        <v>0</v>
      </c>
      <c r="F178" s="6">
        <v>0</v>
      </c>
      <c r="G178" s="6">
        <v>0</v>
      </c>
      <c r="H178" s="6">
        <v>0</v>
      </c>
      <c r="I178" s="6">
        <v>0</v>
      </c>
      <c r="J178" s="6">
        <v>0</v>
      </c>
      <c r="K178" s="6">
        <v>0</v>
      </c>
      <c r="L178" s="6">
        <v>0</v>
      </c>
      <c r="M178" s="6">
        <v>0</v>
      </c>
      <c r="N178" s="6">
        <v>0</v>
      </c>
      <c r="O178" s="6">
        <v>0</v>
      </c>
      <c r="P178" s="6">
        <v>0</v>
      </c>
      <c r="Q178" s="6">
        <v>0</v>
      </c>
      <c r="R178" s="6">
        <v>0</v>
      </c>
      <c r="S178" s="6">
        <v>0</v>
      </c>
      <c r="T178" s="6">
        <v>0</v>
      </c>
      <c r="U178" s="6">
        <v>0</v>
      </c>
      <c r="V178" s="6">
        <v>0</v>
      </c>
      <c r="W178" s="6">
        <v>0</v>
      </c>
      <c r="X178" s="6">
        <v>0</v>
      </c>
      <c r="Y178" s="8">
        <v>0</v>
      </c>
      <c r="Z178" s="8">
        <v>0</v>
      </c>
      <c r="AA178" s="8">
        <v>0</v>
      </c>
      <c r="AB178" s="8">
        <v>353</v>
      </c>
      <c r="AC178" s="8">
        <v>1634</v>
      </c>
      <c r="AD178" s="8">
        <v>92</v>
      </c>
      <c r="AE178" s="8">
        <v>387</v>
      </c>
      <c r="AF178" s="8">
        <v>0</v>
      </c>
      <c r="AG178" s="8">
        <v>0</v>
      </c>
      <c r="AH178" s="8">
        <v>0</v>
      </c>
      <c r="AI178" s="8">
        <v>0</v>
      </c>
    </row>
    <row r="179" spans="1:35">
      <c r="A179" s="4" t="s">
        <v>124</v>
      </c>
      <c r="B179" s="6">
        <v>0</v>
      </c>
      <c r="C179" s="6">
        <v>0</v>
      </c>
      <c r="D179" s="6">
        <v>0</v>
      </c>
      <c r="E179" s="6">
        <v>0</v>
      </c>
      <c r="F179" s="6">
        <v>0</v>
      </c>
      <c r="G179" s="6">
        <v>0</v>
      </c>
      <c r="H179" s="6">
        <v>24</v>
      </c>
      <c r="I179" s="6">
        <v>245</v>
      </c>
      <c r="J179" s="6">
        <v>372</v>
      </c>
      <c r="K179" s="6">
        <v>340</v>
      </c>
      <c r="L179" s="6">
        <v>25</v>
      </c>
      <c r="M179" s="6">
        <v>45</v>
      </c>
      <c r="N179" s="6">
        <v>5</v>
      </c>
      <c r="O179" s="6">
        <v>0</v>
      </c>
      <c r="P179" s="6">
        <v>0</v>
      </c>
      <c r="Q179" s="6">
        <v>0</v>
      </c>
      <c r="R179" s="6">
        <v>0</v>
      </c>
      <c r="S179" s="6">
        <v>0</v>
      </c>
      <c r="T179" s="6">
        <v>0</v>
      </c>
      <c r="U179" s="6">
        <v>0</v>
      </c>
      <c r="V179" s="6">
        <v>0</v>
      </c>
      <c r="W179" s="6">
        <v>0</v>
      </c>
      <c r="X179" s="6">
        <v>0</v>
      </c>
      <c r="Y179" s="8">
        <v>0</v>
      </c>
      <c r="Z179" s="8">
        <v>0</v>
      </c>
      <c r="AA179" s="8">
        <v>0</v>
      </c>
      <c r="AB179" s="8">
        <v>0</v>
      </c>
      <c r="AC179" s="8">
        <v>0</v>
      </c>
      <c r="AD179" s="8">
        <v>0</v>
      </c>
      <c r="AE179" s="8">
        <v>0</v>
      </c>
      <c r="AF179" s="8">
        <v>0</v>
      </c>
      <c r="AG179" s="8">
        <v>0</v>
      </c>
      <c r="AH179" s="8">
        <v>0</v>
      </c>
      <c r="AI179" s="8">
        <v>0</v>
      </c>
    </row>
    <row r="180" spans="1:35">
      <c r="A180" s="4" t="s">
        <v>125</v>
      </c>
      <c r="B180" s="33">
        <v>-69.41</v>
      </c>
      <c r="C180" s="33">
        <v>-15.169</v>
      </c>
      <c r="D180" s="33">
        <v>-3.7370000000000001</v>
      </c>
      <c r="E180" s="33">
        <v>-102</v>
      </c>
      <c r="F180" s="33">
        <v>-55</v>
      </c>
      <c r="G180" s="33">
        <v>-73</v>
      </c>
      <c r="H180" s="33">
        <v>-10</v>
      </c>
      <c r="I180" s="6">
        <v>8</v>
      </c>
      <c r="J180" s="33">
        <v>-34</v>
      </c>
      <c r="K180" s="33">
        <v>-36</v>
      </c>
      <c r="L180" s="33">
        <v>-7</v>
      </c>
      <c r="M180" s="6">
        <v>33</v>
      </c>
      <c r="N180" s="6">
        <v>11</v>
      </c>
      <c r="O180" s="33">
        <v>-21</v>
      </c>
      <c r="P180" s="6">
        <v>10</v>
      </c>
      <c r="Q180" s="6">
        <v>49</v>
      </c>
      <c r="R180" s="33">
        <v>-10</v>
      </c>
      <c r="S180" s="33">
        <v>-175</v>
      </c>
      <c r="T180" s="33">
        <v>-20</v>
      </c>
      <c r="U180" s="33">
        <v>-259</v>
      </c>
      <c r="V180" s="33">
        <v>-48</v>
      </c>
      <c r="W180" s="33">
        <v>-160</v>
      </c>
      <c r="X180" s="6">
        <v>16</v>
      </c>
      <c r="Y180" s="37">
        <v>-26</v>
      </c>
      <c r="Z180" s="37">
        <v>-110</v>
      </c>
      <c r="AA180" s="8">
        <v>220</v>
      </c>
      <c r="AB180" s="37">
        <v>-745</v>
      </c>
      <c r="AC180" s="37">
        <v>-1078</v>
      </c>
      <c r="AD180" s="37">
        <v>-791</v>
      </c>
      <c r="AE180" s="37">
        <v>-608</v>
      </c>
      <c r="AF180" s="37">
        <v>-1780</v>
      </c>
      <c r="AG180" s="37">
        <v>-1337</v>
      </c>
      <c r="AH180" s="37">
        <v>-1308</v>
      </c>
      <c r="AI180" s="37">
        <v>-1480</v>
      </c>
    </row>
    <row r="181" spans="1:35">
      <c r="A181" s="17" t="s">
        <v>126</v>
      </c>
      <c r="B181" s="34">
        <f t="shared" ref="B181:AI181" si="208">SUM(B165:B180)</f>
        <v>-912.6339999999999</v>
      </c>
      <c r="C181" s="18">
        <f t="shared" si="208"/>
        <v>492.76599999999991</v>
      </c>
      <c r="D181" s="34">
        <f t="shared" si="208"/>
        <v>-1.801999999999941</v>
      </c>
      <c r="E181" s="34">
        <f t="shared" si="208"/>
        <v>-402</v>
      </c>
      <c r="F181" s="34">
        <f t="shared" si="208"/>
        <v>-119</v>
      </c>
      <c r="G181" s="34">
        <f t="shared" si="208"/>
        <v>-499</v>
      </c>
      <c r="H181" s="34">
        <f t="shared" si="208"/>
        <v>-543</v>
      </c>
      <c r="I181" s="34">
        <f t="shared" si="208"/>
        <v>-964</v>
      </c>
      <c r="J181" s="34">
        <f t="shared" si="208"/>
        <v>-972</v>
      </c>
      <c r="K181" s="18">
        <f t="shared" si="208"/>
        <v>892</v>
      </c>
      <c r="L181" s="34">
        <f t="shared" si="208"/>
        <v>-252</v>
      </c>
      <c r="M181" s="18">
        <f t="shared" si="208"/>
        <v>828</v>
      </c>
      <c r="N181" s="34">
        <f t="shared" si="208"/>
        <v>-1488</v>
      </c>
      <c r="O181" s="34">
        <f t="shared" si="208"/>
        <v>-2556</v>
      </c>
      <c r="P181" s="18">
        <f t="shared" si="208"/>
        <v>357</v>
      </c>
      <c r="Q181" s="34">
        <f t="shared" si="208"/>
        <v>-3249</v>
      </c>
      <c r="R181" s="34">
        <f t="shared" si="208"/>
        <v>-8189</v>
      </c>
      <c r="S181" s="34">
        <f t="shared" si="208"/>
        <v>-17434</v>
      </c>
      <c r="T181" s="34">
        <f t="shared" si="208"/>
        <v>-13854</v>
      </c>
      <c r="U181" s="34">
        <f t="shared" si="208"/>
        <v>-40419</v>
      </c>
      <c r="V181" s="34">
        <f t="shared" si="208"/>
        <v>-48227</v>
      </c>
      <c r="W181" s="34">
        <f t="shared" si="208"/>
        <v>-33774</v>
      </c>
      <c r="X181" s="39">
        <f t="shared" si="208"/>
        <v>-22579</v>
      </c>
      <c r="Y181" s="39">
        <f t="shared" si="208"/>
        <v>-56274</v>
      </c>
      <c r="Z181" s="39">
        <f t="shared" si="208"/>
        <v>-45977</v>
      </c>
      <c r="AA181" s="39">
        <f t="shared" si="208"/>
        <v>-46446</v>
      </c>
      <c r="AB181" s="19">
        <f t="shared" si="208"/>
        <v>16066</v>
      </c>
      <c r="AC181" s="19">
        <f t="shared" si="208"/>
        <v>45896</v>
      </c>
      <c r="AD181" s="39">
        <f t="shared" si="208"/>
        <v>-4289</v>
      </c>
      <c r="AE181" s="39">
        <f t="shared" si="208"/>
        <v>-14545</v>
      </c>
      <c r="AF181" s="39">
        <f t="shared" si="208"/>
        <v>-22354</v>
      </c>
      <c r="AG181" s="19">
        <f t="shared" si="208"/>
        <v>3705</v>
      </c>
      <c r="AH181" s="19">
        <f t="shared" si="208"/>
        <v>2935</v>
      </c>
      <c r="AI181" s="19">
        <f t="shared" si="208"/>
        <v>15195</v>
      </c>
    </row>
    <row r="182" spans="1:35">
      <c r="A182" s="25"/>
      <c r="B182" s="26"/>
      <c r="C182" s="26"/>
      <c r="D182" s="26"/>
      <c r="E182" s="26"/>
      <c r="F182" s="26"/>
      <c r="G182" s="26"/>
      <c r="H182" s="26"/>
      <c r="I182" s="26"/>
      <c r="J182" s="26"/>
      <c r="K182" s="26"/>
      <c r="L182" s="26"/>
      <c r="M182" s="26"/>
      <c r="N182" s="26"/>
      <c r="O182" s="26"/>
      <c r="P182" s="26"/>
      <c r="Q182" s="26"/>
      <c r="R182" s="26"/>
      <c r="S182" s="26"/>
      <c r="T182" s="26"/>
      <c r="U182" s="26"/>
      <c r="V182" s="26"/>
      <c r="W182" s="26"/>
      <c r="X182" s="27"/>
      <c r="Y182" s="27"/>
      <c r="Z182" s="27"/>
      <c r="AA182" s="27"/>
      <c r="AB182" s="27"/>
      <c r="AC182" s="27"/>
      <c r="AD182" s="27"/>
      <c r="AE182" s="27"/>
      <c r="AF182" s="27"/>
      <c r="AG182" s="27"/>
      <c r="AH182" s="27"/>
      <c r="AI182" s="27"/>
    </row>
    <row r="183" spans="1:35">
      <c r="A183" s="4" t="s">
        <v>127</v>
      </c>
      <c r="B183" s="6">
        <v>35.895000000000003</v>
      </c>
      <c r="C183" s="6">
        <v>638.721</v>
      </c>
      <c r="D183" s="33">
        <v>-530.98199999999997</v>
      </c>
      <c r="E183" s="6">
        <v>169</v>
      </c>
      <c r="F183" s="33">
        <v>-275</v>
      </c>
      <c r="G183" s="33">
        <v>-161</v>
      </c>
      <c r="H183" s="33">
        <v>-22</v>
      </c>
      <c r="I183" s="6">
        <v>0</v>
      </c>
      <c r="J183" s="6">
        <v>0</v>
      </c>
      <c r="K183" s="6">
        <v>0</v>
      </c>
      <c r="L183" s="6">
        <v>0</v>
      </c>
      <c r="M183" s="6">
        <v>0</v>
      </c>
      <c r="N183" s="6">
        <v>0</v>
      </c>
      <c r="O183" s="6">
        <v>0</v>
      </c>
      <c r="P183" s="6">
        <v>0</v>
      </c>
      <c r="Q183" s="6">
        <v>0</v>
      </c>
      <c r="R183" s="6">
        <v>0</v>
      </c>
      <c r="S183" s="6">
        <v>0</v>
      </c>
      <c r="T183" s="6">
        <v>0</v>
      </c>
      <c r="U183" s="6">
        <v>0</v>
      </c>
      <c r="V183" s="6">
        <v>0</v>
      </c>
      <c r="W183" s="6">
        <v>0</v>
      </c>
      <c r="X183" s="8">
        <v>0</v>
      </c>
      <c r="Y183" s="8">
        <v>0</v>
      </c>
      <c r="Z183" s="8">
        <v>0</v>
      </c>
      <c r="AA183" s="8">
        <v>0</v>
      </c>
      <c r="AB183" s="8">
        <v>0</v>
      </c>
      <c r="AC183" s="8">
        <v>0</v>
      </c>
      <c r="AD183" s="8">
        <v>0</v>
      </c>
      <c r="AE183" s="8">
        <v>0</v>
      </c>
      <c r="AF183" s="8">
        <v>0</v>
      </c>
      <c r="AG183" s="8">
        <v>0</v>
      </c>
      <c r="AH183" s="8">
        <v>0</v>
      </c>
      <c r="AI183" s="8">
        <v>0</v>
      </c>
    </row>
    <row r="184" spans="1:35">
      <c r="A184" s="4" t="s">
        <v>128</v>
      </c>
      <c r="B184" s="33">
        <v>-0.39100000000000001</v>
      </c>
      <c r="C184" s="33">
        <v>-10.624000000000001</v>
      </c>
      <c r="D184" s="6">
        <v>297.35500000000002</v>
      </c>
      <c r="E184" s="33">
        <v>-2</v>
      </c>
      <c r="F184" s="6">
        <v>646</v>
      </c>
      <c r="G184" s="6">
        <v>0</v>
      </c>
      <c r="H184" s="6">
        <v>0</v>
      </c>
      <c r="I184" s="6">
        <v>0</v>
      </c>
      <c r="J184" s="6">
        <v>0</v>
      </c>
      <c r="K184" s="6">
        <v>0</v>
      </c>
      <c r="L184" s="6">
        <v>0</v>
      </c>
      <c r="M184" s="6">
        <v>0</v>
      </c>
      <c r="N184" s="6">
        <v>0</v>
      </c>
      <c r="O184" s="6">
        <v>0</v>
      </c>
      <c r="P184" s="6">
        <v>0</v>
      </c>
      <c r="Q184" s="6">
        <v>0</v>
      </c>
      <c r="R184" s="6">
        <v>0</v>
      </c>
      <c r="S184" s="6">
        <v>0</v>
      </c>
      <c r="T184" s="6">
        <v>0</v>
      </c>
      <c r="U184" s="6">
        <v>0</v>
      </c>
      <c r="V184" s="6">
        <v>0</v>
      </c>
      <c r="W184" s="6">
        <v>0</v>
      </c>
      <c r="X184" s="8">
        <v>0</v>
      </c>
      <c r="Y184" s="8">
        <v>0</v>
      </c>
      <c r="Z184" s="8">
        <v>0</v>
      </c>
      <c r="AA184" s="8">
        <v>0</v>
      </c>
      <c r="AB184" s="8">
        <v>0</v>
      </c>
      <c r="AC184" s="8">
        <v>0</v>
      </c>
      <c r="AD184" s="8">
        <v>0</v>
      </c>
      <c r="AE184" s="8">
        <v>0</v>
      </c>
      <c r="AF184" s="8">
        <v>0</v>
      </c>
      <c r="AG184" s="8">
        <v>0</v>
      </c>
      <c r="AH184" s="8">
        <v>0</v>
      </c>
      <c r="AI184" s="8">
        <v>0</v>
      </c>
    </row>
    <row r="185" spans="1:35">
      <c r="A185" s="4" t="s">
        <v>129</v>
      </c>
      <c r="B185" s="6">
        <v>0</v>
      </c>
      <c r="C185" s="6">
        <v>0</v>
      </c>
      <c r="D185" s="6">
        <v>0</v>
      </c>
      <c r="E185" s="6">
        <v>0</v>
      </c>
      <c r="F185" s="6">
        <v>0</v>
      </c>
      <c r="G185" s="6">
        <v>0</v>
      </c>
      <c r="H185" s="6">
        <v>0</v>
      </c>
      <c r="I185" s="6">
        <v>0</v>
      </c>
      <c r="J185" s="6">
        <v>0</v>
      </c>
      <c r="K185" s="6">
        <v>0</v>
      </c>
      <c r="L185" s="6">
        <v>0</v>
      </c>
      <c r="M185" s="6">
        <v>0</v>
      </c>
      <c r="N185" s="33">
        <v>-300</v>
      </c>
      <c r="O185" s="6">
        <v>0</v>
      </c>
      <c r="P185" s="6">
        <v>0</v>
      </c>
      <c r="Q185" s="6">
        <v>0</v>
      </c>
      <c r="R185" s="6">
        <v>0</v>
      </c>
      <c r="S185" s="6">
        <v>0</v>
      </c>
      <c r="T185" s="6">
        <v>0</v>
      </c>
      <c r="U185" s="6">
        <v>0</v>
      </c>
      <c r="V185" s="6">
        <v>0</v>
      </c>
      <c r="W185" s="6">
        <v>0</v>
      </c>
      <c r="X185" s="8">
        <v>0</v>
      </c>
      <c r="Y185" s="8">
        <v>0</v>
      </c>
      <c r="Z185" s="8">
        <v>0</v>
      </c>
      <c r="AA185" s="8">
        <v>0</v>
      </c>
      <c r="AB185" s="8">
        <v>0</v>
      </c>
      <c r="AC185" s="8">
        <v>0</v>
      </c>
      <c r="AD185" s="8">
        <v>0</v>
      </c>
      <c r="AE185" s="8">
        <v>0</v>
      </c>
      <c r="AF185" s="8">
        <v>0</v>
      </c>
      <c r="AG185" s="8">
        <v>0</v>
      </c>
      <c r="AH185" s="8">
        <v>0</v>
      </c>
      <c r="AI185" s="8">
        <v>0</v>
      </c>
    </row>
    <row r="186" spans="1:35">
      <c r="A186" s="4" t="s">
        <v>130</v>
      </c>
      <c r="B186" s="6">
        <v>0</v>
      </c>
      <c r="C186" s="6">
        <v>0</v>
      </c>
      <c r="D186" s="6">
        <v>0</v>
      </c>
      <c r="E186" s="6">
        <v>0</v>
      </c>
      <c r="F186" s="6">
        <v>0</v>
      </c>
      <c r="G186" s="6">
        <v>150</v>
      </c>
      <c r="H186" s="6">
        <v>0</v>
      </c>
      <c r="I186" s="6">
        <v>0</v>
      </c>
      <c r="J186" s="6">
        <v>0</v>
      </c>
      <c r="K186" s="6">
        <v>0</v>
      </c>
      <c r="L186" s="6">
        <v>0</v>
      </c>
      <c r="M186" s="6">
        <v>0</v>
      </c>
      <c r="N186" s="6">
        <v>0</v>
      </c>
      <c r="O186" s="6">
        <v>0</v>
      </c>
      <c r="P186" s="6">
        <v>0</v>
      </c>
      <c r="Q186" s="6">
        <v>0</v>
      </c>
      <c r="R186" s="6">
        <v>0</v>
      </c>
      <c r="S186" s="6">
        <v>0</v>
      </c>
      <c r="T186" s="6">
        <v>0</v>
      </c>
      <c r="U186" s="6">
        <v>0</v>
      </c>
      <c r="V186" s="6">
        <v>0</v>
      </c>
      <c r="W186" s="6">
        <v>0</v>
      </c>
      <c r="X186" s="8">
        <v>0</v>
      </c>
      <c r="Y186" s="8">
        <v>0</v>
      </c>
      <c r="Z186" s="8">
        <v>0</v>
      </c>
      <c r="AA186" s="8">
        <v>0</v>
      </c>
      <c r="AB186" s="8">
        <v>0</v>
      </c>
      <c r="AC186" s="8">
        <v>0</v>
      </c>
      <c r="AD186" s="8">
        <v>0</v>
      </c>
      <c r="AE186" s="8">
        <v>0</v>
      </c>
      <c r="AF186" s="8">
        <v>0</v>
      </c>
      <c r="AG186" s="8">
        <v>0</v>
      </c>
      <c r="AH186" s="8">
        <v>0</v>
      </c>
      <c r="AI186" s="8">
        <v>0</v>
      </c>
    </row>
    <row r="187" spans="1:35">
      <c r="A187" s="4" t="s">
        <v>131</v>
      </c>
      <c r="B187" s="6">
        <v>120.38800000000001</v>
      </c>
      <c r="C187" s="6">
        <v>85.289000000000001</v>
      </c>
      <c r="D187" s="6">
        <v>82.081000000000003</v>
      </c>
      <c r="E187" s="6">
        <v>86</v>
      </c>
      <c r="F187" s="6">
        <v>39</v>
      </c>
      <c r="G187" s="6">
        <v>34</v>
      </c>
      <c r="H187" s="6">
        <v>41</v>
      </c>
      <c r="I187" s="6">
        <v>86</v>
      </c>
      <c r="J187" s="6">
        <v>85</v>
      </c>
      <c r="K187" s="6">
        <v>42</v>
      </c>
      <c r="L187" s="6">
        <v>105</v>
      </c>
      <c r="M187" s="6">
        <v>53</v>
      </c>
      <c r="N187" s="6">
        <v>427</v>
      </c>
      <c r="O187" s="6">
        <v>543</v>
      </c>
      <c r="P187" s="6">
        <v>318</v>
      </c>
      <c r="Q187" s="6">
        <v>365</v>
      </c>
      <c r="R187" s="6">
        <v>483</v>
      </c>
      <c r="S187" s="6">
        <v>475</v>
      </c>
      <c r="T187" s="6">
        <v>912</v>
      </c>
      <c r="U187" s="6">
        <v>831</v>
      </c>
      <c r="V187" s="6">
        <v>665</v>
      </c>
      <c r="W187" s="6">
        <v>530</v>
      </c>
      <c r="X187" s="8">
        <v>730</v>
      </c>
      <c r="Y187" s="8">
        <v>543</v>
      </c>
      <c r="Z187" s="8">
        <v>495</v>
      </c>
      <c r="AA187" s="8">
        <v>555</v>
      </c>
      <c r="AB187" s="8">
        <v>669</v>
      </c>
      <c r="AC187" s="8">
        <v>781</v>
      </c>
      <c r="AD187" s="8">
        <v>880</v>
      </c>
      <c r="AE187" s="8">
        <v>1105</v>
      </c>
      <c r="AF187" s="8">
        <v>0</v>
      </c>
      <c r="AG187" s="8">
        <v>0</v>
      </c>
      <c r="AH187" s="8">
        <v>0</v>
      </c>
      <c r="AI187" s="8">
        <v>0</v>
      </c>
    </row>
    <row r="188" spans="1:35">
      <c r="A188" s="4" t="s">
        <v>132</v>
      </c>
      <c r="B188" s="33">
        <v>-212.625</v>
      </c>
      <c r="C188" s="33">
        <v>-273.45400000000001</v>
      </c>
      <c r="D188" s="6">
        <v>0</v>
      </c>
      <c r="E188" s="6">
        <v>0</v>
      </c>
      <c r="F188" s="6">
        <v>0</v>
      </c>
      <c r="G188" s="6">
        <v>0</v>
      </c>
      <c r="H188" s="6">
        <v>0</v>
      </c>
      <c r="I188" s="33">
        <v>-75</v>
      </c>
      <c r="J188" s="33">
        <v>-116</v>
      </c>
      <c r="K188" s="6">
        <v>0</v>
      </c>
      <c r="L188" s="6">
        <v>0</v>
      </c>
      <c r="M188" s="33">
        <v>-26</v>
      </c>
      <c r="N188" s="6">
        <v>0</v>
      </c>
      <c r="O188" s="6">
        <v>0</v>
      </c>
      <c r="P188" s="6">
        <v>0</v>
      </c>
      <c r="Q188" s="6">
        <v>0</v>
      </c>
      <c r="R188" s="6">
        <v>0</v>
      </c>
      <c r="S188" s="6">
        <v>0</v>
      </c>
      <c r="T188" s="6">
        <v>0</v>
      </c>
      <c r="U188" s="6">
        <v>0</v>
      </c>
      <c r="V188" s="6">
        <v>0</v>
      </c>
      <c r="W188" s="33">
        <v>-22860</v>
      </c>
      <c r="X188" s="37">
        <v>-45000</v>
      </c>
      <c r="Y188" s="37">
        <v>-35253</v>
      </c>
      <c r="Z188" s="37">
        <v>-29722</v>
      </c>
      <c r="AA188" s="37">
        <v>-32900</v>
      </c>
      <c r="AB188" s="37">
        <v>-72738</v>
      </c>
      <c r="AC188" s="37">
        <v>-66897</v>
      </c>
      <c r="AD188" s="37">
        <v>-72358</v>
      </c>
      <c r="AE188" s="37">
        <v>-85971</v>
      </c>
      <c r="AF188" s="37">
        <v>-89402</v>
      </c>
      <c r="AG188" s="37">
        <v>-77550</v>
      </c>
      <c r="AH188" s="37">
        <v>-94949</v>
      </c>
      <c r="AI188" s="37">
        <v>-90711</v>
      </c>
    </row>
    <row r="189" spans="1:35" ht="16.05" customHeight="1">
      <c r="A189" s="4" t="s">
        <v>133</v>
      </c>
      <c r="B189" s="37">
        <v>-57.195999999999998</v>
      </c>
      <c r="C189" s="37">
        <v>-55.593000000000004</v>
      </c>
      <c r="D189" s="37">
        <v>-56.572000000000003</v>
      </c>
      <c r="E189" s="37">
        <v>-58</v>
      </c>
      <c r="F189" s="37">
        <v>-14</v>
      </c>
      <c r="G189" s="8">
        <v>0</v>
      </c>
      <c r="H189" s="8">
        <v>0</v>
      </c>
      <c r="I189" s="8">
        <v>0</v>
      </c>
      <c r="J189" s="8">
        <v>0</v>
      </c>
      <c r="K189" s="8">
        <v>0</v>
      </c>
      <c r="L189" s="8">
        <v>0</v>
      </c>
      <c r="M189" s="8">
        <v>0</v>
      </c>
      <c r="N189" s="8">
        <v>0</v>
      </c>
      <c r="O189" s="8">
        <v>0</v>
      </c>
      <c r="P189" s="8">
        <v>0</v>
      </c>
      <c r="Q189" s="8">
        <v>0</v>
      </c>
      <c r="R189" s="8">
        <v>0</v>
      </c>
      <c r="S189" s="8">
        <v>0</v>
      </c>
      <c r="T189" s="8">
        <v>0</v>
      </c>
      <c r="U189" s="8">
        <v>0</v>
      </c>
      <c r="V189" s="37">
        <v>-2488</v>
      </c>
      <c r="W189" s="37">
        <v>-10564</v>
      </c>
      <c r="X189" s="37">
        <v>-11126</v>
      </c>
      <c r="Y189" s="37">
        <v>-11561</v>
      </c>
      <c r="Z189" s="37">
        <v>-12150</v>
      </c>
      <c r="AA189" s="37">
        <v>-12769</v>
      </c>
      <c r="AB189" s="37">
        <v>-13712</v>
      </c>
      <c r="AC189" s="37">
        <v>-14119</v>
      </c>
      <c r="AD189" s="37">
        <v>-14081</v>
      </c>
      <c r="AE189" s="37">
        <v>-14467</v>
      </c>
      <c r="AF189" s="37">
        <v>-14841</v>
      </c>
      <c r="AG189" s="37">
        <v>-15025</v>
      </c>
      <c r="AH189" s="37">
        <v>-15234</v>
      </c>
      <c r="AI189" s="37">
        <v>-15421</v>
      </c>
    </row>
    <row r="190" spans="1:35">
      <c r="A190" s="4" t="s">
        <v>134</v>
      </c>
      <c r="B190" s="6">
        <v>0</v>
      </c>
      <c r="C190" s="6">
        <v>0</v>
      </c>
      <c r="D190" s="6">
        <v>0</v>
      </c>
      <c r="E190" s="6">
        <v>0</v>
      </c>
      <c r="F190" s="6">
        <v>0</v>
      </c>
      <c r="G190" s="6">
        <v>0</v>
      </c>
      <c r="H190" s="6">
        <v>0</v>
      </c>
      <c r="I190" s="6">
        <v>0</v>
      </c>
      <c r="J190" s="6">
        <v>0</v>
      </c>
      <c r="K190" s="6">
        <v>0</v>
      </c>
      <c r="L190" s="6">
        <v>0</v>
      </c>
      <c r="M190" s="6">
        <v>0</v>
      </c>
      <c r="N190" s="6">
        <v>0</v>
      </c>
      <c r="O190" s="6">
        <v>0</v>
      </c>
      <c r="P190" s="6">
        <v>361</v>
      </c>
      <c r="Q190" s="6">
        <v>377</v>
      </c>
      <c r="R190" s="6">
        <v>757</v>
      </c>
      <c r="S190" s="6">
        <v>270</v>
      </c>
      <c r="T190" s="6">
        <v>751</v>
      </c>
      <c r="U190" s="6">
        <v>1133</v>
      </c>
      <c r="V190" s="6">
        <v>1351</v>
      </c>
      <c r="W190" s="6">
        <v>701</v>
      </c>
      <c r="X190" s="8">
        <v>739</v>
      </c>
      <c r="Y190" s="8">
        <v>749</v>
      </c>
      <c r="Z190" s="8">
        <v>407</v>
      </c>
      <c r="AA190" s="8">
        <v>627</v>
      </c>
      <c r="AB190" s="8">
        <v>0</v>
      </c>
      <c r="AC190" s="8">
        <v>0</v>
      </c>
      <c r="AD190" s="8">
        <v>0</v>
      </c>
      <c r="AE190" s="8">
        <v>0</v>
      </c>
      <c r="AF190" s="8">
        <v>0</v>
      </c>
      <c r="AG190" s="8">
        <v>0</v>
      </c>
      <c r="AH190" s="8">
        <v>0</v>
      </c>
      <c r="AI190" s="8">
        <v>0</v>
      </c>
    </row>
    <row r="191" spans="1:35">
      <c r="A191" s="4" t="s">
        <v>135</v>
      </c>
      <c r="B191" s="6">
        <v>0</v>
      </c>
      <c r="C191" s="6">
        <v>0</v>
      </c>
      <c r="D191" s="6">
        <v>0</v>
      </c>
      <c r="E191" s="6">
        <v>0</v>
      </c>
      <c r="F191" s="6">
        <v>0</v>
      </c>
      <c r="G191" s="6">
        <v>0</v>
      </c>
      <c r="H191" s="6">
        <v>0</v>
      </c>
      <c r="I191" s="6">
        <v>0</v>
      </c>
      <c r="J191" s="6">
        <v>0</v>
      </c>
      <c r="K191" s="6">
        <v>0</v>
      </c>
      <c r="L191" s="6">
        <v>0</v>
      </c>
      <c r="M191" s="6">
        <v>0</v>
      </c>
      <c r="N191" s="6">
        <v>0</v>
      </c>
      <c r="O191" s="6">
        <v>0</v>
      </c>
      <c r="P191" s="33">
        <v>-355</v>
      </c>
      <c r="Q191" s="33">
        <v>-3</v>
      </c>
      <c r="R191" s="33">
        <v>-124</v>
      </c>
      <c r="S191" s="33">
        <v>-82</v>
      </c>
      <c r="T191" s="33">
        <v>-406</v>
      </c>
      <c r="U191" s="33">
        <v>-520</v>
      </c>
      <c r="V191" s="33">
        <v>-1226</v>
      </c>
      <c r="W191" s="33">
        <v>-1082</v>
      </c>
      <c r="X191" s="37">
        <v>-1158</v>
      </c>
      <c r="Y191" s="37">
        <v>-1499</v>
      </c>
      <c r="Z191" s="37">
        <v>-1570</v>
      </c>
      <c r="AA191" s="37">
        <v>-1874</v>
      </c>
      <c r="AB191" s="37">
        <v>-2527</v>
      </c>
      <c r="AC191" s="37">
        <v>-2817</v>
      </c>
      <c r="AD191" s="37">
        <v>-3634</v>
      </c>
      <c r="AE191" s="37">
        <v>-6556</v>
      </c>
      <c r="AF191" s="37">
        <v>-6223</v>
      </c>
      <c r="AG191" s="37">
        <v>-5431</v>
      </c>
      <c r="AH191" s="37">
        <v>-5441</v>
      </c>
      <c r="AI191" s="37">
        <v>-5960</v>
      </c>
    </row>
    <row r="192" spans="1:35">
      <c r="A192" s="4" t="s">
        <v>136</v>
      </c>
      <c r="B192" s="6">
        <v>0</v>
      </c>
      <c r="C192" s="6">
        <v>0</v>
      </c>
      <c r="D192" s="6">
        <v>0</v>
      </c>
      <c r="E192" s="6">
        <v>0</v>
      </c>
      <c r="F192" s="6">
        <v>0</v>
      </c>
      <c r="G192" s="6">
        <v>0</v>
      </c>
      <c r="H192" s="6">
        <v>0</v>
      </c>
      <c r="I192" s="6">
        <v>0</v>
      </c>
      <c r="J192" s="6">
        <v>0</v>
      </c>
      <c r="K192" s="6">
        <v>0</v>
      </c>
      <c r="L192" s="6">
        <v>0</v>
      </c>
      <c r="M192" s="6">
        <v>0</v>
      </c>
      <c r="N192" s="6">
        <v>0</v>
      </c>
      <c r="O192" s="6">
        <v>0</v>
      </c>
      <c r="P192" s="6">
        <v>0</v>
      </c>
      <c r="Q192" s="6">
        <v>0</v>
      </c>
      <c r="R192" s="6">
        <v>0</v>
      </c>
      <c r="S192" s="6">
        <v>0</v>
      </c>
      <c r="T192" s="6">
        <v>0</v>
      </c>
      <c r="U192" s="6">
        <v>0</v>
      </c>
      <c r="V192" s="6">
        <v>0</v>
      </c>
      <c r="W192" s="6">
        <v>16896</v>
      </c>
      <c r="X192" s="8">
        <v>11960</v>
      </c>
      <c r="Y192" s="8">
        <v>27114</v>
      </c>
      <c r="Z192" s="8">
        <v>24954</v>
      </c>
      <c r="AA192" s="8">
        <v>28662</v>
      </c>
      <c r="AB192" s="8">
        <v>6969</v>
      </c>
      <c r="AC192" s="8">
        <v>6963</v>
      </c>
      <c r="AD192" s="8">
        <v>16091</v>
      </c>
      <c r="AE192" s="8">
        <v>20393</v>
      </c>
      <c r="AF192" s="8">
        <v>5465</v>
      </c>
      <c r="AG192" s="8">
        <v>5228</v>
      </c>
      <c r="AH192" s="8">
        <v>0</v>
      </c>
      <c r="AI192" s="8">
        <v>4481</v>
      </c>
    </row>
    <row r="193" spans="1:35">
      <c r="A193" s="4" t="s">
        <v>137</v>
      </c>
      <c r="B193" s="6">
        <v>0</v>
      </c>
      <c r="C193" s="6">
        <v>0</v>
      </c>
      <c r="D193" s="6">
        <v>0</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8">
        <v>0</v>
      </c>
      <c r="Y193" s="8">
        <v>0</v>
      </c>
      <c r="Z193" s="37">
        <v>-2500</v>
      </c>
      <c r="AA193" s="37">
        <v>-3500</v>
      </c>
      <c r="AB193" s="37">
        <v>-6500</v>
      </c>
      <c r="AC193" s="37">
        <v>-8805</v>
      </c>
      <c r="AD193" s="37">
        <v>-12629</v>
      </c>
      <c r="AE193" s="37">
        <v>-8750</v>
      </c>
      <c r="AF193" s="37">
        <v>-9543</v>
      </c>
      <c r="AG193" s="37">
        <v>-11151</v>
      </c>
      <c r="AH193" s="37">
        <v>-9958</v>
      </c>
      <c r="AI193" s="37">
        <v>-10932</v>
      </c>
    </row>
    <row r="194" spans="1:35">
      <c r="A194" s="4" t="s">
        <v>138</v>
      </c>
      <c r="B194" s="6">
        <v>0</v>
      </c>
      <c r="C194" s="6">
        <v>0</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8">
        <v>6306</v>
      </c>
      <c r="Y194" s="8">
        <v>2191</v>
      </c>
      <c r="Z194" s="37">
        <v>-397</v>
      </c>
      <c r="AA194" s="8">
        <v>3852</v>
      </c>
      <c r="AB194" s="37">
        <v>-37</v>
      </c>
      <c r="AC194" s="37">
        <v>-5977</v>
      </c>
      <c r="AD194" s="37">
        <v>-963</v>
      </c>
      <c r="AE194" s="8">
        <v>1022</v>
      </c>
      <c r="AF194" s="8">
        <v>3955</v>
      </c>
      <c r="AG194" s="37">
        <v>-3978</v>
      </c>
      <c r="AH194" s="8">
        <v>3960</v>
      </c>
      <c r="AI194" s="37">
        <v>-2032</v>
      </c>
    </row>
    <row r="195" spans="1:35">
      <c r="A195" s="4" t="s">
        <v>139</v>
      </c>
      <c r="B195" s="6">
        <v>0</v>
      </c>
      <c r="C195" s="33">
        <v>-48.036000000000001</v>
      </c>
      <c r="D195" s="6">
        <v>0</v>
      </c>
      <c r="E195" s="6">
        <v>0</v>
      </c>
      <c r="F195" s="6">
        <v>0</v>
      </c>
      <c r="G195" s="6">
        <v>0</v>
      </c>
      <c r="H195" s="6">
        <v>0</v>
      </c>
      <c r="I195" s="6">
        <v>0</v>
      </c>
      <c r="J195" s="6">
        <v>0</v>
      </c>
      <c r="K195" s="6">
        <v>0</v>
      </c>
      <c r="L195" s="6">
        <v>0</v>
      </c>
      <c r="M195" s="6">
        <v>0</v>
      </c>
      <c r="N195" s="6">
        <v>0</v>
      </c>
      <c r="O195" s="6">
        <v>0</v>
      </c>
      <c r="P195" s="6">
        <v>0</v>
      </c>
      <c r="Q195" s="6">
        <v>0</v>
      </c>
      <c r="R195" s="6">
        <v>0</v>
      </c>
      <c r="S195" s="6">
        <v>0</v>
      </c>
      <c r="T195" s="6">
        <v>0</v>
      </c>
      <c r="U195" s="6">
        <v>0</v>
      </c>
      <c r="V195" s="6">
        <v>0</v>
      </c>
      <c r="W195" s="6">
        <v>0</v>
      </c>
      <c r="X195" s="8">
        <v>0</v>
      </c>
      <c r="Y195" s="8">
        <v>0</v>
      </c>
      <c r="Z195" s="8">
        <v>0</v>
      </c>
      <c r="AA195" s="8">
        <v>0</v>
      </c>
      <c r="AB195" s="8">
        <v>0</v>
      </c>
      <c r="AC195" s="37">
        <v>-105</v>
      </c>
      <c r="AD195" s="37">
        <v>-126</v>
      </c>
      <c r="AE195" s="37">
        <v>-129</v>
      </c>
      <c r="AF195" s="37">
        <v>-160</v>
      </c>
      <c r="AG195" s="37">
        <v>-581</v>
      </c>
      <c r="AH195" s="37">
        <v>-361</v>
      </c>
      <c r="AI195" s="37">
        <v>-111</v>
      </c>
    </row>
    <row r="196" spans="1:35">
      <c r="A196" s="17" t="s">
        <v>140</v>
      </c>
      <c r="B196" s="34">
        <f t="shared" ref="B196:AI196" si="209">SUM(B183:B195)</f>
        <v>-113.929</v>
      </c>
      <c r="C196" s="34">
        <f t="shared" si="209"/>
        <v>336.30299999999994</v>
      </c>
      <c r="D196" s="34">
        <f t="shared" si="209"/>
        <v>-208.11799999999994</v>
      </c>
      <c r="E196" s="18">
        <f t="shared" si="209"/>
        <v>195</v>
      </c>
      <c r="F196" s="18">
        <f t="shared" si="209"/>
        <v>396</v>
      </c>
      <c r="G196" s="18">
        <f t="shared" si="209"/>
        <v>23</v>
      </c>
      <c r="H196" s="18">
        <f t="shared" si="209"/>
        <v>19</v>
      </c>
      <c r="I196" s="18">
        <f t="shared" si="209"/>
        <v>11</v>
      </c>
      <c r="J196" s="34">
        <f t="shared" si="209"/>
        <v>-31</v>
      </c>
      <c r="K196" s="18">
        <f t="shared" si="209"/>
        <v>42</v>
      </c>
      <c r="L196" s="18">
        <f t="shared" si="209"/>
        <v>105</v>
      </c>
      <c r="M196" s="18">
        <f t="shared" si="209"/>
        <v>27</v>
      </c>
      <c r="N196" s="18">
        <f t="shared" si="209"/>
        <v>127</v>
      </c>
      <c r="O196" s="18">
        <f t="shared" si="209"/>
        <v>543</v>
      </c>
      <c r="P196" s="18">
        <f t="shared" si="209"/>
        <v>324</v>
      </c>
      <c r="Q196" s="18">
        <f t="shared" si="209"/>
        <v>739</v>
      </c>
      <c r="R196" s="18">
        <f t="shared" si="209"/>
        <v>1116</v>
      </c>
      <c r="S196" s="18">
        <f t="shared" si="209"/>
        <v>663</v>
      </c>
      <c r="T196" s="34">
        <f t="shared" si="209"/>
        <v>1257</v>
      </c>
      <c r="U196" s="34">
        <f t="shared" si="209"/>
        <v>1444</v>
      </c>
      <c r="V196" s="34">
        <f t="shared" si="209"/>
        <v>-1698</v>
      </c>
      <c r="W196" s="34">
        <f t="shared" si="209"/>
        <v>-16379</v>
      </c>
      <c r="X196" s="39">
        <f t="shared" si="209"/>
        <v>-37549</v>
      </c>
      <c r="Y196" s="39">
        <f t="shared" si="209"/>
        <v>-17716</v>
      </c>
      <c r="Z196" s="39">
        <f t="shared" si="209"/>
        <v>-20483</v>
      </c>
      <c r="AA196" s="39">
        <f t="shared" si="209"/>
        <v>-17347</v>
      </c>
      <c r="AB196" s="39">
        <f t="shared" si="209"/>
        <v>-87876</v>
      </c>
      <c r="AC196" s="39">
        <f t="shared" si="209"/>
        <v>-90976</v>
      </c>
      <c r="AD196" s="39">
        <f t="shared" si="209"/>
        <v>-86820</v>
      </c>
      <c r="AE196" s="39">
        <f t="shared" si="209"/>
        <v>-93353</v>
      </c>
      <c r="AF196" s="39">
        <f t="shared" si="209"/>
        <v>-110749</v>
      </c>
      <c r="AG196" s="39">
        <f t="shared" si="209"/>
        <v>-108488</v>
      </c>
      <c r="AH196" s="39">
        <f t="shared" si="209"/>
        <v>-121983</v>
      </c>
      <c r="AI196" s="39">
        <f t="shared" si="209"/>
        <v>-120686</v>
      </c>
    </row>
    <row r="197" spans="1:35">
      <c r="A197" s="17" t="s">
        <v>141</v>
      </c>
      <c r="B197" s="34">
        <f t="shared" ref="B197:AI197" si="210">B163+B181+B196</f>
        <v>-105.58999999999983</v>
      </c>
      <c r="C197" s="18">
        <f t="shared" si="210"/>
        <v>177.85599999999954</v>
      </c>
      <c r="D197" s="18">
        <f t="shared" si="210"/>
        <v>527.07500000000005</v>
      </c>
      <c r="E197" s="34">
        <f t="shared" si="210"/>
        <v>-447</v>
      </c>
      <c r="F197" s="18">
        <f t="shared" si="210"/>
        <v>796</v>
      </c>
      <c r="G197" s="34">
        <f t="shared" si="210"/>
        <v>-322</v>
      </c>
      <c r="H197" s="18">
        <f t="shared" si="210"/>
        <v>251</v>
      </c>
      <c r="I197" s="34">
        <f t="shared" si="210"/>
        <v>-155</v>
      </c>
      <c r="J197" s="34">
        <f t="shared" si="210"/>
        <v>-135</v>
      </c>
      <c r="K197" s="18">
        <f t="shared" si="210"/>
        <v>1119</v>
      </c>
      <c r="L197" s="34">
        <f t="shared" si="210"/>
        <v>-58</v>
      </c>
      <c r="M197" s="34">
        <f t="shared" si="210"/>
        <v>1144</v>
      </c>
      <c r="N197" s="34">
        <f t="shared" si="210"/>
        <v>-427</v>
      </c>
      <c r="O197" s="34">
        <f t="shared" si="210"/>
        <v>522</v>
      </c>
      <c r="P197" s="34">
        <f t="shared" si="210"/>
        <v>2901</v>
      </c>
      <c r="Q197" s="18">
        <f t="shared" si="210"/>
        <v>2960</v>
      </c>
      <c r="R197" s="18">
        <f t="shared" si="210"/>
        <v>2523</v>
      </c>
      <c r="S197" s="34">
        <f t="shared" si="210"/>
        <v>-6612</v>
      </c>
      <c r="T197" s="18">
        <f t="shared" si="210"/>
        <v>5998</v>
      </c>
      <c r="U197" s="34">
        <f t="shared" si="210"/>
        <v>-1446</v>
      </c>
      <c r="V197" s="18">
        <f t="shared" si="210"/>
        <v>931</v>
      </c>
      <c r="W197" s="18">
        <f t="shared" si="210"/>
        <v>3513</v>
      </c>
      <c r="X197" s="39">
        <f t="shared" si="210"/>
        <v>-415</v>
      </c>
      <c r="Y197" s="19">
        <f t="shared" si="210"/>
        <v>7276</v>
      </c>
      <c r="Z197" s="39">
        <f t="shared" si="210"/>
        <v>-636</v>
      </c>
      <c r="AA197" s="39">
        <f t="shared" si="210"/>
        <v>-195</v>
      </c>
      <c r="AB197" s="19">
        <f t="shared" si="210"/>
        <v>5624</v>
      </c>
      <c r="AC197" s="39">
        <f t="shared" si="210"/>
        <v>24311</v>
      </c>
      <c r="AD197" s="39">
        <f t="shared" si="210"/>
        <v>-10435</v>
      </c>
      <c r="AE197" s="39">
        <f t="shared" si="210"/>
        <v>-3860</v>
      </c>
      <c r="AF197" s="39">
        <f t="shared" si="210"/>
        <v>-10952</v>
      </c>
      <c r="AG197" s="19">
        <f t="shared" si="210"/>
        <v>5760</v>
      </c>
      <c r="AH197" s="39">
        <f t="shared" si="210"/>
        <v>-794</v>
      </c>
      <c r="AI197" s="19">
        <f t="shared" si="210"/>
        <v>5991</v>
      </c>
    </row>
    <row r="198" spans="1:35">
      <c r="A198" s="17" t="s">
        <v>142</v>
      </c>
      <c r="B198" s="18">
        <f t="shared" ref="B198:AI198" si="211">B136+B197</f>
        <v>498.55700000000024</v>
      </c>
      <c r="C198" s="18">
        <f>C136+C197</f>
        <v>676.41299999999956</v>
      </c>
      <c r="D198" s="18">
        <f t="shared" si="211"/>
        <v>1203.4880000000001</v>
      </c>
      <c r="E198" s="18">
        <f t="shared" si="211"/>
        <v>756</v>
      </c>
      <c r="F198" s="18">
        <f t="shared" si="211"/>
        <v>1552</v>
      </c>
      <c r="G198" s="18">
        <f t="shared" si="211"/>
        <v>1230</v>
      </c>
      <c r="H198" s="18">
        <f t="shared" si="211"/>
        <v>1481</v>
      </c>
      <c r="I198" s="18">
        <f t="shared" si="211"/>
        <v>1326</v>
      </c>
      <c r="J198" s="18">
        <f t="shared" si="211"/>
        <v>1191</v>
      </c>
      <c r="K198" s="18">
        <f t="shared" si="211"/>
        <v>2310</v>
      </c>
      <c r="L198" s="18">
        <f t="shared" si="211"/>
        <v>2252</v>
      </c>
      <c r="M198" s="18">
        <f t="shared" si="211"/>
        <v>3396</v>
      </c>
      <c r="N198" s="18">
        <f t="shared" si="211"/>
        <v>2969</v>
      </c>
      <c r="O198" s="18">
        <f t="shared" si="211"/>
        <v>3491</v>
      </c>
      <c r="P198" s="18">
        <f t="shared" si="211"/>
        <v>6392</v>
      </c>
      <c r="Q198" s="18">
        <f t="shared" si="211"/>
        <v>9352</v>
      </c>
      <c r="R198" s="18">
        <f t="shared" si="211"/>
        <v>11875</v>
      </c>
      <c r="S198" s="18">
        <f t="shared" si="211"/>
        <v>5263</v>
      </c>
      <c r="T198" s="18">
        <f t="shared" si="211"/>
        <v>11261</v>
      </c>
      <c r="U198" s="18">
        <f t="shared" si="211"/>
        <v>9815</v>
      </c>
      <c r="V198" s="18">
        <f t="shared" si="211"/>
        <v>10746</v>
      </c>
      <c r="W198" s="18">
        <f t="shared" si="211"/>
        <v>14259</v>
      </c>
      <c r="X198" s="19">
        <f t="shared" si="211"/>
        <v>13844</v>
      </c>
      <c r="Y198" s="19">
        <f t="shared" si="211"/>
        <v>21120</v>
      </c>
      <c r="Z198" s="19">
        <f t="shared" si="211"/>
        <v>20484</v>
      </c>
      <c r="AA198" s="19">
        <f t="shared" si="211"/>
        <v>20289</v>
      </c>
      <c r="AB198" s="19">
        <f t="shared" si="211"/>
        <v>25913</v>
      </c>
      <c r="AC198" s="19">
        <f t="shared" si="211"/>
        <v>50224</v>
      </c>
      <c r="AD198" s="19">
        <f t="shared" si="211"/>
        <v>39789</v>
      </c>
      <c r="AE198" s="19">
        <f t="shared" si="211"/>
        <v>35929</v>
      </c>
      <c r="AF198" s="19">
        <f t="shared" si="211"/>
        <v>24977</v>
      </c>
      <c r="AG198" s="19">
        <f t="shared" si="211"/>
        <v>30737</v>
      </c>
      <c r="AH198" s="19">
        <f t="shared" si="211"/>
        <v>29943</v>
      </c>
      <c r="AI198" s="19">
        <f t="shared" si="211"/>
        <v>35934</v>
      </c>
    </row>
    <row r="199" spans="1:35">
      <c r="A199" s="25"/>
      <c r="B199" s="26"/>
      <c r="C199" s="26"/>
      <c r="D199" s="26"/>
      <c r="E199" s="26"/>
      <c r="F199" s="26"/>
      <c r="G199" s="26"/>
      <c r="H199" s="26"/>
      <c r="I199" s="26"/>
      <c r="J199" s="26"/>
      <c r="K199" s="26"/>
      <c r="L199" s="26"/>
      <c r="M199" s="26"/>
      <c r="N199" s="26"/>
      <c r="O199" s="26"/>
      <c r="P199" s="26"/>
      <c r="Q199" s="26"/>
      <c r="R199" s="26"/>
      <c r="S199" s="26"/>
      <c r="T199" s="26"/>
      <c r="U199" s="26"/>
      <c r="V199" s="26"/>
      <c r="W199" s="26"/>
      <c r="X199" s="27"/>
      <c r="Y199" s="27"/>
      <c r="Z199" s="27"/>
      <c r="AA199" s="27"/>
      <c r="AB199" s="27"/>
      <c r="AC199" s="27"/>
      <c r="AD199" s="27"/>
      <c r="AE199" s="27"/>
      <c r="AF199" s="27"/>
      <c r="AG199" s="27"/>
      <c r="AH199" s="27"/>
      <c r="AI199" s="27"/>
    </row>
    <row r="200" spans="1:35">
      <c r="A200" s="4"/>
      <c r="B200" s="6"/>
      <c r="C200" s="6"/>
      <c r="D200" s="6"/>
      <c r="E200" s="6"/>
      <c r="F200" s="6"/>
      <c r="G200" s="6"/>
      <c r="H200" s="6"/>
      <c r="I200" s="6"/>
      <c r="J200" s="6"/>
      <c r="K200" s="6"/>
      <c r="L200" s="6"/>
      <c r="M200" s="6"/>
      <c r="N200" s="6"/>
      <c r="O200" s="6"/>
      <c r="P200" s="6"/>
      <c r="Q200" s="6"/>
      <c r="R200" s="6"/>
      <c r="S200" s="6"/>
      <c r="T200" s="6"/>
      <c r="U200" s="6"/>
      <c r="V200" s="6"/>
      <c r="W200" s="6"/>
      <c r="X200" s="8"/>
      <c r="Y200" s="8"/>
      <c r="Z200" s="8"/>
      <c r="AA200" s="8"/>
      <c r="AB200" s="8"/>
      <c r="AC200" s="8"/>
      <c r="AD200" s="8"/>
      <c r="AE200" s="8"/>
      <c r="AF200" s="8"/>
      <c r="AG200" s="8"/>
      <c r="AH200" s="8"/>
      <c r="AI200" s="8"/>
    </row>
    <row r="201" spans="1:35">
      <c r="A201" s="4"/>
      <c r="B201" s="6"/>
      <c r="C201" s="6"/>
      <c r="D201" s="6"/>
      <c r="E201" s="6"/>
      <c r="F201" s="6"/>
      <c r="G201" s="6"/>
      <c r="H201" s="6"/>
      <c r="I201" s="6"/>
      <c r="J201" s="6"/>
      <c r="K201" s="6"/>
      <c r="L201" s="6"/>
      <c r="M201" s="6"/>
      <c r="N201" s="6"/>
      <c r="O201" s="6"/>
      <c r="P201" s="6"/>
      <c r="Q201" s="6"/>
      <c r="R201" s="6"/>
      <c r="S201" s="6"/>
      <c r="T201" s="6"/>
      <c r="U201" s="6"/>
      <c r="V201" s="6"/>
      <c r="W201" s="6"/>
      <c r="X201" s="8"/>
      <c r="Y201" s="8"/>
      <c r="Z201" s="8"/>
      <c r="AA201" s="8"/>
      <c r="AB201" s="8"/>
      <c r="AC201" s="8"/>
      <c r="AD201" s="8"/>
      <c r="AE201" s="8"/>
      <c r="AF201" s="8"/>
      <c r="AG201" s="8"/>
      <c r="AH201" s="8"/>
      <c r="AI201" s="8"/>
    </row>
  </sheetData>
  <mergeCells count="3">
    <mergeCell ref="A1:AI1"/>
    <mergeCell ref="A2:AI2"/>
    <mergeCell ref="A6:AI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D98F5-E18F-4B62-984A-A706C55D9DF0}">
  <dimension ref="A1:AR219"/>
  <sheetViews>
    <sheetView zoomScale="70" zoomScaleNormal="70" workbookViewId="0">
      <pane xSplit="1" ySplit="3" topLeftCell="O17" activePane="bottomRight" state="frozen"/>
      <selection pane="topRight" activeCell="B1" sqref="B1"/>
      <selection pane="bottomLeft" activeCell="A4" sqref="A4"/>
      <selection pane="bottomRight" activeCell="V41" sqref="V41"/>
    </sheetView>
  </sheetViews>
  <sheetFormatPr defaultRowHeight="13.8"/>
  <cols>
    <col min="1" max="1" width="28" customWidth="1"/>
    <col min="2" max="32" width="11" customWidth="1"/>
    <col min="33" max="33" width="12.8984375" customWidth="1"/>
    <col min="36" max="36" width="21.8984375" customWidth="1"/>
  </cols>
  <sheetData>
    <row r="1" spans="1:38" ht="15.3" customHeight="1">
      <c r="A1" s="133" t="s">
        <v>285</v>
      </c>
      <c r="B1" s="133"/>
      <c r="C1" s="133"/>
      <c r="D1" s="133"/>
      <c r="E1" s="133"/>
      <c r="F1" s="133"/>
      <c r="G1" s="133"/>
      <c r="H1" s="133"/>
      <c r="I1" s="133"/>
      <c r="J1" s="133"/>
      <c r="K1" s="133"/>
      <c r="L1" s="133"/>
      <c r="M1" s="133"/>
      <c r="N1" s="133"/>
      <c r="O1" s="133"/>
      <c r="P1" s="133"/>
      <c r="Q1" s="133"/>
      <c r="R1" s="133"/>
      <c r="S1" s="133"/>
      <c r="T1" s="133"/>
      <c r="U1" s="133"/>
      <c r="V1" s="133"/>
      <c r="W1" s="53"/>
      <c r="X1" s="53"/>
      <c r="Y1" s="53"/>
      <c r="Z1" s="53"/>
      <c r="AA1" s="53"/>
      <c r="AB1" s="53"/>
      <c r="AC1" s="53"/>
      <c r="AD1" s="53"/>
      <c r="AE1" s="53"/>
      <c r="AF1" s="53"/>
      <c r="AG1" s="53"/>
    </row>
    <row r="2" spans="1:38">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row>
    <row r="3" spans="1:38">
      <c r="A3" s="126" t="s">
        <v>284</v>
      </c>
      <c r="B3" s="12">
        <v>1994</v>
      </c>
      <c r="C3" s="12">
        <v>1995</v>
      </c>
      <c r="D3" s="12">
        <v>1996</v>
      </c>
      <c r="E3" s="12">
        <v>1997</v>
      </c>
      <c r="F3" s="12">
        <v>1998</v>
      </c>
      <c r="G3" s="12">
        <v>1999</v>
      </c>
      <c r="H3" s="12">
        <v>2000</v>
      </c>
      <c r="I3" s="12">
        <v>2001</v>
      </c>
      <c r="J3" s="12">
        <v>2002</v>
      </c>
      <c r="K3" s="12">
        <v>2003</v>
      </c>
      <c r="L3" s="12">
        <v>2004</v>
      </c>
      <c r="M3" s="12">
        <v>2005</v>
      </c>
      <c r="N3" s="12">
        <v>2006</v>
      </c>
      <c r="O3" s="12">
        <v>2007</v>
      </c>
      <c r="P3" s="12">
        <v>2008</v>
      </c>
      <c r="Q3" s="12">
        <v>2009</v>
      </c>
      <c r="R3" s="12">
        <v>2010</v>
      </c>
      <c r="S3" s="12">
        <v>2011</v>
      </c>
      <c r="T3" s="12">
        <v>2012</v>
      </c>
      <c r="U3" s="12">
        <v>2013</v>
      </c>
      <c r="V3" s="13">
        <v>2014</v>
      </c>
      <c r="W3" s="13">
        <v>2015</v>
      </c>
      <c r="X3" s="13">
        <v>2016</v>
      </c>
      <c r="Y3" s="13">
        <v>2017</v>
      </c>
      <c r="Z3" s="13">
        <v>2018</v>
      </c>
      <c r="AA3" s="13">
        <v>2019</v>
      </c>
      <c r="AB3" s="13">
        <v>2020</v>
      </c>
      <c r="AC3" s="13">
        <v>2021</v>
      </c>
      <c r="AD3" s="13">
        <v>2022</v>
      </c>
      <c r="AE3" s="13">
        <v>2023</v>
      </c>
      <c r="AF3" s="13">
        <v>2024</v>
      </c>
      <c r="AG3" s="13">
        <v>2025</v>
      </c>
      <c r="AJ3" s="24" t="s">
        <v>176</v>
      </c>
      <c r="AK3" s="24" t="s">
        <v>175</v>
      </c>
    </row>
    <row r="4" spans="1:38" ht="21.75" customHeight="1">
      <c r="A4" s="57" t="s">
        <v>155</v>
      </c>
      <c r="B4" s="56">
        <v>0</v>
      </c>
      <c r="C4" s="56">
        <v>0</v>
      </c>
      <c r="D4" s="56">
        <v>0</v>
      </c>
      <c r="E4" s="56">
        <v>0</v>
      </c>
      <c r="F4" s="56">
        <v>0</v>
      </c>
      <c r="G4" s="56">
        <v>0</v>
      </c>
      <c r="H4" s="56">
        <v>0</v>
      </c>
      <c r="I4" s="56">
        <v>0</v>
      </c>
      <c r="J4" s="56">
        <v>0</v>
      </c>
      <c r="K4" s="56">
        <v>0</v>
      </c>
      <c r="L4" s="56">
        <v>0</v>
      </c>
      <c r="M4" s="56">
        <v>0</v>
      </c>
      <c r="N4" s="56">
        <v>0</v>
      </c>
      <c r="O4" s="56">
        <v>1389</v>
      </c>
      <c r="P4" s="56">
        <v>11627</v>
      </c>
      <c r="Q4" s="56">
        <v>20731</v>
      </c>
      <c r="R4" s="56">
        <v>39989</v>
      </c>
      <c r="S4" s="56">
        <v>72293</v>
      </c>
      <c r="T4" s="56">
        <v>125046</v>
      </c>
      <c r="U4" s="56">
        <v>150257</v>
      </c>
      <c r="V4" s="56">
        <v>169219</v>
      </c>
      <c r="W4" s="56">
        <v>231218</v>
      </c>
      <c r="X4" s="56">
        <v>211884</v>
      </c>
      <c r="Y4" s="56">
        <v>216756</v>
      </c>
      <c r="Z4" s="56">
        <v>217722</v>
      </c>
      <c r="AA4" s="56">
        <v>187200</v>
      </c>
      <c r="AB4" s="56">
        <v>196900</v>
      </c>
      <c r="AC4" s="56">
        <v>242000</v>
      </c>
      <c r="AD4" s="56">
        <v>232200</v>
      </c>
      <c r="AE4" s="56">
        <v>231300</v>
      </c>
      <c r="AF4" s="56">
        <v>232100</v>
      </c>
      <c r="AG4" s="56">
        <v>247000</v>
      </c>
      <c r="AJ4" t="s">
        <v>174</v>
      </c>
      <c r="AK4" s="77" t="s">
        <v>167</v>
      </c>
    </row>
    <row r="5" spans="1:38" ht="21.75" customHeight="1">
      <c r="A5" s="44" t="s">
        <v>144</v>
      </c>
      <c r="B5" s="56"/>
      <c r="C5" s="56"/>
      <c r="D5" s="56"/>
      <c r="E5" s="56"/>
      <c r="F5" s="56"/>
      <c r="G5" s="56"/>
      <c r="H5" s="56"/>
      <c r="I5" s="56"/>
      <c r="J5" s="56"/>
      <c r="K5" s="56"/>
      <c r="L5" s="56"/>
      <c r="M5" s="56"/>
      <c r="N5" s="56"/>
      <c r="O5" s="56"/>
      <c r="P5" s="51">
        <f>IFERROR(P4/O4-1,"")</f>
        <v>7.3707703383729299</v>
      </c>
      <c r="Q5" s="51">
        <f t="shared" ref="Q5:AG5" si="0">IFERROR(Q4/P4-1,"")</f>
        <v>0.7830050743958028</v>
      </c>
      <c r="R5" s="51">
        <f t="shared" si="0"/>
        <v>0.92894698760310646</v>
      </c>
      <c r="S5" s="51">
        <f t="shared" si="0"/>
        <v>0.8078221510915502</v>
      </c>
      <c r="T5" s="51">
        <f t="shared" si="0"/>
        <v>0.72971103702986451</v>
      </c>
      <c r="U5" s="51">
        <f t="shared" si="0"/>
        <v>0.20161380611934798</v>
      </c>
      <c r="V5" s="51">
        <f t="shared" si="0"/>
        <v>0.12619711560859059</v>
      </c>
      <c r="W5" s="51">
        <f t="shared" si="0"/>
        <v>0.36638320755943488</v>
      </c>
      <c r="X5" s="51">
        <f t="shared" si="0"/>
        <v>-8.361805741767514E-2</v>
      </c>
      <c r="Y5" s="51">
        <f t="shared" si="0"/>
        <v>2.2993713541371585E-2</v>
      </c>
      <c r="Z5" s="51">
        <f t="shared" si="0"/>
        <v>4.4566240380889965E-3</v>
      </c>
      <c r="AA5" s="51">
        <f t="shared" si="0"/>
        <v>-0.14018794609639817</v>
      </c>
      <c r="AB5" s="51">
        <f t="shared" si="0"/>
        <v>5.1816239316239354E-2</v>
      </c>
      <c r="AC5" s="51">
        <f t="shared" si="0"/>
        <v>0.22905027932960897</v>
      </c>
      <c r="AD5" s="51">
        <f t="shared" si="0"/>
        <v>-4.049586776859504E-2</v>
      </c>
      <c r="AE5" s="51">
        <f t="shared" si="0"/>
        <v>-3.8759689922480689E-3</v>
      </c>
      <c r="AF5" s="51">
        <f t="shared" si="0"/>
        <v>3.4587116299178433E-3</v>
      </c>
      <c r="AG5" s="51">
        <f t="shared" si="0"/>
        <v>6.4196467040068983E-2</v>
      </c>
      <c r="AK5" s="77"/>
    </row>
    <row r="6" spans="1:38" ht="21.75" customHeight="1">
      <c r="A6" s="57" t="s">
        <v>156</v>
      </c>
      <c r="B6" s="56"/>
      <c r="C6" s="56"/>
      <c r="D6" s="56"/>
      <c r="E6" s="56">
        <v>2874</v>
      </c>
      <c r="F6" s="56">
        <v>2763</v>
      </c>
      <c r="G6" s="56">
        <v>3448</v>
      </c>
      <c r="H6" s="56">
        <v>4558</v>
      </c>
      <c r="I6" s="56">
        <v>3087</v>
      </c>
      <c r="J6" s="56">
        <v>3101</v>
      </c>
      <c r="K6" s="56">
        <v>3012</v>
      </c>
      <c r="L6" s="56">
        <v>3290</v>
      </c>
      <c r="M6" s="56">
        <v>4534</v>
      </c>
      <c r="N6" s="56">
        <v>5303</v>
      </c>
      <c r="O6" s="56">
        <v>7051</v>
      </c>
      <c r="P6" s="56">
        <v>9715</v>
      </c>
      <c r="Q6" s="56">
        <v>10396</v>
      </c>
      <c r="R6" s="56">
        <v>13662</v>
      </c>
      <c r="S6" s="56">
        <v>16735</v>
      </c>
      <c r="T6" s="56">
        <v>18158</v>
      </c>
      <c r="U6" s="56">
        <v>16341</v>
      </c>
      <c r="V6" s="56">
        <v>18906</v>
      </c>
      <c r="W6" s="56">
        <v>20587</v>
      </c>
      <c r="X6" s="56">
        <v>18484</v>
      </c>
      <c r="Y6" s="56">
        <v>19251</v>
      </c>
      <c r="Z6" s="56">
        <v>18209</v>
      </c>
      <c r="AA6" s="56">
        <v>17500</v>
      </c>
      <c r="AB6" s="56">
        <v>20200</v>
      </c>
      <c r="AC6" s="56">
        <v>25700</v>
      </c>
      <c r="AD6" s="56">
        <v>26100</v>
      </c>
      <c r="AE6" s="56">
        <v>22100</v>
      </c>
      <c r="AF6" s="56">
        <v>23000</v>
      </c>
      <c r="AG6" s="56">
        <v>25600</v>
      </c>
      <c r="AJ6" t="s">
        <v>174</v>
      </c>
      <c r="AK6" s="77" t="s">
        <v>168</v>
      </c>
    </row>
    <row r="7" spans="1:38" ht="21.75" customHeight="1">
      <c r="A7" s="44" t="s">
        <v>144</v>
      </c>
      <c r="B7" s="56"/>
      <c r="C7" s="56"/>
      <c r="D7" s="56"/>
      <c r="E7" s="56"/>
      <c r="F7" s="51">
        <f>IFERROR(F6/E6-1,"")</f>
        <v>-3.8622129436325703E-2</v>
      </c>
      <c r="G7" s="51">
        <f t="shared" ref="G7:AG7" si="1">IFERROR(G6/F6-1,"")</f>
        <v>0.24791892870068777</v>
      </c>
      <c r="H7" s="51">
        <f t="shared" si="1"/>
        <v>0.32192575406032486</v>
      </c>
      <c r="I7" s="51">
        <f t="shared" si="1"/>
        <v>-0.32272926722246598</v>
      </c>
      <c r="J7" s="51">
        <f t="shared" si="1"/>
        <v>4.5351473922903285E-3</v>
      </c>
      <c r="K7" s="51">
        <f t="shared" si="1"/>
        <v>-2.8700419219606532E-2</v>
      </c>
      <c r="L7" s="51">
        <f t="shared" si="1"/>
        <v>9.2297476759628072E-2</v>
      </c>
      <c r="M7" s="51">
        <f t="shared" si="1"/>
        <v>0.37811550151975681</v>
      </c>
      <c r="N7" s="51">
        <f t="shared" si="1"/>
        <v>0.16960741067490082</v>
      </c>
      <c r="O7" s="51">
        <f t="shared" si="1"/>
        <v>0.32962474071280412</v>
      </c>
      <c r="P7" s="51">
        <f t="shared" si="1"/>
        <v>0.37781874911360092</v>
      </c>
      <c r="Q7" s="51">
        <f t="shared" si="1"/>
        <v>7.0097786927431738E-2</v>
      </c>
      <c r="R7" s="51">
        <f t="shared" si="1"/>
        <v>0.31415929203539816</v>
      </c>
      <c r="S7" s="51">
        <f t="shared" si="1"/>
        <v>0.22493046406089889</v>
      </c>
      <c r="T7" s="51">
        <f t="shared" si="1"/>
        <v>8.5031371377352949E-2</v>
      </c>
      <c r="U7" s="51">
        <f t="shared" si="1"/>
        <v>-0.10006608657341121</v>
      </c>
      <c r="V7" s="51">
        <f t="shared" si="1"/>
        <v>0.15696713787405914</v>
      </c>
      <c r="W7" s="51">
        <f t="shared" si="1"/>
        <v>8.8913572410874941E-2</v>
      </c>
      <c r="X7" s="51">
        <f t="shared" si="1"/>
        <v>-0.10215184339631811</v>
      </c>
      <c r="Y7" s="51">
        <f t="shared" si="1"/>
        <v>4.1495347327418219E-2</v>
      </c>
      <c r="Z7" s="51">
        <f t="shared" si="1"/>
        <v>-5.4127058334631939E-2</v>
      </c>
      <c r="AA7" s="51">
        <f t="shared" si="1"/>
        <v>-3.8936789499697921E-2</v>
      </c>
      <c r="AB7" s="51">
        <f t="shared" si="1"/>
        <v>0.15428571428571436</v>
      </c>
      <c r="AC7" s="51">
        <f t="shared" si="1"/>
        <v>0.2722772277227723</v>
      </c>
      <c r="AD7" s="51">
        <f t="shared" si="1"/>
        <v>1.5564202334630295E-2</v>
      </c>
      <c r="AE7" s="51">
        <f t="shared" si="1"/>
        <v>-0.15325670498084287</v>
      </c>
      <c r="AF7" s="51">
        <f t="shared" si="1"/>
        <v>4.0723981900452566E-2</v>
      </c>
      <c r="AG7" s="51">
        <f t="shared" si="1"/>
        <v>0.11304347826086958</v>
      </c>
    </row>
    <row r="8" spans="1:38" ht="21.75" customHeight="1">
      <c r="A8" s="57" t="s">
        <v>157</v>
      </c>
      <c r="B8" s="56">
        <v>0</v>
      </c>
      <c r="C8" s="56">
        <v>0</v>
      </c>
      <c r="D8" s="56">
        <v>0</v>
      </c>
      <c r="E8" s="56">
        <v>0</v>
      </c>
      <c r="F8" s="56">
        <v>0</v>
      </c>
      <c r="G8" s="56">
        <v>0</v>
      </c>
      <c r="H8" s="56">
        <v>0</v>
      </c>
      <c r="I8" s="56">
        <v>0</v>
      </c>
      <c r="J8" s="56">
        <v>0</v>
      </c>
      <c r="K8" s="56">
        <v>0</v>
      </c>
      <c r="L8" s="56">
        <v>0</v>
      </c>
      <c r="M8" s="56">
        <v>0</v>
      </c>
      <c r="N8" s="56">
        <v>0</v>
      </c>
      <c r="O8" s="56">
        <v>0</v>
      </c>
      <c r="P8" s="56">
        <v>0</v>
      </c>
      <c r="Q8" s="56">
        <v>0</v>
      </c>
      <c r="R8" s="56">
        <v>7458</v>
      </c>
      <c r="S8" s="56">
        <v>32394</v>
      </c>
      <c r="T8" s="56">
        <v>58310</v>
      </c>
      <c r="U8" s="56">
        <v>71033</v>
      </c>
      <c r="V8" s="56">
        <v>67977</v>
      </c>
      <c r="W8" s="56">
        <v>54856</v>
      </c>
      <c r="X8" s="56">
        <v>45590</v>
      </c>
      <c r="Y8" s="56">
        <v>43753</v>
      </c>
      <c r="Z8" s="56">
        <v>43535</v>
      </c>
      <c r="AA8" s="56">
        <v>45200</v>
      </c>
      <c r="AB8" s="56">
        <v>71100</v>
      </c>
      <c r="AC8" s="56">
        <v>57800</v>
      </c>
      <c r="AD8" s="56">
        <v>61800</v>
      </c>
      <c r="AE8" s="56">
        <v>49500</v>
      </c>
      <c r="AF8" s="56">
        <v>52100</v>
      </c>
      <c r="AG8" s="56">
        <v>58300</v>
      </c>
      <c r="AJ8" t="s">
        <v>174</v>
      </c>
      <c r="AK8" s="77" t="s">
        <v>168</v>
      </c>
    </row>
    <row r="9" spans="1:38" ht="21.75" customHeight="1">
      <c r="A9" s="44" t="s">
        <v>144</v>
      </c>
      <c r="B9" s="56"/>
      <c r="C9" s="56"/>
      <c r="D9" s="56"/>
      <c r="E9" s="56"/>
      <c r="F9" s="56"/>
      <c r="G9" s="56"/>
      <c r="H9" s="56"/>
      <c r="I9" s="56"/>
      <c r="J9" s="56"/>
      <c r="K9" s="56"/>
      <c r="L9" s="56"/>
      <c r="M9" s="56"/>
      <c r="N9" s="56"/>
      <c r="O9" s="56"/>
      <c r="P9" s="56"/>
      <c r="Q9" s="56"/>
      <c r="R9" s="56"/>
      <c r="S9" s="51">
        <f>IFERROR(S8/R8-1,"")</f>
        <v>3.3435237329042637</v>
      </c>
      <c r="T9" s="51">
        <f t="shared" ref="T9:AG9" si="2">IFERROR(T8/S8-1,"")</f>
        <v>0.80002469593134529</v>
      </c>
      <c r="U9" s="51">
        <f t="shared" si="2"/>
        <v>0.21819584976847883</v>
      </c>
      <c r="V9" s="51">
        <f t="shared" si="2"/>
        <v>-4.3022257260709851E-2</v>
      </c>
      <c r="W9" s="51">
        <f t="shared" si="2"/>
        <v>-0.19302116892478338</v>
      </c>
      <c r="X9" s="51">
        <f t="shared" si="2"/>
        <v>-0.16891497739536243</v>
      </c>
      <c r="Y9" s="51">
        <f t="shared" si="2"/>
        <v>-4.0293924106163614E-2</v>
      </c>
      <c r="Z9" s="51">
        <f t="shared" si="2"/>
        <v>-4.98251548465245E-3</v>
      </c>
      <c r="AA9" s="51">
        <f t="shared" si="2"/>
        <v>3.8245090157344563E-2</v>
      </c>
      <c r="AB9" s="51">
        <f t="shared" si="2"/>
        <v>0.57300884955752207</v>
      </c>
      <c r="AC9" s="51">
        <f t="shared" si="2"/>
        <v>-0.18706047819971872</v>
      </c>
      <c r="AD9" s="51">
        <f t="shared" si="2"/>
        <v>6.9204152249134898E-2</v>
      </c>
      <c r="AE9" s="51">
        <f t="shared" si="2"/>
        <v>-0.19902912621359226</v>
      </c>
      <c r="AF9" s="51">
        <f t="shared" si="2"/>
        <v>5.2525252525252419E-2</v>
      </c>
      <c r="AG9" s="51">
        <f t="shared" si="2"/>
        <v>0.11900191938579652</v>
      </c>
    </row>
    <row r="10" spans="1:38" ht="21.75" customHeight="1">
      <c r="A10" s="44"/>
      <c r="B10" s="56"/>
      <c r="C10" s="56"/>
      <c r="D10" s="56"/>
      <c r="E10" s="56"/>
      <c r="F10" s="56"/>
      <c r="G10" s="56"/>
      <c r="H10" s="56"/>
      <c r="I10" s="56"/>
      <c r="J10" s="56"/>
      <c r="K10" s="56"/>
      <c r="L10" s="56"/>
      <c r="M10" s="56"/>
      <c r="N10" s="56"/>
      <c r="O10" s="56"/>
      <c r="P10" s="56"/>
      <c r="Q10" s="56"/>
      <c r="R10" s="56"/>
      <c r="S10" s="51"/>
      <c r="T10" s="51"/>
      <c r="U10" s="51"/>
      <c r="V10" s="51"/>
      <c r="W10" s="51"/>
      <c r="X10" s="51"/>
      <c r="Y10" s="51"/>
      <c r="Z10" s="51"/>
      <c r="AA10" s="51"/>
      <c r="AB10" s="51"/>
      <c r="AC10" s="51"/>
      <c r="AD10" s="51"/>
      <c r="AE10" s="51"/>
      <c r="AF10" s="51"/>
      <c r="AG10" s="80"/>
    </row>
    <row r="11" spans="1:38" ht="31.2" customHeight="1">
      <c r="A11" s="127" t="s">
        <v>286</v>
      </c>
      <c r="B11" s="56"/>
      <c r="C11" s="56"/>
      <c r="D11" s="56"/>
      <c r="E11" s="56"/>
      <c r="F11" s="56"/>
      <c r="G11" s="56"/>
      <c r="H11" s="56"/>
      <c r="I11" s="56"/>
      <c r="J11" s="56"/>
      <c r="K11" s="56"/>
      <c r="L11" s="56"/>
      <c r="M11" s="56"/>
      <c r="N11" s="56"/>
      <c r="O11" s="56"/>
      <c r="P11" s="56"/>
      <c r="Q11" s="56"/>
      <c r="R11" s="56"/>
      <c r="S11" s="51"/>
      <c r="T11" s="51"/>
      <c r="U11" s="51"/>
      <c r="V11" s="51"/>
      <c r="W11" s="51"/>
      <c r="X11" s="51"/>
      <c r="Y11" s="51"/>
      <c r="Z11" s="51"/>
      <c r="AA11" s="51"/>
      <c r="AB11" s="51"/>
      <c r="AC11" s="51"/>
      <c r="AD11" s="51"/>
      <c r="AE11" s="51"/>
      <c r="AF11" s="51"/>
      <c r="AG11" s="51"/>
      <c r="AJ11" s="24" t="s">
        <v>166</v>
      </c>
    </row>
    <row r="12" spans="1:38" ht="21.75" customHeight="1">
      <c r="A12" s="24" t="s">
        <v>155</v>
      </c>
      <c r="B12" s="56"/>
      <c r="C12" s="56"/>
      <c r="D12" s="56"/>
      <c r="E12" s="56"/>
      <c r="F12" s="56"/>
      <c r="G12" s="56"/>
      <c r="H12" s="56"/>
      <c r="I12" s="56"/>
      <c r="J12" s="56"/>
      <c r="K12" s="56"/>
      <c r="L12" s="56"/>
      <c r="M12" s="56"/>
      <c r="N12" s="56"/>
      <c r="O12" s="56"/>
      <c r="P12" s="56">
        <v>10000</v>
      </c>
      <c r="Q12" s="56">
        <v>25000</v>
      </c>
      <c r="R12" s="56">
        <v>60000</v>
      </c>
      <c r="S12" s="56">
        <v>115000</v>
      </c>
      <c r="T12" s="56">
        <v>206000</v>
      </c>
      <c r="U12" s="56">
        <v>329000</v>
      </c>
      <c r="V12" s="56">
        <v>442000</v>
      </c>
      <c r="W12" s="56">
        <v>569000</v>
      </c>
      <c r="X12" s="56">
        <v>710000</v>
      </c>
      <c r="Y12" s="56">
        <v>814000</v>
      </c>
      <c r="Z12" s="56">
        <v>888000</v>
      </c>
      <c r="AA12" s="56">
        <v>948000</v>
      </c>
      <c r="AB12" s="56">
        <v>1042000</v>
      </c>
      <c r="AC12" s="56">
        <v>1231000</v>
      </c>
      <c r="AD12" s="56">
        <v>1334000</v>
      </c>
      <c r="AE12" s="56">
        <v>1382000</v>
      </c>
      <c r="AF12" s="56">
        <v>1404000</v>
      </c>
      <c r="AG12" s="56">
        <v>1595000</v>
      </c>
      <c r="AJ12" s="77" t="s">
        <v>167</v>
      </c>
    </row>
    <row r="13" spans="1:38" ht="21.75" customHeight="1">
      <c r="A13" s="44" t="s">
        <v>144</v>
      </c>
      <c r="B13" s="56"/>
      <c r="C13" s="56"/>
      <c r="D13" s="56"/>
      <c r="E13" s="56"/>
      <c r="F13" s="56"/>
      <c r="G13" s="56"/>
      <c r="H13" s="56"/>
      <c r="I13" s="56"/>
      <c r="J13" s="56"/>
      <c r="K13" s="56"/>
      <c r="L13" s="56"/>
      <c r="M13" s="56"/>
      <c r="N13" s="56"/>
      <c r="O13" s="56"/>
      <c r="P13" s="56"/>
      <c r="Q13" s="51">
        <f>IFERROR(Q12/P12-1,"")</f>
        <v>1.5</v>
      </c>
      <c r="R13" s="51">
        <f t="shared" ref="R13:AG15" si="3">IFERROR(R12/Q12-1,"")</f>
        <v>1.4</v>
      </c>
      <c r="S13" s="51">
        <f t="shared" si="3"/>
        <v>0.91666666666666674</v>
      </c>
      <c r="T13" s="51">
        <f t="shared" si="3"/>
        <v>0.79130434782608705</v>
      </c>
      <c r="U13" s="51">
        <f t="shared" si="3"/>
        <v>0.59708737864077666</v>
      </c>
      <c r="V13" s="51">
        <f t="shared" si="3"/>
        <v>0.34346504559270508</v>
      </c>
      <c r="W13" s="51">
        <f t="shared" si="3"/>
        <v>0.28733031674208154</v>
      </c>
      <c r="X13" s="51">
        <f t="shared" si="3"/>
        <v>0.24780316344463982</v>
      </c>
      <c r="Y13" s="51">
        <f t="shared" si="3"/>
        <v>0.14647887323943665</v>
      </c>
      <c r="Z13" s="51">
        <f t="shared" si="3"/>
        <v>9.0909090909090828E-2</v>
      </c>
      <c r="AA13" s="51">
        <f t="shared" si="3"/>
        <v>6.7567567567567544E-2</v>
      </c>
      <c r="AB13" s="51">
        <f t="shared" si="3"/>
        <v>9.9156118143459926E-2</v>
      </c>
      <c r="AC13" s="51">
        <f t="shared" si="3"/>
        <v>0.18138195777351251</v>
      </c>
      <c r="AD13" s="51">
        <f t="shared" si="3"/>
        <v>8.3671811535337204E-2</v>
      </c>
      <c r="AE13" s="51">
        <f t="shared" si="3"/>
        <v>3.5982008995502301E-2</v>
      </c>
      <c r="AF13" s="51">
        <f t="shared" si="3"/>
        <v>1.591895803183796E-2</v>
      </c>
      <c r="AG13" s="51">
        <f t="shared" si="3"/>
        <v>0.13603988603988615</v>
      </c>
    </row>
    <row r="14" spans="1:38" ht="21.75" customHeight="1">
      <c r="A14" s="57" t="s">
        <v>156</v>
      </c>
      <c r="B14" s="56"/>
      <c r="C14" s="56"/>
      <c r="D14" s="56"/>
      <c r="E14" s="56"/>
      <c r="F14" s="56"/>
      <c r="G14" s="56"/>
      <c r="H14" s="56"/>
      <c r="I14" s="56"/>
      <c r="J14" s="56"/>
      <c r="K14" s="56"/>
      <c r="L14" s="56"/>
      <c r="M14" s="56"/>
      <c r="N14" s="56"/>
      <c r="O14" s="56"/>
      <c r="P14" s="56"/>
      <c r="Q14" s="51"/>
      <c r="R14" s="51"/>
      <c r="S14" s="51"/>
      <c r="T14" s="51"/>
      <c r="U14" s="56">
        <v>70400</v>
      </c>
      <c r="V14" s="56">
        <v>77600</v>
      </c>
      <c r="W14" s="56">
        <v>86000</v>
      </c>
      <c r="X14" s="56">
        <v>91900</v>
      </c>
      <c r="Y14" s="56">
        <v>97900</v>
      </c>
      <c r="Z14" s="56">
        <v>103600</v>
      </c>
      <c r="AA14" s="56">
        <v>109400</v>
      </c>
      <c r="AB14" s="56">
        <v>120000</v>
      </c>
      <c r="AC14" s="56">
        <v>134300</v>
      </c>
      <c r="AD14" s="56">
        <v>144600</v>
      </c>
      <c r="AE14" s="56">
        <v>154100</v>
      </c>
      <c r="AF14" s="90">
        <f>AE14*(1+AF15)</f>
        <v>172463.58333333334</v>
      </c>
      <c r="AG14" s="56">
        <v>233000</v>
      </c>
      <c r="AJ14" s="77" t="s">
        <v>188</v>
      </c>
      <c r="AL14" s="77" t="s">
        <v>189</v>
      </c>
    </row>
    <row r="15" spans="1:38" ht="21.75" customHeight="1">
      <c r="A15" s="44" t="s">
        <v>144</v>
      </c>
      <c r="B15" s="56"/>
      <c r="C15" s="56"/>
      <c r="D15" s="56"/>
      <c r="E15" s="56"/>
      <c r="F15" s="56"/>
      <c r="G15" s="56"/>
      <c r="H15" s="56"/>
      <c r="I15" s="56"/>
      <c r="J15" s="56"/>
      <c r="K15" s="56"/>
      <c r="L15" s="56"/>
      <c r="M15" s="56"/>
      <c r="N15" s="56"/>
      <c r="O15" s="56"/>
      <c r="P15" s="56"/>
      <c r="Q15" s="51"/>
      <c r="R15" s="51"/>
      <c r="S15" s="51"/>
      <c r="T15" s="51"/>
      <c r="V15" s="51">
        <f t="shared" si="3"/>
        <v>0.10227272727272729</v>
      </c>
      <c r="W15" s="51">
        <f t="shared" ref="W15" si="4">IFERROR(W14/V14-1,"")</f>
        <v>0.10824742268041243</v>
      </c>
      <c r="X15" s="51">
        <f t="shared" ref="X15" si="5">IFERROR(X14/W14-1,"")</f>
        <v>6.8604651162790686E-2</v>
      </c>
      <c r="Y15" s="51">
        <f t="shared" ref="Y15" si="6">IFERROR(Y14/X14-1,"")</f>
        <v>6.5288356909684486E-2</v>
      </c>
      <c r="Z15" s="51">
        <f t="shared" ref="Z15" si="7">IFERROR(Z14/Y14-1,"")</f>
        <v>5.8222676200204271E-2</v>
      </c>
      <c r="AA15" s="51">
        <f t="shared" ref="AA15" si="8">IFERROR(AA14/Z14-1,"")</f>
        <v>5.5984555984555984E-2</v>
      </c>
      <c r="AB15" s="51">
        <f t="shared" ref="AB15" si="9">IFERROR(AB14/AA14-1,"")</f>
        <v>9.6892138939670858E-2</v>
      </c>
      <c r="AC15" s="51">
        <f t="shared" ref="AC15" si="10">IFERROR(AC14/AB14-1,"")</f>
        <v>0.11916666666666664</v>
      </c>
      <c r="AD15" s="51">
        <f t="shared" ref="AD15" si="11">IFERROR(AD14/AC14-1,"")</f>
        <v>7.6693968726731176E-2</v>
      </c>
      <c r="AE15" s="51">
        <f t="shared" ref="AE15" si="12">IFERROR(AE14/AD14-1,"")</f>
        <v>6.569847856154909E-2</v>
      </c>
      <c r="AF15" s="51">
        <f>AC15</f>
        <v>0.11916666666666664</v>
      </c>
      <c r="AG15" s="51">
        <f t="shared" ref="AG15" si="13">IFERROR(AG14/AF14-1,"")</f>
        <v>0.35100985087189907</v>
      </c>
    </row>
    <row r="16" spans="1:38" ht="21.75" customHeight="1">
      <c r="A16" s="57" t="s">
        <v>157</v>
      </c>
      <c r="B16" s="56"/>
      <c r="C16" s="56"/>
      <c r="D16" s="56"/>
      <c r="E16" s="56"/>
      <c r="F16" s="56"/>
      <c r="G16" s="56"/>
      <c r="H16" s="56"/>
      <c r="I16" s="56"/>
      <c r="J16" s="56"/>
      <c r="K16" s="56"/>
      <c r="L16" s="56"/>
      <c r="M16" s="56"/>
      <c r="N16" s="56"/>
      <c r="O16" s="56"/>
      <c r="P16" s="56"/>
      <c r="Q16" s="51"/>
      <c r="R16" s="51"/>
      <c r="S16" s="51"/>
      <c r="T16" s="51"/>
      <c r="U16" s="56">
        <v>121000</v>
      </c>
      <c r="V16" s="56">
        <v>195200</v>
      </c>
      <c r="W16" s="56">
        <v>258600.00000000003</v>
      </c>
      <c r="X16" s="56">
        <v>293400</v>
      </c>
      <c r="Y16" s="56">
        <v>310800</v>
      </c>
      <c r="Z16" s="56">
        <v>296400</v>
      </c>
      <c r="AA16" s="56">
        <v>298200</v>
      </c>
      <c r="AB16" s="56">
        <v>311500</v>
      </c>
      <c r="AC16" s="56">
        <v>339200</v>
      </c>
      <c r="AD16" s="56">
        <v>377800</v>
      </c>
      <c r="AE16" s="56">
        <v>405700</v>
      </c>
      <c r="AF16" s="90">
        <f>AE16*(1+AF17)</f>
        <v>435660.37586024357</v>
      </c>
      <c r="AG16" s="56">
        <v>442000</v>
      </c>
      <c r="AJ16" s="77" t="s">
        <v>188</v>
      </c>
      <c r="AL16" s="77" t="s">
        <v>189</v>
      </c>
    </row>
    <row r="17" spans="1:36" ht="21.75" customHeight="1">
      <c r="A17" s="44" t="s">
        <v>144</v>
      </c>
      <c r="B17" s="56"/>
      <c r="C17" s="56"/>
      <c r="D17" s="56"/>
      <c r="E17" s="56"/>
      <c r="F17" s="56"/>
      <c r="G17" s="56"/>
      <c r="H17" s="56"/>
      <c r="I17" s="56"/>
      <c r="J17" s="56"/>
      <c r="K17" s="56"/>
      <c r="L17" s="56"/>
      <c r="M17" s="56"/>
      <c r="N17" s="56"/>
      <c r="O17" s="56"/>
      <c r="P17" s="56"/>
      <c r="Q17" s="51"/>
      <c r="R17" s="51"/>
      <c r="S17" s="51"/>
      <c r="T17" s="51"/>
      <c r="U17" s="51"/>
      <c r="V17" s="51">
        <f t="shared" ref="V17" si="14">IFERROR(V16/U16-1,"")</f>
        <v>0.61322314049586768</v>
      </c>
      <c r="W17" s="51">
        <f t="shared" ref="W17" si="15">IFERROR(W16/V16-1,"")</f>
        <v>0.32479508196721318</v>
      </c>
      <c r="X17" s="51">
        <f t="shared" ref="X17" si="16">IFERROR(X16/W16-1,"")</f>
        <v>0.1345707656612527</v>
      </c>
      <c r="Y17" s="51">
        <f t="shared" ref="Y17" si="17">IFERROR(Y16/X16-1,"")</f>
        <v>5.9304703476482645E-2</v>
      </c>
      <c r="Z17" s="51">
        <f t="shared" ref="Z17" si="18">IFERROR(Z16/Y16-1,"")</f>
        <v>-4.633204633204635E-2</v>
      </c>
      <c r="AA17" s="51">
        <f t="shared" ref="AA17" si="19">IFERROR(AA16/Z16-1,"")</f>
        <v>6.0728744939271273E-3</v>
      </c>
      <c r="AB17" s="51">
        <f t="shared" ref="AB17" si="20">IFERROR(AB16/AA16-1,"")</f>
        <v>4.4600938967136239E-2</v>
      </c>
      <c r="AC17" s="51">
        <f t="shared" ref="AC17" si="21">IFERROR(AC16/AB16-1,"")</f>
        <v>8.8924558587479829E-2</v>
      </c>
      <c r="AD17" s="51">
        <f t="shared" ref="AD17" si="22">IFERROR(AD16/AC16-1,"")</f>
        <v>0.11379716981132071</v>
      </c>
      <c r="AE17" s="51">
        <f t="shared" ref="AE17" si="23">IFERROR(AE16/AD16-1,"")</f>
        <v>7.384859714134473E-2</v>
      </c>
      <c r="AF17" s="51">
        <f>AE17</f>
        <v>7.384859714134473E-2</v>
      </c>
      <c r="AG17" s="51">
        <f t="shared" ref="AG17" si="24">IFERROR(AG16/AF16-1,"")</f>
        <v>1.4551757495132156E-2</v>
      </c>
    </row>
    <row r="18" spans="1:36" ht="21.75" customHeight="1">
      <c r="A18" s="44"/>
      <c r="B18" s="56"/>
      <c r="C18" s="56"/>
      <c r="D18" s="56"/>
      <c r="E18" s="56"/>
      <c r="F18" s="56"/>
      <c r="G18" s="56"/>
      <c r="H18" s="56"/>
      <c r="I18" s="56"/>
      <c r="J18" s="56"/>
      <c r="K18" s="56"/>
      <c r="L18" s="56"/>
      <c r="M18" s="56"/>
      <c r="N18" s="56"/>
      <c r="O18" s="56"/>
      <c r="P18" s="56"/>
      <c r="Q18" s="51"/>
      <c r="R18" s="51"/>
      <c r="S18" s="51"/>
      <c r="T18" s="51"/>
      <c r="U18" s="51"/>
      <c r="V18" s="51"/>
      <c r="W18" s="51"/>
      <c r="X18" s="51"/>
      <c r="Y18" s="51"/>
      <c r="Z18" s="51"/>
      <c r="AA18" s="51"/>
      <c r="AB18" s="51"/>
      <c r="AC18" s="51"/>
      <c r="AD18" s="51"/>
      <c r="AE18" s="51"/>
      <c r="AF18" s="51"/>
      <c r="AG18" s="51"/>
    </row>
    <row r="19" spans="1:36" ht="21.75" customHeight="1">
      <c r="A19" s="44"/>
      <c r="B19" s="56"/>
      <c r="C19" s="56"/>
      <c r="D19" s="56"/>
      <c r="E19" s="56"/>
      <c r="F19" s="56"/>
      <c r="G19" s="56"/>
      <c r="H19" s="56"/>
      <c r="I19" s="56"/>
      <c r="J19" s="56"/>
      <c r="K19" s="56"/>
      <c r="L19" s="56"/>
      <c r="M19" s="56"/>
      <c r="N19" s="56"/>
      <c r="O19" s="56"/>
      <c r="P19" s="56"/>
      <c r="Q19" s="51"/>
      <c r="R19" s="51"/>
      <c r="S19" s="51"/>
      <c r="T19" s="51"/>
      <c r="U19" s="51"/>
      <c r="V19" s="51"/>
      <c r="W19" s="51"/>
      <c r="X19" s="51"/>
      <c r="Y19" s="51"/>
      <c r="Z19" s="51"/>
      <c r="AA19" s="51"/>
      <c r="AB19" s="51"/>
      <c r="AC19" s="51"/>
      <c r="AD19" s="51"/>
      <c r="AE19" s="51"/>
      <c r="AF19" s="51"/>
      <c r="AG19" s="51"/>
    </row>
    <row r="20" spans="1:36" ht="21.75" customHeight="1">
      <c r="A20" s="44"/>
      <c r="B20" s="56"/>
      <c r="C20" s="56"/>
      <c r="D20" s="56"/>
      <c r="E20" s="56"/>
      <c r="F20" s="56"/>
      <c r="G20" s="56"/>
      <c r="H20" s="56"/>
      <c r="I20" s="56"/>
      <c r="J20" s="56"/>
      <c r="K20" s="56"/>
      <c r="L20" s="56"/>
      <c r="M20" s="56"/>
      <c r="N20" s="56"/>
      <c r="O20" s="56"/>
      <c r="P20" s="56"/>
      <c r="Q20" s="51"/>
      <c r="R20" s="51"/>
      <c r="S20" s="51"/>
      <c r="T20" s="51"/>
      <c r="U20" s="51"/>
      <c r="V20" s="51"/>
      <c r="W20" s="51"/>
      <c r="X20" s="51"/>
      <c r="Y20" s="51"/>
      <c r="Z20" s="51"/>
      <c r="AA20" s="51"/>
      <c r="AB20" s="51"/>
      <c r="AC20" s="51"/>
      <c r="AD20" s="51"/>
      <c r="AE20" s="51"/>
      <c r="AF20" s="51"/>
      <c r="AG20" s="51"/>
    </row>
    <row r="21" spans="1:36">
      <c r="A21" s="54"/>
      <c r="B21" s="54"/>
      <c r="C21" s="54"/>
      <c r="D21" s="54"/>
      <c r="E21" s="54"/>
      <c r="F21" s="54"/>
      <c r="G21" s="54"/>
      <c r="H21" s="54"/>
      <c r="I21" s="54"/>
      <c r="J21" s="54"/>
      <c r="K21" s="54"/>
      <c r="L21" s="54"/>
      <c r="M21" s="54"/>
      <c r="N21" s="54"/>
      <c r="O21" s="54"/>
      <c r="P21" s="54"/>
      <c r="Q21" s="54"/>
      <c r="R21" s="54"/>
      <c r="S21" s="54"/>
      <c r="T21" s="54"/>
      <c r="U21" s="54"/>
      <c r="V21" s="54"/>
    </row>
    <row r="22" spans="1:36">
      <c r="A22" s="82" t="s">
        <v>190</v>
      </c>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J22" s="24" t="s">
        <v>177</v>
      </c>
    </row>
    <row r="23" spans="1:36">
      <c r="A23" t="s">
        <v>169</v>
      </c>
      <c r="B23" s="54"/>
      <c r="C23" s="54"/>
      <c r="D23" s="54"/>
      <c r="E23" s="54"/>
      <c r="F23" s="54"/>
      <c r="G23" s="54"/>
      <c r="H23" s="54"/>
      <c r="I23" s="54"/>
      <c r="J23" s="54"/>
      <c r="K23" s="54"/>
      <c r="L23" s="54"/>
      <c r="M23" s="54"/>
      <c r="N23" s="54"/>
      <c r="O23" s="54"/>
      <c r="P23" s="54"/>
      <c r="Q23" s="54"/>
      <c r="R23" s="54"/>
      <c r="S23" s="54"/>
      <c r="T23" s="54"/>
      <c r="U23" s="54"/>
      <c r="V23" s="54"/>
      <c r="W23" s="56">
        <v>70300</v>
      </c>
      <c r="X23" s="56">
        <v>62900</v>
      </c>
      <c r="Y23" s="56">
        <v>69300</v>
      </c>
      <c r="Z23" s="56">
        <v>74800</v>
      </c>
      <c r="AA23" s="56">
        <v>65700</v>
      </c>
      <c r="AB23" s="56">
        <v>73300</v>
      </c>
      <c r="AC23" s="56">
        <v>84300</v>
      </c>
      <c r="AD23" s="56">
        <v>99800</v>
      </c>
      <c r="AE23" s="56">
        <v>98100</v>
      </c>
      <c r="AF23" s="56">
        <v>100400</v>
      </c>
      <c r="AG23" s="56">
        <v>105900</v>
      </c>
      <c r="AH23" s="54"/>
      <c r="AJ23" s="77" t="s">
        <v>167</v>
      </c>
    </row>
    <row r="24" spans="1:36" ht="14.4">
      <c r="A24" s="44" t="s">
        <v>144</v>
      </c>
      <c r="B24" s="54"/>
      <c r="C24" s="54"/>
      <c r="D24" s="54"/>
      <c r="E24" s="54"/>
      <c r="F24" s="54"/>
      <c r="G24" s="54"/>
      <c r="H24" s="54"/>
      <c r="I24" s="54"/>
      <c r="J24" s="54"/>
      <c r="K24" s="54"/>
      <c r="L24" s="54"/>
      <c r="M24" s="54"/>
      <c r="N24" s="54"/>
      <c r="O24" s="54"/>
      <c r="P24" s="54"/>
      <c r="Q24" s="54"/>
      <c r="R24" s="54"/>
      <c r="S24" s="54"/>
      <c r="T24" s="54"/>
      <c r="U24" s="54"/>
      <c r="V24" s="54"/>
      <c r="W24" s="54"/>
      <c r="X24" s="51">
        <f>IFERROR(X23/W23-1,"")</f>
        <v>-0.10526315789473684</v>
      </c>
      <c r="Y24" s="51">
        <f t="shared" ref="Y24:AG24" si="25">IFERROR(Y23/X23-1,"")</f>
        <v>0.10174880763116056</v>
      </c>
      <c r="Z24" s="51">
        <f t="shared" si="25"/>
        <v>7.9365079365079305E-2</v>
      </c>
      <c r="AA24" s="51">
        <f t="shared" si="25"/>
        <v>-0.12165775401069523</v>
      </c>
      <c r="AB24" s="51">
        <f t="shared" si="25"/>
        <v>0.11567732115677321</v>
      </c>
      <c r="AC24" s="51">
        <f t="shared" si="25"/>
        <v>0.15006821282401095</v>
      </c>
      <c r="AD24" s="51">
        <f t="shared" si="25"/>
        <v>0.18386714116251479</v>
      </c>
      <c r="AE24" s="51">
        <f t="shared" si="25"/>
        <v>-1.7034068136272507E-2</v>
      </c>
      <c r="AF24" s="51">
        <f t="shared" si="25"/>
        <v>2.3445463812436396E-2</v>
      </c>
      <c r="AG24" s="51">
        <f t="shared" si="25"/>
        <v>5.4780876494023856E-2</v>
      </c>
      <c r="AH24" s="54"/>
    </row>
    <row r="25" spans="1:36">
      <c r="A25" t="s">
        <v>170</v>
      </c>
      <c r="B25" s="54"/>
      <c r="C25" s="54"/>
      <c r="D25" s="54"/>
      <c r="E25" s="54"/>
      <c r="F25" s="54"/>
      <c r="G25" s="54"/>
      <c r="H25" s="54"/>
      <c r="I25" s="54"/>
      <c r="J25" s="54"/>
      <c r="K25" s="54"/>
      <c r="L25" s="54"/>
      <c r="M25" s="54"/>
      <c r="N25" s="54"/>
      <c r="O25" s="54"/>
      <c r="P25" s="54"/>
      <c r="Q25" s="54"/>
      <c r="R25" s="54"/>
      <c r="S25" s="54"/>
      <c r="T25" s="54"/>
      <c r="U25" s="54"/>
      <c r="V25" s="54"/>
      <c r="W25" s="56">
        <v>33900</v>
      </c>
      <c r="X25" s="56">
        <v>34600</v>
      </c>
      <c r="Y25" s="56">
        <v>36800</v>
      </c>
      <c r="Z25" s="56">
        <v>38200</v>
      </c>
      <c r="AA25" s="56">
        <v>36300</v>
      </c>
      <c r="AB25" s="56">
        <v>37300</v>
      </c>
      <c r="AC25" s="56">
        <v>56100</v>
      </c>
      <c r="AD25" s="56">
        <v>56000</v>
      </c>
      <c r="AE25" s="56">
        <v>56800</v>
      </c>
      <c r="AF25" s="56">
        <v>58800</v>
      </c>
      <c r="AG25" s="56">
        <v>65900</v>
      </c>
      <c r="AH25" s="54"/>
    </row>
    <row r="26" spans="1:36" ht="14.4">
      <c r="A26" s="44" t="s">
        <v>144</v>
      </c>
      <c r="B26" s="54"/>
      <c r="C26" s="54"/>
      <c r="D26" s="54"/>
      <c r="E26" s="54"/>
      <c r="F26" s="54"/>
      <c r="G26" s="54"/>
      <c r="H26" s="54"/>
      <c r="I26" s="54"/>
      <c r="J26" s="54"/>
      <c r="K26" s="54"/>
      <c r="L26" s="54"/>
      <c r="M26" s="54"/>
      <c r="N26" s="54"/>
      <c r="O26" s="54"/>
      <c r="P26" s="54"/>
      <c r="Q26" s="54"/>
      <c r="R26" s="54"/>
      <c r="S26" s="54"/>
      <c r="T26" s="54"/>
      <c r="U26" s="54"/>
      <c r="V26" s="54"/>
      <c r="W26" s="54"/>
      <c r="X26" s="51">
        <f>IFERROR(X25/W25-1,"")</f>
        <v>2.0648967551622377E-2</v>
      </c>
      <c r="Y26" s="51">
        <f t="shared" ref="Y26:AG26" si="26">IFERROR(Y25/X25-1,"")</f>
        <v>6.3583815028901647E-2</v>
      </c>
      <c r="Z26" s="51">
        <f t="shared" si="26"/>
        <v>3.8043478260869623E-2</v>
      </c>
      <c r="AA26" s="51">
        <f t="shared" si="26"/>
        <v>-4.9738219895287927E-2</v>
      </c>
      <c r="AB26" s="51">
        <f t="shared" si="26"/>
        <v>2.7548209366391241E-2</v>
      </c>
      <c r="AC26" s="51">
        <f t="shared" si="26"/>
        <v>0.50402144772117952</v>
      </c>
      <c r="AD26" s="51">
        <f t="shared" si="26"/>
        <v>-1.7825311942959443E-3</v>
      </c>
      <c r="AE26" s="51">
        <f t="shared" si="26"/>
        <v>1.4285714285714235E-2</v>
      </c>
      <c r="AF26" s="51">
        <f t="shared" si="26"/>
        <v>3.5211267605633756E-2</v>
      </c>
      <c r="AG26" s="51">
        <f t="shared" si="26"/>
        <v>0.12074829931972797</v>
      </c>
      <c r="AH26" s="54"/>
    </row>
    <row r="27" spans="1:36">
      <c r="A27" t="s">
        <v>162</v>
      </c>
      <c r="B27" s="54"/>
      <c r="C27" s="54"/>
      <c r="D27" s="54"/>
      <c r="E27" s="54"/>
      <c r="F27" s="54"/>
      <c r="G27" s="54"/>
      <c r="H27" s="54"/>
      <c r="I27" s="54"/>
      <c r="J27" s="54"/>
      <c r="K27" s="54"/>
      <c r="L27" s="54"/>
      <c r="M27" s="54"/>
      <c r="N27" s="54"/>
      <c r="O27" s="54"/>
      <c r="P27" s="54"/>
      <c r="Q27" s="54"/>
      <c r="R27" s="54"/>
      <c r="S27" s="54"/>
      <c r="T27" s="54"/>
      <c r="U27" s="54"/>
      <c r="V27" s="54"/>
      <c r="W27" s="56">
        <v>71200</v>
      </c>
      <c r="X27" s="56">
        <v>58300</v>
      </c>
      <c r="Y27" s="56">
        <v>51600</v>
      </c>
      <c r="Z27" s="56">
        <v>44800</v>
      </c>
      <c r="AA27" s="56">
        <v>31400</v>
      </c>
      <c r="AB27" s="56">
        <v>34900</v>
      </c>
      <c r="AC27" s="56">
        <v>42900</v>
      </c>
      <c r="AD27" s="56">
        <v>43600</v>
      </c>
      <c r="AE27" s="56">
        <v>43700</v>
      </c>
      <c r="AF27" s="56">
        <v>38500</v>
      </c>
      <c r="AG27" s="56">
        <v>38200</v>
      </c>
      <c r="AH27" s="54"/>
    </row>
    <row r="28" spans="1:36" ht="14.4">
      <c r="A28" s="44" t="s">
        <v>144</v>
      </c>
      <c r="B28" s="54"/>
      <c r="C28" s="54"/>
      <c r="D28" s="54"/>
      <c r="E28" s="54"/>
      <c r="F28" s="54"/>
      <c r="G28" s="54"/>
      <c r="H28" s="54"/>
      <c r="I28" s="54"/>
      <c r="J28" s="54"/>
      <c r="K28" s="54"/>
      <c r="L28" s="54"/>
      <c r="M28" s="54"/>
      <c r="N28" s="54"/>
      <c r="O28" s="54"/>
      <c r="P28" s="54"/>
      <c r="Q28" s="54"/>
      <c r="R28" s="54"/>
      <c r="S28" s="54"/>
      <c r="T28" s="54"/>
      <c r="U28" s="54"/>
      <c r="V28" s="54"/>
      <c r="W28" s="54"/>
      <c r="X28" s="51">
        <f>IFERROR(X27/W27-1,"")</f>
        <v>-0.1811797752808989</v>
      </c>
      <c r="Y28" s="51">
        <f t="shared" ref="Y28:AG28" si="27">IFERROR(Y27/X27-1,"")</f>
        <v>-0.11492281303602059</v>
      </c>
      <c r="Z28" s="51">
        <f t="shared" si="27"/>
        <v>-0.13178294573643412</v>
      </c>
      <c r="AA28" s="51">
        <f t="shared" si="27"/>
        <v>-0.2991071428571429</v>
      </c>
      <c r="AB28" s="51">
        <f t="shared" si="27"/>
        <v>0.11146496815286633</v>
      </c>
      <c r="AC28" s="51">
        <f t="shared" si="27"/>
        <v>0.22922636103151861</v>
      </c>
      <c r="AD28" s="51">
        <f t="shared" si="27"/>
        <v>1.631701631701632E-2</v>
      </c>
      <c r="AE28" s="51">
        <f t="shared" si="27"/>
        <v>2.2935779816513069E-3</v>
      </c>
      <c r="AF28" s="51">
        <f t="shared" si="27"/>
        <v>-0.1189931350114416</v>
      </c>
      <c r="AG28" s="51">
        <f t="shared" si="27"/>
        <v>-7.7922077922077948E-3</v>
      </c>
      <c r="AH28" s="54"/>
    </row>
    <row r="29" spans="1:36">
      <c r="A29" t="s">
        <v>171</v>
      </c>
      <c r="B29" s="54"/>
      <c r="C29" s="54"/>
      <c r="D29" s="54"/>
      <c r="E29" s="54"/>
      <c r="F29" s="54"/>
      <c r="G29" s="54"/>
      <c r="H29" s="54"/>
      <c r="I29" s="54"/>
      <c r="J29" s="54"/>
      <c r="K29" s="54"/>
      <c r="L29" s="54"/>
      <c r="M29" s="54"/>
      <c r="N29" s="54"/>
      <c r="O29" s="54"/>
      <c r="P29" s="54"/>
      <c r="Q29" s="54"/>
      <c r="R29" s="54"/>
      <c r="S29" s="54"/>
      <c r="T29" s="54"/>
      <c r="U29" s="54"/>
      <c r="V29" s="54"/>
      <c r="W29" s="56">
        <v>15000</v>
      </c>
      <c r="X29" s="56">
        <v>14600</v>
      </c>
      <c r="Y29" s="56">
        <v>15300</v>
      </c>
      <c r="Z29" s="56">
        <v>14900</v>
      </c>
      <c r="AA29" s="56">
        <v>14800</v>
      </c>
      <c r="AB29" s="56">
        <v>14700</v>
      </c>
      <c r="AC29" s="56">
        <v>17800</v>
      </c>
      <c r="AD29" s="56">
        <v>15200</v>
      </c>
      <c r="AE29" s="56">
        <v>14600</v>
      </c>
      <c r="AF29" s="56">
        <v>14500</v>
      </c>
      <c r="AG29" s="56">
        <v>17000</v>
      </c>
      <c r="AH29" s="54"/>
    </row>
    <row r="30" spans="1:36" ht="14.4">
      <c r="A30" s="44" t="s">
        <v>144</v>
      </c>
      <c r="B30" s="54"/>
      <c r="C30" s="54"/>
      <c r="D30" s="54"/>
      <c r="E30" s="54"/>
      <c r="F30" s="54"/>
      <c r="G30" s="54"/>
      <c r="H30" s="54"/>
      <c r="I30" s="54"/>
      <c r="J30" s="54"/>
      <c r="K30" s="54"/>
      <c r="L30" s="54"/>
      <c r="M30" s="54"/>
      <c r="N30" s="54"/>
      <c r="O30" s="54"/>
      <c r="P30" s="54"/>
      <c r="Q30" s="54"/>
      <c r="R30" s="54"/>
      <c r="S30" s="54"/>
      <c r="T30" s="54"/>
      <c r="U30" s="54"/>
      <c r="V30" s="54"/>
      <c r="W30" s="54"/>
      <c r="X30" s="51">
        <f>IFERROR(X29/W29-1,"")</f>
        <v>-2.6666666666666616E-2</v>
      </c>
      <c r="Y30" s="51">
        <f t="shared" ref="Y30:AG30" si="28">IFERROR(Y29/X29-1,"")</f>
        <v>4.7945205479452024E-2</v>
      </c>
      <c r="Z30" s="51">
        <f t="shared" si="28"/>
        <v>-2.6143790849673221E-2</v>
      </c>
      <c r="AA30" s="51">
        <f t="shared" si="28"/>
        <v>-6.7114093959731447E-3</v>
      </c>
      <c r="AB30" s="51">
        <f t="shared" si="28"/>
        <v>-6.7567567567567988E-3</v>
      </c>
      <c r="AC30" s="51">
        <f t="shared" si="28"/>
        <v>0.21088435374149661</v>
      </c>
      <c r="AD30" s="51">
        <f t="shared" si="28"/>
        <v>-0.1460674157303371</v>
      </c>
      <c r="AE30" s="51">
        <f t="shared" si="28"/>
        <v>-3.9473684210526327E-2</v>
      </c>
      <c r="AF30" s="51">
        <f t="shared" si="28"/>
        <v>-6.8493150684931781E-3</v>
      </c>
      <c r="AG30" s="51">
        <f t="shared" si="28"/>
        <v>0.17241379310344818</v>
      </c>
      <c r="AH30" s="54"/>
    </row>
    <row r="31" spans="1:36">
      <c r="A31" t="s">
        <v>172</v>
      </c>
      <c r="B31" s="54"/>
      <c r="C31" s="54"/>
      <c r="D31" s="54"/>
      <c r="E31" s="54"/>
      <c r="F31" s="54"/>
      <c r="G31" s="54"/>
      <c r="H31" s="54"/>
      <c r="I31" s="54"/>
      <c r="J31" s="54"/>
      <c r="K31" s="54"/>
      <c r="L31" s="54"/>
      <c r="M31" s="54"/>
      <c r="N31" s="54"/>
      <c r="O31" s="54"/>
      <c r="P31" s="54"/>
      <c r="Q31" s="54"/>
      <c r="R31" s="54"/>
      <c r="S31" s="54"/>
      <c r="T31" s="54"/>
      <c r="U31" s="54"/>
      <c r="V31" s="54"/>
      <c r="W31" s="56">
        <v>12200</v>
      </c>
      <c r="X31" s="56">
        <v>14800</v>
      </c>
      <c r="Y31" s="56">
        <v>13300</v>
      </c>
      <c r="Z31" s="56">
        <v>14200</v>
      </c>
      <c r="AA31" s="56">
        <v>12800</v>
      </c>
      <c r="AB31" s="56">
        <v>14000</v>
      </c>
      <c r="AC31" s="56">
        <v>17300</v>
      </c>
      <c r="AD31" s="56">
        <v>17200</v>
      </c>
      <c r="AE31" s="56">
        <v>17800</v>
      </c>
      <c r="AF31" s="56">
        <v>19900</v>
      </c>
      <c r="AG31" s="56">
        <v>20000</v>
      </c>
      <c r="AH31" s="54"/>
    </row>
    <row r="32" spans="1:36" ht="14.4">
      <c r="A32" s="44" t="s">
        <v>144</v>
      </c>
      <c r="B32" s="54"/>
      <c r="C32" s="54"/>
      <c r="D32" s="54"/>
      <c r="E32" s="54"/>
      <c r="F32" s="54"/>
      <c r="G32" s="54"/>
      <c r="H32" s="54"/>
      <c r="I32" s="54"/>
      <c r="J32" s="54"/>
      <c r="K32" s="54"/>
      <c r="L32" s="54"/>
      <c r="M32" s="54"/>
      <c r="N32" s="54"/>
      <c r="O32" s="54"/>
      <c r="P32" s="54"/>
      <c r="Q32" s="54"/>
      <c r="R32" s="54"/>
      <c r="S32" s="54"/>
      <c r="T32" s="54"/>
      <c r="U32" s="54"/>
      <c r="V32" s="54"/>
      <c r="W32" s="54"/>
      <c r="X32" s="51">
        <f>IFERROR(X31/W31-1,"")</f>
        <v>0.21311475409836067</v>
      </c>
      <c r="Y32" s="51">
        <f t="shared" ref="Y32:AG32" si="29">IFERROR(Y31/X31-1,"")</f>
        <v>-0.10135135135135132</v>
      </c>
      <c r="Z32" s="51">
        <f t="shared" si="29"/>
        <v>6.7669172932330879E-2</v>
      </c>
      <c r="AA32" s="51">
        <f t="shared" si="29"/>
        <v>-9.8591549295774628E-2</v>
      </c>
      <c r="AB32" s="51">
        <f t="shared" si="29"/>
        <v>9.375E-2</v>
      </c>
      <c r="AC32" s="51">
        <f t="shared" si="29"/>
        <v>0.23571428571428577</v>
      </c>
      <c r="AD32" s="51">
        <f t="shared" si="29"/>
        <v>-5.7803468208093012E-3</v>
      </c>
      <c r="AE32" s="51">
        <f t="shared" si="29"/>
        <v>3.488372093023262E-2</v>
      </c>
      <c r="AF32" s="51">
        <f t="shared" si="29"/>
        <v>0.1179775280898876</v>
      </c>
      <c r="AG32" s="51">
        <f t="shared" si="29"/>
        <v>5.0251256281406143E-3</v>
      </c>
      <c r="AH32" s="54"/>
    </row>
    <row r="33" spans="1:44" ht="14.4" thickBot="1">
      <c r="A33" s="78" t="s">
        <v>173</v>
      </c>
      <c r="B33" s="83"/>
      <c r="C33" s="83"/>
      <c r="D33" s="83"/>
      <c r="E33" s="83"/>
      <c r="F33" s="83"/>
      <c r="G33" s="83"/>
      <c r="H33" s="83"/>
      <c r="I33" s="83"/>
      <c r="J33" s="83"/>
      <c r="K33" s="83"/>
      <c r="L33" s="83"/>
      <c r="M33" s="83"/>
      <c r="N33" s="83"/>
      <c r="O33" s="83"/>
      <c r="P33" s="83"/>
      <c r="Q33" s="83"/>
      <c r="R33" s="83"/>
      <c r="S33" s="83"/>
      <c r="T33" s="83"/>
      <c r="U33" s="83"/>
      <c r="V33" s="83"/>
      <c r="W33" s="81">
        <f>W31+W29+W27+W25+W23</f>
        <v>202600</v>
      </c>
      <c r="X33" s="81">
        <f t="shared" ref="X33:AG33" si="30">X31+X29+X27+X25+X23</f>
        <v>185200</v>
      </c>
      <c r="Y33" s="81">
        <f t="shared" si="30"/>
        <v>186300</v>
      </c>
      <c r="Z33" s="81">
        <f t="shared" si="30"/>
        <v>186900</v>
      </c>
      <c r="AA33" s="81">
        <f t="shared" si="30"/>
        <v>161000</v>
      </c>
      <c r="AB33" s="81">
        <f t="shared" si="30"/>
        <v>174200</v>
      </c>
      <c r="AC33" s="81">
        <f t="shared" si="30"/>
        <v>218400</v>
      </c>
      <c r="AD33" s="81">
        <f t="shared" si="30"/>
        <v>231800</v>
      </c>
      <c r="AE33" s="81">
        <f t="shared" si="30"/>
        <v>231000</v>
      </c>
      <c r="AF33" s="81">
        <f t="shared" si="30"/>
        <v>232100</v>
      </c>
      <c r="AG33" s="81">
        <f t="shared" si="30"/>
        <v>247000</v>
      </c>
    </row>
    <row r="34" spans="1:44" ht="14.4">
      <c r="A34" s="44" t="s">
        <v>144</v>
      </c>
      <c r="B34" s="54"/>
      <c r="C34" s="54"/>
      <c r="D34" s="54"/>
      <c r="E34" s="54"/>
      <c r="F34" s="54"/>
      <c r="G34" s="54"/>
      <c r="H34" s="54"/>
      <c r="I34" s="54"/>
      <c r="J34" s="54"/>
      <c r="K34" s="54"/>
      <c r="L34" s="54"/>
      <c r="M34" s="54"/>
      <c r="N34" s="54"/>
      <c r="O34" s="54"/>
      <c r="P34" s="54"/>
      <c r="Q34" s="54"/>
      <c r="R34" s="54"/>
      <c r="S34" s="54"/>
      <c r="T34" s="54"/>
      <c r="U34" s="54"/>
      <c r="V34" s="54"/>
      <c r="X34" s="51">
        <f>IFERROR(X33/W33-1,"")</f>
        <v>-8.5883514313919052E-2</v>
      </c>
      <c r="Y34" s="51">
        <f t="shared" ref="Y34:AG34" si="31">IFERROR(Y33/X33-1,"")</f>
        <v>5.9395248380129662E-3</v>
      </c>
      <c r="Z34" s="51">
        <f t="shared" si="31"/>
        <v>3.2206119162641045E-3</v>
      </c>
      <c r="AA34" s="51">
        <f t="shared" si="31"/>
        <v>-0.13857677902621723</v>
      </c>
      <c r="AB34" s="51">
        <f t="shared" si="31"/>
        <v>8.1987577639751619E-2</v>
      </c>
      <c r="AC34" s="51">
        <f t="shared" si="31"/>
        <v>0.25373134328358216</v>
      </c>
      <c r="AD34" s="51">
        <f t="shared" si="31"/>
        <v>6.1355311355311359E-2</v>
      </c>
      <c r="AE34" s="51">
        <f t="shared" si="31"/>
        <v>-3.45125107851596E-3</v>
      </c>
      <c r="AF34" s="51">
        <f t="shared" si="31"/>
        <v>4.761904761904745E-3</v>
      </c>
      <c r="AG34" s="51">
        <f t="shared" si="31"/>
        <v>6.4196467040068983E-2</v>
      </c>
      <c r="AP34" s="85"/>
      <c r="AQ34" s="89"/>
      <c r="AR34" s="89"/>
    </row>
    <row r="35" spans="1:44">
      <c r="A35" s="54"/>
      <c r="B35" s="54"/>
      <c r="C35" s="54"/>
      <c r="D35" s="54"/>
      <c r="E35" s="54"/>
      <c r="F35" s="54"/>
      <c r="G35" s="54"/>
      <c r="H35" s="54"/>
      <c r="I35" s="54"/>
      <c r="J35" s="54"/>
      <c r="K35" s="54"/>
      <c r="L35" s="54"/>
      <c r="M35" s="54"/>
      <c r="N35" s="54"/>
      <c r="O35" s="54"/>
      <c r="P35" s="54"/>
      <c r="Q35" s="54"/>
      <c r="R35" s="54"/>
      <c r="S35" s="54"/>
      <c r="T35" s="54"/>
      <c r="U35" s="54"/>
      <c r="V35" s="54"/>
      <c r="AP35" s="87"/>
      <c r="AQ35" s="89"/>
      <c r="AR35" s="89"/>
    </row>
    <row r="36" spans="1:44">
      <c r="A36" s="54"/>
      <c r="B36" s="54"/>
      <c r="C36" s="54"/>
      <c r="D36" s="54"/>
      <c r="E36" s="54"/>
      <c r="F36" s="54"/>
      <c r="G36" s="54"/>
      <c r="N36" s="79"/>
      <c r="O36" s="54"/>
      <c r="P36" s="54"/>
      <c r="Q36" s="54"/>
      <c r="R36" s="54"/>
      <c r="S36" s="54"/>
      <c r="T36" s="54"/>
      <c r="U36" s="54"/>
      <c r="V36" s="54"/>
      <c r="W36" s="54"/>
      <c r="X36" s="54"/>
      <c r="Y36" s="54"/>
      <c r="Z36" s="54"/>
      <c r="AA36" s="54"/>
      <c r="AB36" s="54"/>
      <c r="AC36" s="54"/>
      <c r="AD36" s="54"/>
      <c r="AE36" s="54"/>
      <c r="AF36" s="54"/>
      <c r="AG36" s="54"/>
      <c r="AH36" s="54"/>
      <c r="AI36" s="54"/>
      <c r="AP36" s="87"/>
      <c r="AQ36" s="89"/>
      <c r="AR36" s="89"/>
    </row>
    <row r="37" spans="1:44">
      <c r="A37" s="54"/>
      <c r="B37" s="54"/>
      <c r="C37" s="54"/>
      <c r="D37" s="54"/>
      <c r="E37" s="54"/>
      <c r="F37" s="54"/>
      <c r="G37" s="54"/>
      <c r="H37" s="54"/>
      <c r="I37" s="54"/>
      <c r="J37" s="54"/>
      <c r="O37" s="54"/>
      <c r="P37" s="54"/>
      <c r="Q37" s="54"/>
      <c r="R37" s="54"/>
      <c r="S37" s="54"/>
      <c r="T37" s="54"/>
      <c r="U37" s="54"/>
      <c r="V37" s="54"/>
      <c r="W37" s="54"/>
      <c r="X37" s="54"/>
      <c r="Y37" s="54"/>
      <c r="Z37" s="54"/>
      <c r="AA37" s="54"/>
      <c r="AB37" s="54"/>
      <c r="AC37" s="54"/>
      <c r="AD37" s="54"/>
      <c r="AE37" s="54"/>
      <c r="AF37" s="54"/>
      <c r="AG37" s="54"/>
      <c r="AH37" s="54"/>
      <c r="AI37" s="54"/>
      <c r="AP37" s="87"/>
      <c r="AQ37" s="89"/>
      <c r="AR37" s="89"/>
    </row>
    <row r="38" spans="1:44">
      <c r="A38" s="24" t="s">
        <v>186</v>
      </c>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P38" s="87"/>
      <c r="AQ38" s="89"/>
      <c r="AR38" s="89"/>
    </row>
    <row r="39" spans="1:44">
      <c r="A39" s="86" t="s">
        <v>179</v>
      </c>
      <c r="B39" s="54"/>
      <c r="C39" s="54"/>
      <c r="D39" s="54"/>
      <c r="E39" s="54"/>
      <c r="F39" s="54"/>
      <c r="G39" s="54"/>
      <c r="H39" s="54"/>
      <c r="I39" s="54"/>
      <c r="J39" s="54"/>
      <c r="K39" s="54"/>
      <c r="L39" s="54"/>
      <c r="M39" s="54"/>
      <c r="N39" s="54"/>
      <c r="O39" s="54"/>
      <c r="P39" s="54"/>
      <c r="Q39" s="54"/>
      <c r="R39" s="54"/>
      <c r="S39" s="54"/>
      <c r="T39" s="54"/>
      <c r="U39" s="54"/>
      <c r="V39" s="54"/>
      <c r="W39" s="56">
        <v>30000</v>
      </c>
      <c r="X39" s="56">
        <v>95000</v>
      </c>
      <c r="Y39" s="56">
        <v>200000</v>
      </c>
      <c r="Z39" s="56">
        <v>325000</v>
      </c>
      <c r="AA39" s="56">
        <v>480000</v>
      </c>
      <c r="AB39" s="56">
        <v>620000</v>
      </c>
      <c r="AC39" s="56">
        <v>745000</v>
      </c>
      <c r="AD39" s="56">
        <v>900000</v>
      </c>
      <c r="AE39" s="56">
        <v>1050000</v>
      </c>
      <c r="AF39" s="56">
        <v>1160000</v>
      </c>
      <c r="AG39" s="56">
        <v>1250000</v>
      </c>
      <c r="AH39" s="54"/>
      <c r="AI39" s="54"/>
      <c r="AJ39" s="24" t="s">
        <v>177</v>
      </c>
      <c r="AP39" s="87"/>
      <c r="AQ39" s="89"/>
      <c r="AR39" s="89"/>
    </row>
    <row r="40" spans="1:44" ht="14.4">
      <c r="A40" s="44" t="s">
        <v>144</v>
      </c>
      <c r="B40" s="54"/>
      <c r="C40" s="54"/>
      <c r="D40" s="54"/>
      <c r="E40" s="54"/>
      <c r="F40" s="54"/>
      <c r="G40" s="54"/>
      <c r="H40" s="54"/>
      <c r="I40" s="54"/>
      <c r="J40" s="54"/>
      <c r="K40" s="54"/>
      <c r="L40" s="54"/>
      <c r="M40" s="54"/>
      <c r="N40" s="54"/>
      <c r="O40" s="54"/>
      <c r="P40" s="54"/>
      <c r="Q40" s="54"/>
      <c r="R40" s="54"/>
      <c r="S40" s="54"/>
      <c r="T40" s="54"/>
      <c r="U40" s="54"/>
      <c r="V40" s="54"/>
      <c r="W40" s="54"/>
      <c r="X40" s="51">
        <f>IFERROR(X39/W39-1,"")</f>
        <v>2.1666666666666665</v>
      </c>
      <c r="Y40" s="51">
        <f t="shared" ref="Y40:AG40" si="32">IFERROR(Y39/X39-1,"")</f>
        <v>1.1052631578947367</v>
      </c>
      <c r="Z40" s="51">
        <f t="shared" si="32"/>
        <v>0.625</v>
      </c>
      <c r="AA40" s="51">
        <f t="shared" si="32"/>
        <v>0.47692307692307701</v>
      </c>
      <c r="AB40" s="51">
        <f t="shared" si="32"/>
        <v>0.29166666666666674</v>
      </c>
      <c r="AC40" s="51">
        <f t="shared" si="32"/>
        <v>0.20161290322580649</v>
      </c>
      <c r="AD40" s="51">
        <f t="shared" si="32"/>
        <v>0.20805369127516782</v>
      </c>
      <c r="AE40" s="51">
        <f t="shared" si="32"/>
        <v>0.16666666666666674</v>
      </c>
      <c r="AF40" s="51">
        <f t="shared" si="32"/>
        <v>0.10476190476190483</v>
      </c>
      <c r="AG40" s="51">
        <f t="shared" si="32"/>
        <v>7.7586206896551824E-2</v>
      </c>
      <c r="AH40" s="54"/>
      <c r="AI40" s="54"/>
      <c r="AJ40" s="77" t="s">
        <v>167</v>
      </c>
      <c r="AP40" s="87"/>
      <c r="AQ40" s="89"/>
      <c r="AR40" s="89"/>
    </row>
    <row r="41" spans="1:44">
      <c r="A41" s="86" t="s">
        <v>180</v>
      </c>
      <c r="B41" s="54"/>
      <c r="C41" s="54"/>
      <c r="D41" s="54"/>
      <c r="E41" s="54"/>
      <c r="F41" s="54"/>
      <c r="G41" s="54"/>
      <c r="H41" s="54"/>
      <c r="I41" s="54"/>
      <c r="J41" s="54"/>
      <c r="K41" s="54"/>
      <c r="L41" s="54"/>
      <c r="M41" s="54"/>
      <c r="N41" s="54"/>
      <c r="O41" s="54"/>
      <c r="P41" s="54"/>
      <c r="Q41" s="54"/>
      <c r="R41" s="54"/>
      <c r="S41" s="54"/>
      <c r="T41" s="54"/>
      <c r="U41" s="54"/>
      <c r="V41" s="54"/>
      <c r="W41" s="54"/>
      <c r="X41" s="54"/>
      <c r="Y41" s="56">
        <v>337000</v>
      </c>
      <c r="Z41" s="56">
        <v>389000</v>
      </c>
      <c r="AA41" s="56">
        <v>441000</v>
      </c>
      <c r="AB41" s="56">
        <v>507000</v>
      </c>
      <c r="AC41" s="56">
        <v>631000</v>
      </c>
      <c r="AD41" s="56">
        <v>701000</v>
      </c>
      <c r="AE41" s="56">
        <v>744000</v>
      </c>
      <c r="AF41" s="56">
        <v>785000</v>
      </c>
      <c r="AG41" s="56">
        <v>803000</v>
      </c>
      <c r="AH41" s="54"/>
      <c r="AI41" s="54"/>
      <c r="AP41" s="87"/>
      <c r="AQ41" s="89"/>
      <c r="AR41" s="89"/>
    </row>
    <row r="42" spans="1:44" ht="14.4">
      <c r="A42" s="44" t="s">
        <v>144</v>
      </c>
      <c r="B42" s="54"/>
      <c r="C42" s="54"/>
      <c r="D42" s="54"/>
      <c r="E42" s="54"/>
      <c r="F42" s="54"/>
      <c r="G42" s="54"/>
      <c r="H42" s="54"/>
      <c r="I42" s="54"/>
      <c r="J42" s="54"/>
      <c r="K42" s="54"/>
      <c r="L42" s="54"/>
      <c r="M42" s="54"/>
      <c r="N42" s="54"/>
      <c r="O42" s="54"/>
      <c r="P42" s="54"/>
      <c r="Q42" s="54"/>
      <c r="R42" s="54"/>
      <c r="S42" s="54"/>
      <c r="T42" s="54"/>
      <c r="U42" s="54"/>
      <c r="V42" s="54"/>
      <c r="W42" s="54"/>
      <c r="X42" s="54"/>
      <c r="Y42" s="54"/>
      <c r="Z42" s="51">
        <f>IFERROR(Z41/Y41-1,"")</f>
        <v>0.1543026706231454</v>
      </c>
      <c r="AA42" s="51">
        <f t="shared" ref="AA42:AG42" si="33">IFERROR(AA41/Z41-1,"")</f>
        <v>0.13367609254498714</v>
      </c>
      <c r="AB42" s="51">
        <f t="shared" si="33"/>
        <v>0.14965986394557818</v>
      </c>
      <c r="AC42" s="51">
        <f t="shared" si="33"/>
        <v>0.24457593688362911</v>
      </c>
      <c r="AD42" s="51">
        <f t="shared" si="33"/>
        <v>0.11093502377179076</v>
      </c>
      <c r="AE42" s="51">
        <f t="shared" si="33"/>
        <v>6.1340941512125546E-2</v>
      </c>
      <c r="AF42" s="51">
        <f t="shared" si="33"/>
        <v>5.5107526881720492E-2</v>
      </c>
      <c r="AG42" s="51">
        <f t="shared" si="33"/>
        <v>2.2929936305732479E-2</v>
      </c>
      <c r="AH42" s="54"/>
      <c r="AI42" s="54"/>
      <c r="AP42" s="87"/>
      <c r="AQ42" s="89"/>
      <c r="AR42" s="89"/>
    </row>
    <row r="43" spans="1:44">
      <c r="A43" s="86" t="s">
        <v>181</v>
      </c>
      <c r="B43" s="54"/>
      <c r="C43" s="54"/>
      <c r="D43" s="54"/>
      <c r="E43" s="54"/>
      <c r="F43" s="54"/>
      <c r="G43" s="54"/>
      <c r="H43" s="54"/>
      <c r="I43" s="54"/>
      <c r="J43" s="54"/>
      <c r="K43" s="54"/>
      <c r="L43" s="54"/>
      <c r="M43" s="54"/>
      <c r="N43" s="54"/>
      <c r="O43" s="54"/>
      <c r="P43" s="54"/>
      <c r="Q43" s="54"/>
      <c r="R43" s="54"/>
      <c r="S43" s="54"/>
      <c r="T43" s="54"/>
      <c r="U43" s="54"/>
      <c r="V43" s="54"/>
      <c r="W43" s="54"/>
      <c r="X43" s="56">
        <v>65000</v>
      </c>
      <c r="Y43" s="56">
        <v>90000</v>
      </c>
      <c r="Z43" s="56">
        <v>325000</v>
      </c>
      <c r="AA43" s="56">
        <v>650000</v>
      </c>
      <c r="AB43" s="56">
        <v>1900000</v>
      </c>
      <c r="AC43" s="56">
        <v>3700000</v>
      </c>
      <c r="AD43" s="56">
        <v>6000000</v>
      </c>
      <c r="AE43" s="56">
        <v>7300000</v>
      </c>
      <c r="AF43" s="56">
        <v>8500000</v>
      </c>
      <c r="AG43" s="56">
        <v>9450000</v>
      </c>
      <c r="AH43" s="54"/>
      <c r="AI43" s="54"/>
      <c r="AP43" s="87"/>
      <c r="AQ43" s="89"/>
      <c r="AR43" s="89"/>
    </row>
    <row r="44" spans="1:44" ht="14.4">
      <c r="A44" s="44" t="s">
        <v>144</v>
      </c>
      <c r="B44" s="54"/>
      <c r="C44" s="54"/>
      <c r="D44" s="54"/>
      <c r="E44" s="54"/>
      <c r="F44" s="54"/>
      <c r="G44" s="54"/>
      <c r="H44" s="54"/>
      <c r="I44" s="54"/>
      <c r="J44" s="54"/>
      <c r="K44" s="54"/>
      <c r="L44" s="54"/>
      <c r="M44" s="54"/>
      <c r="N44" s="54"/>
      <c r="O44" s="54"/>
      <c r="P44" s="54"/>
      <c r="Q44" s="54"/>
      <c r="R44" s="54"/>
      <c r="S44" s="54"/>
      <c r="T44" s="54"/>
      <c r="U44" s="54"/>
      <c r="V44" s="54"/>
      <c r="W44" s="54"/>
      <c r="X44" s="54"/>
      <c r="Y44" s="51">
        <f>IFERROR(Y43/X43-1,"")</f>
        <v>0.38461538461538458</v>
      </c>
      <c r="Z44" s="51">
        <f t="shared" ref="Z44:AG44" si="34">IFERROR(Z43/Y43-1,"")</f>
        <v>2.6111111111111112</v>
      </c>
      <c r="AA44" s="51">
        <f t="shared" si="34"/>
        <v>1</v>
      </c>
      <c r="AB44" s="51">
        <f t="shared" si="34"/>
        <v>1.9230769230769229</v>
      </c>
      <c r="AC44" s="51">
        <f t="shared" si="34"/>
        <v>0.94736842105263164</v>
      </c>
      <c r="AD44" s="51">
        <f t="shared" si="34"/>
        <v>0.62162162162162171</v>
      </c>
      <c r="AE44" s="51">
        <f t="shared" si="34"/>
        <v>0.21666666666666656</v>
      </c>
      <c r="AF44" s="51">
        <f t="shared" si="34"/>
        <v>0.16438356164383561</v>
      </c>
      <c r="AG44" s="51">
        <f t="shared" si="34"/>
        <v>0.11176470588235299</v>
      </c>
      <c r="AH44" s="54"/>
      <c r="AI44" s="54"/>
      <c r="AP44" s="87"/>
      <c r="AQ44" s="89"/>
      <c r="AR44" s="89"/>
    </row>
    <row r="45" spans="1:44">
      <c r="A45" s="86" t="s">
        <v>182</v>
      </c>
      <c r="B45" s="54"/>
      <c r="C45" s="54"/>
      <c r="D45" s="54"/>
      <c r="E45" s="54"/>
      <c r="F45" s="54"/>
      <c r="G45" s="54"/>
      <c r="H45" s="54"/>
      <c r="I45" s="54"/>
      <c r="J45" s="54"/>
      <c r="K45" s="54"/>
      <c r="L45" s="54"/>
      <c r="M45" s="54"/>
      <c r="N45" s="54"/>
      <c r="O45" s="54"/>
      <c r="P45" s="54"/>
      <c r="Q45" s="54"/>
      <c r="R45" s="54"/>
      <c r="S45" s="54"/>
      <c r="T45" s="54"/>
      <c r="U45" s="54"/>
      <c r="V45" s="54"/>
      <c r="W45" s="56">
        <v>11000</v>
      </c>
      <c r="X45" s="56">
        <v>20000</v>
      </c>
      <c r="Y45" s="56">
        <v>27000</v>
      </c>
      <c r="Z45" s="56">
        <v>40000</v>
      </c>
      <c r="AA45" s="56">
        <v>50000</v>
      </c>
      <c r="AB45" s="56">
        <v>72000</v>
      </c>
      <c r="AC45" s="56">
        <v>80000</v>
      </c>
      <c r="AD45" s="56">
        <v>88000</v>
      </c>
      <c r="AE45" s="56">
        <v>93000</v>
      </c>
      <c r="AF45" s="56">
        <v>95000</v>
      </c>
      <c r="AG45" s="56">
        <v>104000</v>
      </c>
      <c r="AH45" s="54"/>
      <c r="AI45" s="54"/>
      <c r="AP45" s="87"/>
      <c r="AQ45" s="89"/>
      <c r="AR45" s="89"/>
    </row>
    <row r="46" spans="1:44" ht="14.4">
      <c r="A46" s="44" t="s">
        <v>144</v>
      </c>
      <c r="B46" s="54"/>
      <c r="C46" s="54"/>
      <c r="D46" s="54"/>
      <c r="E46" s="54"/>
      <c r="F46" s="54"/>
      <c r="G46" s="54"/>
      <c r="H46" s="54"/>
      <c r="I46" s="54"/>
      <c r="J46" s="54"/>
      <c r="K46" s="54"/>
      <c r="L46" s="54"/>
      <c r="M46" s="54"/>
      <c r="N46" s="54"/>
      <c r="O46" s="54"/>
      <c r="P46" s="54"/>
      <c r="Q46" s="54"/>
      <c r="R46" s="54"/>
      <c r="S46" s="54"/>
      <c r="T46" s="54"/>
      <c r="U46" s="54"/>
      <c r="V46" s="54"/>
      <c r="W46" s="54"/>
      <c r="X46" s="51">
        <f>IFERROR(X45/W45-1,"")</f>
        <v>0.81818181818181812</v>
      </c>
      <c r="Y46" s="51">
        <f t="shared" ref="Y46:AG46" si="35">IFERROR(Y45/X45-1,"")</f>
        <v>0.35000000000000009</v>
      </c>
      <c r="Z46" s="51">
        <f t="shared" si="35"/>
        <v>0.4814814814814814</v>
      </c>
      <c r="AA46" s="51">
        <f t="shared" si="35"/>
        <v>0.25</v>
      </c>
      <c r="AB46" s="51">
        <f t="shared" si="35"/>
        <v>0.43999999999999995</v>
      </c>
      <c r="AC46" s="51">
        <f t="shared" si="35"/>
        <v>0.11111111111111116</v>
      </c>
      <c r="AD46" s="51">
        <f t="shared" si="35"/>
        <v>0.10000000000000009</v>
      </c>
      <c r="AE46" s="51">
        <f t="shared" si="35"/>
        <v>5.6818181818181879E-2</v>
      </c>
      <c r="AF46" s="51">
        <f t="shared" si="35"/>
        <v>2.1505376344086002E-2</v>
      </c>
      <c r="AG46" s="51">
        <f t="shared" si="35"/>
        <v>9.473684210526323E-2</v>
      </c>
      <c r="AH46" s="54"/>
      <c r="AI46" s="54"/>
    </row>
    <row r="47" spans="1:44">
      <c r="A47" s="86" t="s">
        <v>183</v>
      </c>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6">
        <v>5700</v>
      </c>
      <c r="AB47" s="56">
        <v>33600</v>
      </c>
      <c r="AC47" s="56">
        <v>48000</v>
      </c>
      <c r="AD47" s="56">
        <v>55000</v>
      </c>
      <c r="AE47" s="56">
        <v>40000</v>
      </c>
      <c r="AF47" s="56">
        <v>30000</v>
      </c>
      <c r="AG47" s="56">
        <v>45000</v>
      </c>
      <c r="AH47" s="54"/>
      <c r="AI47" s="54"/>
    </row>
    <row r="48" spans="1:44" ht="14.4">
      <c r="A48" s="44" t="s">
        <v>144</v>
      </c>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1">
        <f>IFERROR(AB47/AA47-1,"")</f>
        <v>4.8947368421052628</v>
      </c>
      <c r="AC48" s="51">
        <f t="shared" ref="AC48:AG48" si="36">IFERROR(AC47/AB47-1,"")</f>
        <v>0.4285714285714286</v>
      </c>
      <c r="AD48" s="51">
        <f t="shared" si="36"/>
        <v>0.14583333333333326</v>
      </c>
      <c r="AE48" s="51">
        <f t="shared" si="36"/>
        <v>-0.27272727272727271</v>
      </c>
      <c r="AF48" s="51">
        <f t="shared" si="36"/>
        <v>-0.25</v>
      </c>
      <c r="AG48" s="51">
        <f t="shared" si="36"/>
        <v>0.5</v>
      </c>
      <c r="AH48" s="54"/>
      <c r="AI48" s="54"/>
    </row>
    <row r="49" spans="1:35">
      <c r="A49" s="86" t="s">
        <v>184</v>
      </c>
      <c r="B49" s="54"/>
      <c r="C49" s="54"/>
      <c r="D49" s="54"/>
      <c r="E49" s="54"/>
      <c r="F49" s="54"/>
      <c r="G49" s="54"/>
      <c r="H49" s="54"/>
      <c r="I49" s="54"/>
      <c r="J49" s="54"/>
      <c r="K49" s="54"/>
      <c r="L49" s="54"/>
      <c r="M49" s="54"/>
      <c r="N49" s="54"/>
      <c r="O49" s="54"/>
      <c r="P49" s="54"/>
      <c r="Q49" s="54"/>
      <c r="R49" s="54"/>
      <c r="S49" s="54"/>
      <c r="T49" s="54"/>
      <c r="U49" s="54"/>
      <c r="V49" s="54"/>
      <c r="W49" s="54"/>
      <c r="X49" s="54"/>
      <c r="Y49" s="56">
        <v>70000</v>
      </c>
      <c r="Z49" s="56">
        <v>85000</v>
      </c>
      <c r="AA49" s="56">
        <v>90000</v>
      </c>
      <c r="AB49" s="56">
        <v>100000</v>
      </c>
      <c r="AC49" s="56">
        <v>135000</v>
      </c>
      <c r="AD49" s="56">
        <v>160000</v>
      </c>
      <c r="AE49" s="56">
        <v>185000</v>
      </c>
      <c r="AF49" s="56">
        <v>195000</v>
      </c>
      <c r="AG49" s="56">
        <v>220000</v>
      </c>
      <c r="AH49" s="54"/>
      <c r="AI49" s="54"/>
    </row>
    <row r="50" spans="1:35" ht="14.4">
      <c r="A50" s="44" t="s">
        <v>144</v>
      </c>
      <c r="B50" s="54"/>
      <c r="C50" s="54"/>
      <c r="D50" s="54"/>
      <c r="E50" s="54"/>
      <c r="F50" s="54"/>
      <c r="G50" s="54"/>
      <c r="H50" s="54"/>
      <c r="I50" s="54"/>
      <c r="J50" s="54"/>
      <c r="K50" s="54"/>
      <c r="L50" s="54"/>
      <c r="M50" s="54"/>
      <c r="N50" s="54"/>
      <c r="O50" s="54"/>
      <c r="P50" s="54"/>
      <c r="Q50" s="54"/>
      <c r="R50" s="54"/>
      <c r="S50" s="54"/>
      <c r="T50" s="54"/>
      <c r="U50" s="54"/>
      <c r="V50" s="54"/>
      <c r="W50" s="54"/>
      <c r="X50" s="54"/>
      <c r="Y50" s="54"/>
      <c r="Z50" s="51">
        <f>IFERROR(Z49/Y49-1,"")</f>
        <v>0.21428571428571419</v>
      </c>
      <c r="AA50" s="51">
        <f t="shared" ref="AA50:AG50" si="37">IFERROR(AA49/Z49-1,"")</f>
        <v>5.8823529411764719E-2</v>
      </c>
      <c r="AB50" s="51">
        <f t="shared" si="37"/>
        <v>0.11111111111111116</v>
      </c>
      <c r="AC50" s="51">
        <f t="shared" si="37"/>
        <v>0.35000000000000009</v>
      </c>
      <c r="AD50" s="51">
        <f t="shared" si="37"/>
        <v>0.18518518518518512</v>
      </c>
      <c r="AE50" s="51">
        <f t="shared" si="37"/>
        <v>0.15625</v>
      </c>
      <c r="AF50" s="51">
        <f t="shared" si="37"/>
        <v>5.4054054054053946E-2</v>
      </c>
      <c r="AG50" s="51">
        <f t="shared" si="37"/>
        <v>0.12820512820512819</v>
      </c>
      <c r="AH50" s="54"/>
      <c r="AI50" s="54"/>
    </row>
    <row r="51" spans="1:35">
      <c r="A51" s="86" t="s">
        <v>185</v>
      </c>
      <c r="B51" s="54"/>
      <c r="C51" s="54"/>
      <c r="D51" s="54"/>
      <c r="E51" s="54"/>
      <c r="F51" s="54"/>
      <c r="G51" s="54"/>
      <c r="H51" s="54"/>
      <c r="I51" s="54"/>
      <c r="J51" s="54"/>
      <c r="K51" s="54"/>
      <c r="L51" s="54"/>
      <c r="M51" s="54"/>
      <c r="N51" s="54"/>
      <c r="O51" s="54"/>
      <c r="P51" s="54"/>
      <c r="Q51" s="54"/>
      <c r="R51" s="54"/>
      <c r="S51" s="54"/>
      <c r="T51" s="54"/>
      <c r="U51" s="54"/>
      <c r="V51" s="54"/>
      <c r="W51" s="56">
        <v>265000</v>
      </c>
      <c r="X51" s="56">
        <v>320000</v>
      </c>
      <c r="Y51" s="56">
        <v>375000</v>
      </c>
      <c r="Z51" s="56">
        <v>500000</v>
      </c>
      <c r="AA51" s="56">
        <v>585000</v>
      </c>
      <c r="AB51" s="56">
        <v>600000</v>
      </c>
      <c r="AC51" s="56">
        <v>550000</v>
      </c>
      <c r="AD51" s="56">
        <v>485000</v>
      </c>
      <c r="AE51" s="56">
        <v>410000</v>
      </c>
      <c r="AF51" s="56">
        <v>450000</v>
      </c>
      <c r="AG51" s="56">
        <v>475000</v>
      </c>
      <c r="AH51" s="54"/>
      <c r="AI51" s="54"/>
    </row>
    <row r="52" spans="1:35" ht="14.4">
      <c r="A52" s="44" t="s">
        <v>144</v>
      </c>
      <c r="B52" s="54"/>
      <c r="C52" s="54"/>
      <c r="D52" s="54"/>
      <c r="E52" s="54"/>
      <c r="F52" s="54"/>
      <c r="G52" s="54"/>
      <c r="H52" s="54"/>
      <c r="I52" s="54"/>
      <c r="J52" s="54"/>
      <c r="K52" s="54"/>
      <c r="L52" s="54"/>
      <c r="M52" s="54"/>
      <c r="N52" s="54"/>
      <c r="O52" s="54"/>
      <c r="P52" s="54"/>
      <c r="Q52" s="54"/>
      <c r="R52" s="54"/>
      <c r="S52" s="54"/>
      <c r="T52" s="54"/>
      <c r="U52" s="54"/>
      <c r="V52" s="54"/>
      <c r="W52" s="54"/>
      <c r="X52" s="51">
        <f>IFERROR(X51/W51-1,"")</f>
        <v>0.20754716981132071</v>
      </c>
      <c r="Y52" s="51">
        <f t="shared" ref="Y52:AG52" si="38">IFERROR(Y51/X51-1,"")</f>
        <v>0.171875</v>
      </c>
      <c r="Z52" s="51">
        <f t="shared" si="38"/>
        <v>0.33333333333333326</v>
      </c>
      <c r="AA52" s="51">
        <f t="shared" si="38"/>
        <v>0.16999999999999993</v>
      </c>
      <c r="AB52" s="51">
        <f t="shared" si="38"/>
        <v>2.564102564102555E-2</v>
      </c>
      <c r="AC52" s="51">
        <f t="shared" si="38"/>
        <v>-8.333333333333337E-2</v>
      </c>
      <c r="AD52" s="51">
        <f t="shared" si="38"/>
        <v>-0.11818181818181817</v>
      </c>
      <c r="AE52" s="51">
        <f t="shared" si="38"/>
        <v>-0.15463917525773196</v>
      </c>
      <c r="AF52" s="51">
        <f t="shared" si="38"/>
        <v>9.7560975609756184E-2</v>
      </c>
      <c r="AG52" s="51">
        <f t="shared" si="38"/>
        <v>5.555555555555558E-2</v>
      </c>
      <c r="AH52" s="54"/>
      <c r="AI52" s="54"/>
    </row>
    <row r="53" spans="1:35" ht="14.4" thickBot="1">
      <c r="A53" s="83" t="s">
        <v>187</v>
      </c>
      <c r="B53" s="83"/>
      <c r="C53" s="83"/>
      <c r="D53" s="83"/>
      <c r="E53" s="83"/>
      <c r="F53" s="83"/>
      <c r="G53" s="83"/>
      <c r="H53" s="83"/>
      <c r="I53" s="83"/>
      <c r="J53" s="83"/>
      <c r="K53" s="83"/>
      <c r="L53" s="83"/>
      <c r="M53" s="83"/>
      <c r="N53" s="83"/>
      <c r="O53" s="83"/>
      <c r="P53" s="83"/>
      <c r="Q53" s="83"/>
      <c r="R53" s="83"/>
      <c r="S53" s="83"/>
      <c r="T53" s="83"/>
      <c r="U53" s="83"/>
      <c r="V53" s="83"/>
      <c r="W53" s="88">
        <f>W51+W49+W47+W45+W43+W41+W39</f>
        <v>306000</v>
      </c>
      <c r="X53" s="88">
        <f t="shared" ref="X53:AG53" si="39">X51+X49+X47+X45+X43+X41+X39</f>
        <v>500000</v>
      </c>
      <c r="Y53" s="88">
        <f t="shared" si="39"/>
        <v>1099000</v>
      </c>
      <c r="Z53" s="88">
        <f t="shared" si="39"/>
        <v>1664000</v>
      </c>
      <c r="AA53" s="88">
        <f t="shared" si="39"/>
        <v>2301700</v>
      </c>
      <c r="AB53" s="88">
        <f t="shared" si="39"/>
        <v>3832600</v>
      </c>
      <c r="AC53" s="88">
        <f t="shared" si="39"/>
        <v>5889000</v>
      </c>
      <c r="AD53" s="88">
        <f t="shared" si="39"/>
        <v>8389000</v>
      </c>
      <c r="AE53" s="88">
        <f t="shared" si="39"/>
        <v>9822000</v>
      </c>
      <c r="AF53" s="88">
        <f t="shared" si="39"/>
        <v>11215000</v>
      </c>
      <c r="AG53" s="88">
        <f t="shared" si="39"/>
        <v>12347000</v>
      </c>
      <c r="AH53" s="54"/>
      <c r="AI53" s="54"/>
    </row>
    <row r="54" spans="1:35">
      <c r="A54" s="54"/>
      <c r="B54" s="54"/>
      <c r="C54" s="54"/>
      <c r="D54" s="54"/>
      <c r="E54" s="54"/>
      <c r="F54" s="54"/>
      <c r="G54" s="54"/>
      <c r="H54" s="54"/>
      <c r="I54" s="54"/>
      <c r="J54" s="54"/>
      <c r="K54" s="54"/>
      <c r="L54" s="54"/>
      <c r="M54" s="54"/>
      <c r="N54" s="54"/>
      <c r="O54" s="54"/>
      <c r="P54" s="54"/>
      <c r="Q54" s="54"/>
      <c r="R54" s="54"/>
      <c r="S54" s="54"/>
      <c r="T54" s="54"/>
      <c r="U54" s="54"/>
      <c r="V54" s="54"/>
      <c r="W54" s="54"/>
      <c r="X54" s="51">
        <f t="shared" ref="X54:AG54" si="40">IFERROR(X53/W53-1,"")</f>
        <v>0.63398692810457513</v>
      </c>
      <c r="Y54" s="51">
        <f t="shared" si="40"/>
        <v>1.198</v>
      </c>
      <c r="Z54" s="51">
        <f t="shared" si="40"/>
        <v>0.5141037306642402</v>
      </c>
      <c r="AA54" s="51">
        <f t="shared" si="40"/>
        <v>0.38323317307692317</v>
      </c>
      <c r="AB54" s="51">
        <f t="shared" si="40"/>
        <v>0.66511708737020458</v>
      </c>
      <c r="AC54" s="51">
        <f t="shared" si="40"/>
        <v>0.53655481918280024</v>
      </c>
      <c r="AD54" s="51">
        <f t="shared" si="40"/>
        <v>0.42452029206996089</v>
      </c>
      <c r="AE54" s="51">
        <f t="shared" si="40"/>
        <v>0.17081892955060196</v>
      </c>
      <c r="AF54" s="51">
        <f t="shared" si="40"/>
        <v>0.14182447566687029</v>
      </c>
      <c r="AG54" s="51">
        <f t="shared" si="40"/>
        <v>0.10093624609897467</v>
      </c>
      <c r="AH54" s="54"/>
      <c r="AI54" s="54"/>
    </row>
    <row r="55" spans="1:3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row>
    <row r="56" spans="1:3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row>
    <row r="57" spans="1:35">
      <c r="A57" s="54"/>
      <c r="B57" s="54"/>
      <c r="C57" s="54"/>
      <c r="D57" s="54"/>
      <c r="E57" s="54"/>
      <c r="F57" s="54"/>
      <c r="G57" s="54"/>
      <c r="H57" s="54"/>
      <c r="I57" s="54"/>
      <c r="J57" s="54"/>
      <c r="K57" s="54"/>
      <c r="L57" s="54"/>
      <c r="M57" s="54"/>
      <c r="N57" s="54"/>
      <c r="O57" s="54"/>
      <c r="P57" s="54"/>
      <c r="Q57" s="54"/>
      <c r="R57" s="54"/>
      <c r="S57" s="54"/>
      <c r="T57" s="54"/>
      <c r="U57" s="54"/>
      <c r="V57" s="54"/>
    </row>
    <row r="58" spans="1:35">
      <c r="A58" s="54"/>
      <c r="B58" s="54"/>
      <c r="C58" s="54"/>
      <c r="D58" s="54"/>
      <c r="E58" s="54"/>
      <c r="F58" s="54"/>
      <c r="G58" s="54"/>
      <c r="H58" s="54"/>
      <c r="I58" s="54"/>
      <c r="J58" s="54"/>
      <c r="K58" s="54"/>
      <c r="L58" s="54"/>
      <c r="M58" s="54"/>
      <c r="N58" s="54"/>
      <c r="O58" s="54"/>
      <c r="P58" s="54"/>
      <c r="Q58" s="54"/>
      <c r="R58" s="54"/>
      <c r="S58" s="54"/>
      <c r="T58" s="54"/>
      <c r="U58" s="54"/>
      <c r="V58" s="54"/>
    </row>
    <row r="59" spans="1:35">
      <c r="A59" s="54"/>
      <c r="B59" s="54"/>
      <c r="C59" s="54"/>
      <c r="D59" s="54"/>
      <c r="E59" s="54"/>
      <c r="F59" s="54"/>
      <c r="G59" s="54"/>
      <c r="H59" s="54"/>
      <c r="I59" s="54"/>
      <c r="J59" s="54"/>
      <c r="K59" s="54"/>
      <c r="L59" s="54"/>
      <c r="M59" s="54"/>
      <c r="N59" s="54"/>
      <c r="O59" s="54"/>
      <c r="P59" s="54"/>
      <c r="Q59" s="54"/>
      <c r="R59" s="54"/>
      <c r="S59" s="54"/>
      <c r="T59" s="54"/>
      <c r="U59" s="54"/>
      <c r="V59" s="54"/>
    </row>
    <row r="60" spans="1:35">
      <c r="A60" s="54"/>
      <c r="B60" s="54"/>
      <c r="C60" s="54"/>
      <c r="D60" s="54"/>
      <c r="E60" s="54"/>
      <c r="F60" s="54"/>
      <c r="G60" s="54"/>
      <c r="H60" s="54"/>
      <c r="I60" s="54"/>
      <c r="J60" s="54"/>
      <c r="K60" s="54"/>
      <c r="L60" s="54"/>
      <c r="M60" s="54"/>
      <c r="N60" s="54"/>
      <c r="O60" s="54"/>
      <c r="P60" s="54"/>
      <c r="Q60" s="54"/>
      <c r="R60" s="54"/>
      <c r="S60" s="54"/>
      <c r="T60" s="54"/>
      <c r="U60" s="54"/>
      <c r="V60" s="54"/>
    </row>
    <row r="61" spans="1:35">
      <c r="A61" s="54"/>
      <c r="B61" s="54"/>
      <c r="C61" s="54"/>
      <c r="D61" s="54"/>
      <c r="E61" s="54"/>
      <c r="F61" s="54"/>
      <c r="G61" s="54"/>
      <c r="H61" s="54"/>
      <c r="I61" s="54"/>
      <c r="J61" s="54"/>
      <c r="K61" s="54"/>
      <c r="L61" s="54"/>
      <c r="M61" s="54"/>
      <c r="N61" s="54"/>
      <c r="O61" s="54"/>
      <c r="P61" s="54"/>
      <c r="Q61" s="54"/>
      <c r="R61" s="54"/>
      <c r="S61" s="54"/>
      <c r="T61" s="54"/>
      <c r="U61" s="54"/>
      <c r="V61" s="54"/>
    </row>
    <row r="62" spans="1:35">
      <c r="A62" s="54"/>
      <c r="B62" s="54"/>
      <c r="C62" s="54"/>
      <c r="D62" s="54"/>
      <c r="E62" s="54"/>
      <c r="F62" s="54"/>
      <c r="G62" s="54"/>
      <c r="H62" s="54"/>
      <c r="I62" s="54"/>
      <c r="J62" s="54"/>
      <c r="K62" s="54"/>
      <c r="L62" s="54"/>
      <c r="M62" s="54"/>
      <c r="N62" s="54"/>
      <c r="O62" s="54"/>
      <c r="P62" s="54"/>
      <c r="Q62" s="54"/>
      <c r="R62" s="54"/>
      <c r="S62" s="54"/>
      <c r="T62" s="54"/>
      <c r="U62" s="54"/>
      <c r="V62" s="54"/>
    </row>
    <row r="63" spans="1:35">
      <c r="A63" s="54"/>
      <c r="B63" s="54"/>
      <c r="C63" s="54"/>
      <c r="D63" s="54"/>
      <c r="E63" s="54"/>
      <c r="F63" s="54"/>
      <c r="G63" s="54"/>
      <c r="H63" s="54"/>
      <c r="I63" s="54"/>
      <c r="J63" s="54"/>
      <c r="K63" s="54"/>
      <c r="L63" s="54"/>
      <c r="M63" s="54"/>
      <c r="N63" s="54"/>
      <c r="O63" s="54"/>
      <c r="P63" s="54"/>
      <c r="Q63" s="54"/>
      <c r="R63" s="54"/>
      <c r="S63" s="54"/>
      <c r="T63" s="54"/>
      <c r="U63" s="54"/>
      <c r="V63" s="54"/>
    </row>
    <row r="64" spans="1:35">
      <c r="A64" s="54"/>
      <c r="B64" s="54"/>
      <c r="C64" s="54"/>
      <c r="D64" s="54"/>
      <c r="E64" s="54"/>
      <c r="F64" s="54"/>
      <c r="G64" s="54"/>
      <c r="H64" s="54"/>
      <c r="I64" s="54"/>
      <c r="J64" s="54"/>
      <c r="K64" s="54"/>
      <c r="L64" s="54"/>
      <c r="M64" s="54"/>
      <c r="N64" s="54"/>
      <c r="O64" s="54"/>
      <c r="P64" s="54"/>
      <c r="Q64" s="54"/>
      <c r="R64" s="54"/>
      <c r="S64" s="54"/>
      <c r="T64" s="54"/>
      <c r="U64" s="54"/>
      <c r="V64" s="54"/>
    </row>
    <row r="65" spans="1:22">
      <c r="A65" s="54"/>
      <c r="B65" s="54"/>
      <c r="C65" s="54"/>
      <c r="D65" s="54"/>
      <c r="E65" s="54"/>
      <c r="F65" s="54"/>
      <c r="G65" s="54"/>
      <c r="H65" s="54"/>
      <c r="I65" s="54"/>
      <c r="J65" s="54"/>
      <c r="K65" s="54"/>
      <c r="L65" s="54"/>
      <c r="M65" s="54"/>
      <c r="N65" s="54"/>
      <c r="O65" s="54"/>
      <c r="P65" s="54"/>
      <c r="Q65" s="54"/>
      <c r="R65" s="54"/>
      <c r="S65" s="54"/>
      <c r="T65" s="54"/>
      <c r="U65" s="54"/>
      <c r="V65" s="54"/>
    </row>
    <row r="66" spans="1:22">
      <c r="A66" s="54"/>
      <c r="B66" s="54"/>
      <c r="C66" s="54"/>
      <c r="D66" s="54"/>
      <c r="E66" s="54"/>
      <c r="F66" s="54"/>
      <c r="G66" s="54"/>
      <c r="H66" s="54"/>
      <c r="I66" s="54"/>
      <c r="J66" s="54"/>
      <c r="K66" s="54"/>
      <c r="L66" s="54"/>
      <c r="M66" s="54"/>
      <c r="N66" s="54"/>
      <c r="O66" s="54"/>
      <c r="P66" s="54"/>
      <c r="Q66" s="54"/>
      <c r="R66" s="54"/>
      <c r="S66" s="54"/>
      <c r="T66" s="54"/>
      <c r="U66" s="54"/>
      <c r="V66" s="54"/>
    </row>
    <row r="67" spans="1:22">
      <c r="A67" s="54"/>
      <c r="B67" s="54"/>
      <c r="C67" s="54"/>
      <c r="D67" s="54"/>
      <c r="E67" s="54"/>
      <c r="F67" s="54"/>
      <c r="G67" s="54"/>
      <c r="H67" s="54"/>
      <c r="I67" s="54"/>
      <c r="J67" s="54"/>
      <c r="K67" s="54"/>
      <c r="L67" s="54"/>
      <c r="M67" s="54"/>
      <c r="N67" s="54"/>
      <c r="O67" s="54"/>
      <c r="P67" s="54"/>
      <c r="Q67" s="54"/>
      <c r="R67" s="54"/>
      <c r="S67" s="54"/>
      <c r="T67" s="54"/>
      <c r="U67" s="54"/>
      <c r="V67" s="54"/>
    </row>
    <row r="68" spans="1:22">
      <c r="A68" s="54"/>
      <c r="B68" s="54"/>
      <c r="C68" s="54"/>
      <c r="D68" s="54"/>
      <c r="E68" s="54"/>
      <c r="F68" s="54"/>
      <c r="G68" s="54"/>
      <c r="H68" s="54"/>
      <c r="I68" s="54"/>
      <c r="J68" s="54"/>
      <c r="K68" s="54"/>
      <c r="L68" s="54"/>
      <c r="M68" s="54"/>
      <c r="N68" s="54"/>
      <c r="O68" s="54"/>
      <c r="P68" s="54"/>
      <c r="Q68" s="54"/>
      <c r="R68" s="54"/>
      <c r="S68" s="54"/>
      <c r="T68" s="54"/>
      <c r="U68" s="54"/>
      <c r="V68" s="54"/>
    </row>
    <row r="69" spans="1:22">
      <c r="A69" s="54"/>
      <c r="B69" s="54"/>
      <c r="C69" s="54"/>
      <c r="D69" s="54"/>
      <c r="E69" s="54"/>
      <c r="F69" s="54"/>
      <c r="G69" s="54"/>
      <c r="H69" s="54"/>
      <c r="I69" s="54"/>
      <c r="J69" s="54"/>
      <c r="K69" s="54"/>
      <c r="L69" s="54"/>
      <c r="M69" s="54"/>
      <c r="N69" s="54"/>
      <c r="O69" s="54"/>
      <c r="P69" s="54"/>
      <c r="Q69" s="54"/>
      <c r="R69" s="54"/>
      <c r="S69" s="54"/>
      <c r="T69" s="54"/>
      <c r="U69" s="54"/>
      <c r="V69" s="54"/>
    </row>
    <row r="70" spans="1:22">
      <c r="A70" s="54"/>
      <c r="B70" s="54"/>
      <c r="C70" s="54"/>
      <c r="D70" s="54"/>
      <c r="E70" s="54"/>
      <c r="F70" s="54"/>
      <c r="G70" s="54"/>
      <c r="H70" s="54"/>
      <c r="I70" s="54"/>
      <c r="J70" s="54"/>
      <c r="K70" s="54"/>
      <c r="L70" s="54"/>
      <c r="M70" s="54"/>
      <c r="N70" s="54"/>
      <c r="O70" s="54"/>
      <c r="P70" s="54"/>
      <c r="Q70" s="54"/>
      <c r="R70" s="54"/>
      <c r="S70" s="54"/>
      <c r="T70" s="54"/>
      <c r="U70" s="54"/>
      <c r="V70" s="54"/>
    </row>
    <row r="71" spans="1:22">
      <c r="A71" s="54"/>
      <c r="B71" s="54"/>
      <c r="C71" s="54"/>
      <c r="D71" s="54"/>
      <c r="E71" s="54"/>
      <c r="F71" s="54"/>
      <c r="G71" s="54"/>
      <c r="H71" s="54"/>
      <c r="I71" s="54"/>
      <c r="J71" s="54"/>
      <c r="K71" s="54"/>
      <c r="L71" s="54"/>
      <c r="M71" s="54"/>
      <c r="N71" s="54"/>
      <c r="O71" s="54"/>
      <c r="P71" s="54"/>
      <c r="Q71" s="54"/>
      <c r="R71" s="54"/>
      <c r="S71" s="54"/>
      <c r="T71" s="54"/>
      <c r="U71" s="54"/>
      <c r="V71" s="54"/>
    </row>
    <row r="72" spans="1:22">
      <c r="A72" s="54"/>
      <c r="B72" s="54"/>
      <c r="C72" s="54"/>
      <c r="D72" s="54"/>
      <c r="E72" s="54"/>
      <c r="F72" s="54"/>
      <c r="G72" s="54"/>
      <c r="H72" s="54"/>
      <c r="I72" s="54"/>
      <c r="J72" s="54"/>
      <c r="K72" s="54"/>
      <c r="L72" s="54"/>
      <c r="M72" s="54"/>
      <c r="N72" s="54"/>
      <c r="O72" s="54"/>
      <c r="P72" s="54"/>
      <c r="Q72" s="54"/>
      <c r="R72" s="54"/>
      <c r="S72" s="54"/>
      <c r="T72" s="54"/>
      <c r="U72" s="54"/>
      <c r="V72" s="54"/>
    </row>
    <row r="73" spans="1:22">
      <c r="A73" s="54"/>
      <c r="B73" s="54"/>
      <c r="C73" s="54"/>
      <c r="D73" s="54"/>
      <c r="E73" s="54"/>
      <c r="F73" s="54"/>
      <c r="G73" s="54"/>
      <c r="H73" s="54"/>
      <c r="I73" s="54"/>
      <c r="J73" s="54"/>
      <c r="K73" s="54"/>
      <c r="L73" s="54"/>
      <c r="M73" s="54"/>
      <c r="N73" s="54"/>
      <c r="O73" s="54"/>
      <c r="P73" s="54"/>
      <c r="Q73" s="54"/>
      <c r="R73" s="54"/>
      <c r="S73" s="54"/>
      <c r="T73" s="54"/>
      <c r="U73" s="54"/>
      <c r="V73" s="54"/>
    </row>
    <row r="74" spans="1:22">
      <c r="A74" s="54"/>
      <c r="B74" s="54"/>
      <c r="C74" s="54"/>
      <c r="D74" s="54"/>
      <c r="E74" s="54"/>
      <c r="F74" s="54"/>
      <c r="G74" s="54"/>
      <c r="H74" s="54"/>
      <c r="I74" s="54"/>
      <c r="J74" s="54"/>
      <c r="K74" s="54"/>
      <c r="L74" s="54"/>
      <c r="M74" s="54"/>
      <c r="N74" s="54"/>
      <c r="O74" s="54"/>
      <c r="P74" s="54"/>
      <c r="Q74" s="54"/>
      <c r="R74" s="54"/>
      <c r="S74" s="54"/>
      <c r="T74" s="54"/>
      <c r="U74" s="54"/>
      <c r="V74" s="54"/>
    </row>
    <row r="75" spans="1:22">
      <c r="A75" s="54"/>
      <c r="B75" s="54"/>
      <c r="C75" s="54"/>
      <c r="D75" s="54"/>
      <c r="E75" s="54"/>
      <c r="F75" s="54"/>
      <c r="G75" s="54"/>
      <c r="H75" s="54"/>
      <c r="I75" s="54"/>
      <c r="J75" s="54"/>
      <c r="K75" s="54"/>
      <c r="L75" s="54"/>
      <c r="M75" s="54"/>
      <c r="N75" s="54"/>
      <c r="O75" s="54"/>
      <c r="P75" s="54"/>
      <c r="Q75" s="54"/>
      <c r="R75" s="54"/>
      <c r="S75" s="54"/>
      <c r="T75" s="54"/>
      <c r="U75" s="54"/>
      <c r="V75" s="54"/>
    </row>
    <row r="76" spans="1:22">
      <c r="A76" s="54"/>
      <c r="B76" s="54"/>
      <c r="C76" s="54"/>
      <c r="D76" s="54"/>
      <c r="E76" s="54"/>
      <c r="F76" s="54"/>
      <c r="G76" s="54"/>
      <c r="H76" s="54"/>
      <c r="I76" s="54"/>
      <c r="J76" s="54"/>
      <c r="K76" s="54"/>
      <c r="L76" s="54"/>
      <c r="M76" s="54"/>
      <c r="N76" s="54"/>
      <c r="O76" s="54"/>
      <c r="P76" s="54"/>
      <c r="Q76" s="54"/>
      <c r="R76" s="54"/>
      <c r="S76" s="54"/>
      <c r="T76" s="54"/>
      <c r="U76" s="54"/>
      <c r="V76" s="54"/>
    </row>
    <row r="77" spans="1:22">
      <c r="A77" s="54"/>
      <c r="B77" s="54"/>
      <c r="C77" s="54"/>
      <c r="D77" s="54"/>
      <c r="E77" s="54"/>
      <c r="F77" s="54"/>
      <c r="G77" s="54"/>
      <c r="H77" s="54"/>
      <c r="I77" s="54"/>
      <c r="J77" s="54"/>
      <c r="K77" s="54"/>
      <c r="L77" s="54"/>
      <c r="M77" s="54"/>
      <c r="N77" s="54"/>
      <c r="O77" s="54"/>
      <c r="P77" s="54"/>
      <c r="Q77" s="54"/>
      <c r="R77" s="54"/>
      <c r="S77" s="54"/>
      <c r="T77" s="54"/>
      <c r="U77" s="54"/>
      <c r="V77" s="54"/>
    </row>
    <row r="78" spans="1:22">
      <c r="A78" s="54"/>
      <c r="B78" s="54"/>
      <c r="C78" s="54"/>
      <c r="D78" s="54"/>
      <c r="E78" s="54"/>
      <c r="F78" s="54"/>
      <c r="G78" s="54"/>
      <c r="H78" s="54"/>
      <c r="I78" s="54"/>
      <c r="J78" s="54"/>
      <c r="K78" s="54"/>
      <c r="L78" s="54"/>
      <c r="M78" s="54"/>
      <c r="N78" s="54"/>
      <c r="O78" s="54"/>
      <c r="P78" s="54"/>
      <c r="Q78" s="54"/>
      <c r="R78" s="54"/>
      <c r="S78" s="54"/>
      <c r="T78" s="54"/>
      <c r="U78" s="54"/>
      <c r="V78" s="54"/>
    </row>
    <row r="79" spans="1:22">
      <c r="A79" s="54"/>
      <c r="B79" s="54"/>
      <c r="C79" s="54"/>
      <c r="D79" s="54"/>
      <c r="E79" s="54"/>
      <c r="F79" s="54"/>
      <c r="G79" s="54"/>
      <c r="H79" s="54"/>
      <c r="I79" s="54"/>
      <c r="J79" s="54"/>
      <c r="K79" s="54"/>
      <c r="L79" s="54"/>
      <c r="M79" s="54"/>
      <c r="N79" s="54"/>
      <c r="O79" s="54"/>
      <c r="P79" s="54"/>
      <c r="Q79" s="54"/>
      <c r="R79" s="54"/>
      <c r="S79" s="54"/>
      <c r="T79" s="54"/>
      <c r="U79" s="54"/>
      <c r="V79" s="54"/>
    </row>
    <row r="80" spans="1:22">
      <c r="A80" s="54"/>
      <c r="B80" s="54"/>
      <c r="C80" s="54"/>
      <c r="D80" s="54"/>
      <c r="E80" s="54"/>
      <c r="F80" s="54"/>
      <c r="G80" s="54"/>
      <c r="H80" s="54"/>
      <c r="I80" s="54"/>
      <c r="J80" s="54"/>
      <c r="K80" s="54"/>
      <c r="L80" s="54"/>
      <c r="M80" s="54"/>
      <c r="N80" s="54"/>
      <c r="O80" s="54"/>
      <c r="P80" s="54"/>
      <c r="Q80" s="54"/>
      <c r="R80" s="54"/>
      <c r="S80" s="54"/>
      <c r="T80" s="54"/>
      <c r="U80" s="54"/>
      <c r="V80" s="54"/>
    </row>
    <row r="81" spans="1:22">
      <c r="A81" s="54"/>
      <c r="B81" s="54"/>
      <c r="C81" s="54"/>
      <c r="D81" s="54"/>
      <c r="E81" s="54"/>
      <c r="F81" s="54"/>
      <c r="G81" s="54"/>
      <c r="H81" s="54"/>
      <c r="I81" s="54"/>
      <c r="J81" s="54"/>
      <c r="K81" s="54"/>
      <c r="L81" s="54"/>
      <c r="M81" s="54"/>
      <c r="N81" s="54"/>
      <c r="O81" s="54"/>
      <c r="P81" s="54"/>
      <c r="Q81" s="54"/>
      <c r="R81" s="54"/>
      <c r="S81" s="54"/>
      <c r="T81" s="54"/>
      <c r="U81" s="54"/>
      <c r="V81" s="54"/>
    </row>
    <row r="82" spans="1:22">
      <c r="A82" s="54"/>
      <c r="B82" s="54"/>
      <c r="C82" s="54"/>
      <c r="D82" s="54"/>
      <c r="E82" s="54"/>
      <c r="F82" s="54"/>
      <c r="G82" s="54"/>
      <c r="H82" s="54"/>
      <c r="I82" s="54"/>
      <c r="J82" s="54"/>
      <c r="K82" s="54"/>
      <c r="L82" s="54"/>
      <c r="M82" s="54"/>
      <c r="N82" s="54"/>
      <c r="O82" s="54"/>
      <c r="P82" s="54"/>
      <c r="Q82" s="54"/>
      <c r="R82" s="54"/>
      <c r="S82" s="54"/>
      <c r="T82" s="54"/>
      <c r="U82" s="54"/>
      <c r="V82" s="54"/>
    </row>
    <row r="83" spans="1:22">
      <c r="A83" s="54"/>
      <c r="B83" s="54"/>
      <c r="C83" s="54"/>
      <c r="D83" s="54"/>
      <c r="E83" s="54"/>
      <c r="F83" s="54"/>
      <c r="G83" s="54"/>
      <c r="H83" s="54"/>
      <c r="I83" s="54"/>
      <c r="J83" s="54"/>
      <c r="K83" s="54"/>
      <c r="L83" s="54"/>
      <c r="M83" s="54"/>
      <c r="N83" s="54"/>
      <c r="O83" s="54"/>
      <c r="P83" s="54"/>
      <c r="Q83" s="54"/>
      <c r="R83" s="54"/>
      <c r="S83" s="54"/>
      <c r="T83" s="54"/>
      <c r="U83" s="54"/>
      <c r="V83" s="54"/>
    </row>
    <row r="84" spans="1:22">
      <c r="A84" s="54"/>
      <c r="B84" s="54"/>
      <c r="C84" s="54"/>
      <c r="D84" s="54"/>
      <c r="E84" s="54"/>
      <c r="F84" s="54"/>
      <c r="G84" s="54"/>
      <c r="H84" s="54"/>
      <c r="I84" s="54"/>
      <c r="J84" s="54"/>
      <c r="K84" s="54"/>
      <c r="L84" s="54"/>
      <c r="M84" s="54"/>
      <c r="N84" s="54"/>
      <c r="O84" s="54"/>
      <c r="P84" s="54"/>
      <c r="Q84" s="54"/>
      <c r="R84" s="54"/>
      <c r="S84" s="54"/>
      <c r="T84" s="54"/>
      <c r="U84" s="54"/>
      <c r="V84" s="54"/>
    </row>
    <row r="85" spans="1:22">
      <c r="A85" s="54"/>
      <c r="B85" s="54"/>
      <c r="C85" s="54"/>
      <c r="D85" s="54"/>
      <c r="E85" s="54"/>
      <c r="F85" s="54"/>
      <c r="G85" s="54"/>
      <c r="H85" s="54"/>
      <c r="I85" s="54"/>
      <c r="J85" s="54"/>
      <c r="K85" s="54"/>
      <c r="L85" s="54"/>
      <c r="M85" s="54"/>
      <c r="N85" s="54"/>
      <c r="O85" s="54"/>
      <c r="P85" s="54"/>
      <c r="Q85" s="54"/>
      <c r="R85" s="54"/>
      <c r="S85" s="54"/>
      <c r="T85" s="54"/>
      <c r="U85" s="54"/>
      <c r="V85" s="54"/>
    </row>
    <row r="86" spans="1:22">
      <c r="A86" s="54"/>
      <c r="B86" s="54"/>
      <c r="C86" s="54"/>
      <c r="D86" s="54"/>
      <c r="E86" s="54"/>
      <c r="F86" s="54"/>
      <c r="G86" s="54"/>
      <c r="H86" s="54"/>
      <c r="I86" s="54"/>
      <c r="J86" s="54"/>
      <c r="K86" s="54"/>
      <c r="L86" s="54"/>
      <c r="M86" s="54"/>
      <c r="N86" s="54"/>
      <c r="O86" s="54"/>
      <c r="P86" s="54"/>
      <c r="Q86" s="54"/>
      <c r="R86" s="54"/>
      <c r="S86" s="54"/>
      <c r="T86" s="54"/>
      <c r="U86" s="54"/>
      <c r="V86" s="54"/>
    </row>
    <row r="87" spans="1:22">
      <c r="A87" s="54"/>
      <c r="B87" s="54"/>
      <c r="C87" s="54"/>
      <c r="D87" s="54"/>
      <c r="E87" s="54"/>
      <c r="F87" s="54"/>
      <c r="G87" s="54"/>
      <c r="H87" s="54"/>
      <c r="I87" s="54"/>
      <c r="J87" s="54"/>
      <c r="K87" s="54"/>
      <c r="L87" s="54"/>
      <c r="M87" s="54"/>
      <c r="N87" s="54"/>
      <c r="O87" s="54"/>
      <c r="P87" s="54"/>
      <c r="Q87" s="54"/>
      <c r="R87" s="54"/>
      <c r="S87" s="54"/>
      <c r="T87" s="54"/>
      <c r="U87" s="54"/>
      <c r="V87" s="54"/>
    </row>
    <row r="88" spans="1:22">
      <c r="A88" s="54"/>
      <c r="B88" s="54"/>
      <c r="C88" s="54"/>
      <c r="D88" s="54"/>
      <c r="E88" s="54"/>
      <c r="F88" s="54"/>
      <c r="G88" s="54"/>
      <c r="H88" s="54"/>
      <c r="I88" s="54"/>
      <c r="J88" s="54"/>
      <c r="K88" s="54"/>
      <c r="L88" s="54"/>
      <c r="M88" s="54"/>
      <c r="N88" s="54"/>
      <c r="O88" s="54"/>
      <c r="P88" s="54"/>
      <c r="Q88" s="54"/>
      <c r="R88" s="54"/>
      <c r="S88" s="54"/>
      <c r="T88" s="54"/>
      <c r="U88" s="54"/>
      <c r="V88" s="54"/>
    </row>
    <row r="89" spans="1:22">
      <c r="A89" s="54"/>
      <c r="B89" s="54"/>
      <c r="C89" s="54"/>
      <c r="D89" s="54"/>
      <c r="E89" s="54"/>
      <c r="F89" s="54"/>
      <c r="G89" s="54"/>
      <c r="H89" s="54"/>
      <c r="I89" s="54"/>
      <c r="J89" s="54"/>
      <c r="K89" s="54"/>
      <c r="L89" s="54"/>
      <c r="M89" s="54"/>
      <c r="N89" s="54"/>
      <c r="O89" s="54"/>
      <c r="P89" s="54"/>
      <c r="Q89" s="54"/>
      <c r="R89" s="54"/>
      <c r="S89" s="54"/>
      <c r="T89" s="54"/>
      <c r="U89" s="54"/>
      <c r="V89" s="54"/>
    </row>
    <row r="90" spans="1:22">
      <c r="A90" s="54"/>
      <c r="B90" s="54"/>
      <c r="C90" s="54"/>
      <c r="D90" s="54"/>
      <c r="E90" s="54"/>
      <c r="F90" s="54"/>
      <c r="G90" s="54"/>
      <c r="H90" s="54"/>
      <c r="I90" s="54"/>
      <c r="J90" s="54"/>
      <c r="K90" s="54"/>
      <c r="L90" s="54"/>
      <c r="M90" s="54"/>
      <c r="N90" s="54"/>
      <c r="O90" s="54"/>
      <c r="P90" s="54"/>
      <c r="Q90" s="54"/>
      <c r="R90" s="54"/>
      <c r="S90" s="54"/>
      <c r="T90" s="54"/>
      <c r="U90" s="54"/>
      <c r="V90" s="54"/>
    </row>
    <row r="91" spans="1:22">
      <c r="A91" s="54"/>
      <c r="B91" s="54"/>
      <c r="C91" s="54"/>
      <c r="D91" s="54"/>
      <c r="E91" s="54"/>
      <c r="F91" s="54"/>
      <c r="G91" s="54"/>
      <c r="H91" s="54"/>
      <c r="I91" s="54"/>
      <c r="J91" s="54"/>
      <c r="K91" s="54"/>
      <c r="L91" s="54"/>
      <c r="M91" s="54"/>
      <c r="N91" s="54"/>
      <c r="O91" s="54"/>
      <c r="P91" s="54"/>
      <c r="Q91" s="54"/>
      <c r="R91" s="54"/>
      <c r="S91" s="54"/>
      <c r="T91" s="54"/>
      <c r="U91" s="54"/>
      <c r="V91" s="54"/>
    </row>
    <row r="92" spans="1:22">
      <c r="A92" s="54"/>
      <c r="B92" s="54"/>
      <c r="C92" s="54"/>
      <c r="D92" s="54"/>
      <c r="E92" s="54"/>
      <c r="F92" s="54"/>
      <c r="G92" s="54"/>
      <c r="H92" s="54"/>
      <c r="I92" s="54"/>
      <c r="J92" s="54"/>
      <c r="K92" s="54"/>
      <c r="L92" s="54"/>
      <c r="M92" s="54"/>
      <c r="N92" s="54"/>
      <c r="O92" s="54"/>
      <c r="P92" s="54"/>
      <c r="Q92" s="54"/>
      <c r="R92" s="54"/>
      <c r="S92" s="54"/>
      <c r="T92" s="54"/>
      <c r="U92" s="54"/>
      <c r="V92" s="54"/>
    </row>
    <row r="93" spans="1:22">
      <c r="A93" s="54"/>
      <c r="B93" s="54"/>
      <c r="C93" s="54"/>
      <c r="D93" s="54"/>
      <c r="E93" s="54"/>
      <c r="F93" s="54"/>
      <c r="G93" s="54"/>
      <c r="H93" s="54"/>
      <c r="I93" s="54"/>
      <c r="J93" s="54"/>
      <c r="K93" s="54"/>
      <c r="L93" s="54"/>
      <c r="M93" s="54"/>
      <c r="N93" s="54"/>
      <c r="O93" s="54"/>
      <c r="P93" s="54"/>
      <c r="Q93" s="54"/>
      <c r="R93" s="54"/>
      <c r="S93" s="54"/>
      <c r="T93" s="54"/>
      <c r="U93" s="54"/>
      <c r="V93" s="54"/>
    </row>
    <row r="94" spans="1:22">
      <c r="A94" s="54"/>
      <c r="B94" s="54"/>
      <c r="C94" s="54"/>
      <c r="D94" s="54"/>
      <c r="E94" s="54"/>
      <c r="F94" s="54"/>
      <c r="G94" s="54"/>
      <c r="H94" s="54"/>
      <c r="I94" s="54"/>
      <c r="J94" s="54"/>
      <c r="K94" s="54"/>
      <c r="L94" s="54"/>
      <c r="M94" s="54"/>
      <c r="N94" s="54"/>
      <c r="O94" s="54"/>
      <c r="P94" s="54"/>
      <c r="Q94" s="54"/>
      <c r="R94" s="54"/>
      <c r="S94" s="54"/>
      <c r="T94" s="54"/>
      <c r="U94" s="54"/>
      <c r="V94" s="54"/>
    </row>
    <row r="95" spans="1:22">
      <c r="A95" s="54"/>
      <c r="B95" s="54"/>
      <c r="C95" s="54"/>
      <c r="D95" s="54"/>
      <c r="E95" s="54"/>
      <c r="F95" s="54"/>
      <c r="G95" s="54"/>
      <c r="H95" s="54"/>
      <c r="I95" s="54"/>
      <c r="J95" s="54"/>
      <c r="K95" s="54"/>
      <c r="L95" s="54"/>
      <c r="M95" s="54"/>
      <c r="N95" s="54"/>
      <c r="O95" s="54"/>
      <c r="P95" s="54"/>
      <c r="Q95" s="54"/>
      <c r="R95" s="54"/>
      <c r="S95" s="54"/>
      <c r="T95" s="54"/>
      <c r="U95" s="54"/>
      <c r="V95" s="54"/>
    </row>
    <row r="96" spans="1:22">
      <c r="A96" s="54"/>
      <c r="B96" s="54"/>
      <c r="C96" s="54"/>
      <c r="D96" s="54"/>
      <c r="E96" s="54"/>
      <c r="F96" s="54"/>
      <c r="G96" s="54"/>
      <c r="H96" s="54"/>
      <c r="I96" s="54"/>
      <c r="J96" s="54"/>
      <c r="K96" s="54"/>
      <c r="L96" s="54"/>
      <c r="M96" s="54"/>
      <c r="N96" s="54"/>
      <c r="O96" s="54"/>
      <c r="P96" s="54"/>
      <c r="Q96" s="54"/>
      <c r="R96" s="54"/>
      <c r="S96" s="54"/>
      <c r="T96" s="54"/>
      <c r="U96" s="54"/>
      <c r="V96" s="54"/>
    </row>
    <row r="97" spans="1:22">
      <c r="A97" s="54"/>
      <c r="B97" s="54"/>
      <c r="C97" s="54"/>
      <c r="D97" s="54"/>
      <c r="E97" s="54"/>
      <c r="F97" s="54"/>
      <c r="G97" s="54"/>
      <c r="H97" s="54"/>
      <c r="I97" s="54"/>
      <c r="J97" s="54"/>
      <c r="K97" s="54"/>
      <c r="L97" s="54"/>
      <c r="M97" s="54"/>
      <c r="N97" s="54"/>
      <c r="O97" s="54"/>
      <c r="P97" s="54"/>
      <c r="Q97" s="54"/>
      <c r="R97" s="54"/>
      <c r="S97" s="54"/>
      <c r="T97" s="54"/>
      <c r="U97" s="54"/>
      <c r="V97" s="54"/>
    </row>
    <row r="98" spans="1:22">
      <c r="A98" s="54"/>
      <c r="B98" s="54"/>
      <c r="C98" s="54"/>
      <c r="D98" s="54"/>
      <c r="E98" s="54"/>
      <c r="F98" s="54"/>
      <c r="G98" s="54"/>
      <c r="H98" s="54"/>
      <c r="I98" s="54"/>
      <c r="J98" s="54"/>
      <c r="K98" s="54"/>
      <c r="L98" s="54"/>
      <c r="M98" s="54"/>
      <c r="N98" s="54"/>
      <c r="O98" s="54"/>
      <c r="P98" s="54"/>
      <c r="Q98" s="54"/>
      <c r="R98" s="54"/>
      <c r="S98" s="54"/>
      <c r="T98" s="54"/>
      <c r="U98" s="54"/>
      <c r="V98" s="54"/>
    </row>
    <row r="99" spans="1:22">
      <c r="A99" s="54"/>
      <c r="B99" s="54"/>
      <c r="C99" s="54"/>
      <c r="D99" s="54"/>
      <c r="E99" s="54"/>
      <c r="F99" s="54"/>
      <c r="G99" s="54"/>
      <c r="H99" s="54"/>
      <c r="I99" s="54"/>
      <c r="J99" s="54"/>
      <c r="K99" s="54"/>
      <c r="L99" s="54"/>
      <c r="M99" s="54"/>
      <c r="N99" s="54"/>
      <c r="O99" s="54"/>
      <c r="P99" s="54"/>
      <c r="Q99" s="54"/>
      <c r="R99" s="54"/>
      <c r="S99" s="54"/>
      <c r="T99" s="54"/>
      <c r="U99" s="54"/>
      <c r="V99" s="54"/>
    </row>
    <row r="100" spans="1:22">
      <c r="A100" s="54"/>
      <c r="B100" s="54"/>
      <c r="C100" s="54"/>
      <c r="D100" s="54"/>
      <c r="E100" s="54"/>
      <c r="F100" s="54"/>
      <c r="G100" s="54"/>
      <c r="H100" s="54"/>
      <c r="I100" s="54"/>
      <c r="J100" s="54"/>
      <c r="K100" s="54"/>
      <c r="L100" s="54"/>
      <c r="M100" s="54"/>
      <c r="N100" s="54"/>
      <c r="O100" s="54"/>
      <c r="P100" s="54"/>
      <c r="Q100" s="54"/>
      <c r="R100" s="54"/>
      <c r="S100" s="54"/>
      <c r="T100" s="54"/>
      <c r="U100" s="54"/>
      <c r="V100" s="54"/>
    </row>
    <row r="101" spans="1:22">
      <c r="A101" s="54"/>
      <c r="B101" s="54"/>
      <c r="C101" s="54"/>
      <c r="D101" s="54"/>
      <c r="E101" s="54"/>
      <c r="F101" s="54"/>
      <c r="G101" s="54"/>
      <c r="H101" s="54"/>
      <c r="I101" s="54"/>
      <c r="J101" s="54"/>
      <c r="K101" s="54"/>
      <c r="L101" s="54"/>
      <c r="M101" s="54"/>
      <c r="N101" s="54"/>
      <c r="O101" s="54"/>
      <c r="P101" s="54"/>
      <c r="Q101" s="54"/>
      <c r="R101" s="54"/>
      <c r="S101" s="54"/>
      <c r="T101" s="54"/>
      <c r="U101" s="54"/>
      <c r="V101" s="54"/>
    </row>
    <row r="102" spans="1:22">
      <c r="A102" s="54"/>
      <c r="B102" s="54"/>
      <c r="C102" s="54"/>
      <c r="D102" s="54"/>
      <c r="E102" s="54"/>
      <c r="F102" s="54"/>
      <c r="G102" s="54"/>
      <c r="H102" s="54"/>
      <c r="I102" s="54"/>
      <c r="J102" s="54"/>
      <c r="K102" s="54"/>
      <c r="L102" s="54"/>
      <c r="M102" s="54"/>
      <c r="N102" s="54"/>
      <c r="O102" s="54"/>
      <c r="P102" s="54"/>
      <c r="Q102" s="54"/>
      <c r="R102" s="54"/>
      <c r="S102" s="54"/>
      <c r="T102" s="54"/>
      <c r="U102" s="54"/>
      <c r="V102" s="54"/>
    </row>
    <row r="103" spans="1:22">
      <c r="A103" s="54"/>
      <c r="B103" s="54"/>
      <c r="C103" s="54"/>
      <c r="D103" s="54"/>
      <c r="E103" s="54"/>
      <c r="F103" s="54"/>
      <c r="G103" s="54"/>
      <c r="H103" s="54"/>
      <c r="I103" s="54"/>
      <c r="J103" s="54"/>
      <c r="K103" s="54"/>
      <c r="L103" s="54"/>
      <c r="M103" s="54"/>
      <c r="N103" s="54"/>
      <c r="O103" s="54"/>
      <c r="P103" s="54"/>
      <c r="Q103" s="54"/>
      <c r="R103" s="54"/>
      <c r="S103" s="54"/>
      <c r="T103" s="54"/>
      <c r="U103" s="54"/>
      <c r="V103" s="54"/>
    </row>
    <row r="104" spans="1:22">
      <c r="A104" s="54"/>
      <c r="B104" s="54"/>
      <c r="C104" s="54"/>
      <c r="D104" s="54"/>
      <c r="E104" s="54"/>
      <c r="F104" s="54"/>
      <c r="G104" s="54"/>
      <c r="H104" s="54"/>
      <c r="I104" s="54"/>
      <c r="J104" s="54"/>
      <c r="K104" s="54"/>
      <c r="L104" s="54"/>
      <c r="M104" s="54"/>
      <c r="N104" s="54"/>
      <c r="O104" s="54"/>
      <c r="P104" s="54"/>
      <c r="Q104" s="54"/>
      <c r="R104" s="54"/>
      <c r="S104" s="54"/>
      <c r="T104" s="54"/>
      <c r="U104" s="54"/>
      <c r="V104" s="54"/>
    </row>
    <row r="105" spans="1:22">
      <c r="A105" s="54"/>
      <c r="B105" s="54"/>
      <c r="C105" s="54"/>
      <c r="D105" s="54"/>
      <c r="E105" s="54"/>
      <c r="F105" s="54"/>
      <c r="G105" s="54"/>
      <c r="H105" s="54"/>
      <c r="I105" s="54"/>
      <c r="J105" s="54"/>
      <c r="K105" s="54"/>
      <c r="L105" s="54"/>
      <c r="M105" s="54"/>
      <c r="N105" s="54"/>
      <c r="O105" s="54"/>
      <c r="P105" s="54"/>
      <c r="Q105" s="54"/>
      <c r="R105" s="54"/>
      <c r="S105" s="54"/>
      <c r="T105" s="54"/>
      <c r="U105" s="54"/>
      <c r="V105" s="54"/>
    </row>
    <row r="106" spans="1:22">
      <c r="A106" s="54"/>
      <c r="B106" s="54"/>
      <c r="C106" s="54"/>
      <c r="D106" s="54"/>
      <c r="E106" s="54"/>
      <c r="F106" s="54"/>
      <c r="G106" s="54"/>
      <c r="H106" s="54"/>
      <c r="I106" s="54"/>
      <c r="J106" s="54"/>
      <c r="K106" s="54"/>
      <c r="L106" s="54"/>
      <c r="M106" s="54"/>
      <c r="N106" s="54"/>
      <c r="O106" s="54"/>
      <c r="P106" s="54"/>
      <c r="Q106" s="54"/>
      <c r="R106" s="54"/>
      <c r="S106" s="54"/>
      <c r="T106" s="54"/>
      <c r="U106" s="54"/>
      <c r="V106" s="54"/>
    </row>
    <row r="107" spans="1:22">
      <c r="A107" s="54"/>
      <c r="B107" s="54"/>
      <c r="C107" s="54"/>
      <c r="D107" s="54"/>
      <c r="E107" s="54"/>
      <c r="F107" s="54"/>
      <c r="G107" s="54"/>
      <c r="H107" s="54"/>
      <c r="I107" s="54"/>
      <c r="J107" s="54"/>
      <c r="K107" s="54"/>
      <c r="L107" s="54"/>
      <c r="M107" s="54"/>
      <c r="N107" s="54"/>
      <c r="O107" s="54"/>
      <c r="P107" s="54"/>
      <c r="Q107" s="54"/>
      <c r="R107" s="54"/>
      <c r="S107" s="54"/>
      <c r="T107" s="54"/>
      <c r="U107" s="54"/>
      <c r="V107" s="54"/>
    </row>
    <row r="108" spans="1:22">
      <c r="A108" s="54"/>
      <c r="B108" s="54"/>
      <c r="C108" s="54"/>
      <c r="D108" s="54"/>
      <c r="E108" s="54"/>
      <c r="F108" s="54"/>
      <c r="G108" s="54"/>
      <c r="H108" s="54"/>
      <c r="I108" s="54"/>
      <c r="J108" s="54"/>
      <c r="K108" s="54"/>
      <c r="L108" s="54"/>
      <c r="M108" s="54"/>
      <c r="N108" s="54"/>
      <c r="O108" s="54"/>
      <c r="P108" s="54"/>
      <c r="Q108" s="54"/>
      <c r="R108" s="54"/>
      <c r="S108" s="54"/>
      <c r="T108" s="54"/>
      <c r="U108" s="54"/>
      <c r="V108" s="54"/>
    </row>
    <row r="109" spans="1:22">
      <c r="A109" s="54"/>
      <c r="B109" s="54"/>
      <c r="C109" s="54"/>
      <c r="D109" s="54"/>
      <c r="E109" s="54"/>
      <c r="F109" s="54"/>
      <c r="G109" s="54"/>
      <c r="H109" s="54"/>
      <c r="I109" s="54"/>
      <c r="J109" s="54"/>
      <c r="K109" s="54"/>
      <c r="L109" s="54"/>
      <c r="M109" s="54"/>
      <c r="N109" s="54"/>
      <c r="O109" s="54"/>
      <c r="P109" s="54"/>
      <c r="Q109" s="54"/>
      <c r="R109" s="54"/>
      <c r="S109" s="54"/>
      <c r="T109" s="54"/>
      <c r="U109" s="54"/>
      <c r="V109" s="54"/>
    </row>
    <row r="110" spans="1:22">
      <c r="A110" s="54"/>
      <c r="B110" s="54"/>
      <c r="C110" s="54"/>
      <c r="D110" s="54"/>
      <c r="E110" s="54"/>
      <c r="F110" s="54"/>
      <c r="G110" s="54"/>
      <c r="H110" s="54"/>
      <c r="I110" s="54"/>
      <c r="J110" s="54"/>
      <c r="K110" s="54"/>
      <c r="L110" s="54"/>
      <c r="M110" s="54"/>
      <c r="N110" s="54"/>
      <c r="O110" s="54"/>
      <c r="P110" s="54"/>
      <c r="Q110" s="54"/>
      <c r="R110" s="54"/>
      <c r="S110" s="54"/>
      <c r="T110" s="54"/>
      <c r="U110" s="54"/>
      <c r="V110" s="54"/>
    </row>
    <row r="111" spans="1:22">
      <c r="A111" s="54"/>
      <c r="B111" s="54"/>
      <c r="C111" s="54"/>
      <c r="D111" s="54"/>
      <c r="E111" s="54"/>
      <c r="F111" s="54"/>
      <c r="G111" s="54"/>
      <c r="H111" s="54"/>
      <c r="I111" s="54"/>
      <c r="J111" s="54"/>
      <c r="K111" s="54"/>
      <c r="L111" s="54"/>
      <c r="M111" s="54"/>
      <c r="N111" s="54"/>
      <c r="O111" s="54"/>
      <c r="P111" s="54"/>
      <c r="Q111" s="54"/>
      <c r="R111" s="54"/>
      <c r="S111" s="54"/>
      <c r="T111" s="54"/>
      <c r="U111" s="54"/>
      <c r="V111" s="54"/>
    </row>
    <row r="112" spans="1:22">
      <c r="A112" s="54"/>
      <c r="B112" s="54"/>
      <c r="C112" s="54"/>
      <c r="D112" s="54"/>
      <c r="E112" s="54"/>
      <c r="F112" s="54"/>
      <c r="G112" s="54"/>
      <c r="H112" s="54"/>
      <c r="I112" s="54"/>
      <c r="J112" s="54"/>
      <c r="K112" s="54"/>
      <c r="L112" s="54"/>
      <c r="M112" s="54"/>
      <c r="N112" s="54"/>
      <c r="O112" s="54"/>
      <c r="P112" s="54"/>
      <c r="Q112" s="54"/>
      <c r="R112" s="54"/>
      <c r="S112" s="54"/>
      <c r="T112" s="54"/>
      <c r="U112" s="54"/>
      <c r="V112" s="54"/>
    </row>
    <row r="113" spans="1:22">
      <c r="A113" s="54"/>
      <c r="B113" s="54"/>
      <c r="C113" s="54"/>
      <c r="D113" s="54"/>
      <c r="E113" s="54"/>
      <c r="F113" s="54"/>
      <c r="G113" s="54"/>
      <c r="H113" s="54"/>
      <c r="I113" s="54"/>
      <c r="J113" s="54"/>
      <c r="K113" s="54"/>
      <c r="L113" s="54"/>
      <c r="M113" s="54"/>
      <c r="N113" s="54"/>
      <c r="O113" s="54"/>
      <c r="P113" s="54"/>
      <c r="Q113" s="54"/>
      <c r="R113" s="54"/>
      <c r="S113" s="54"/>
      <c r="T113" s="54"/>
      <c r="U113" s="54"/>
      <c r="V113" s="54"/>
    </row>
    <row r="114" spans="1:22">
      <c r="A114" s="54"/>
      <c r="B114" s="54"/>
      <c r="C114" s="54"/>
      <c r="D114" s="54"/>
      <c r="E114" s="54"/>
      <c r="F114" s="54"/>
      <c r="G114" s="54"/>
      <c r="H114" s="54"/>
      <c r="I114" s="54"/>
      <c r="J114" s="54"/>
      <c r="K114" s="54"/>
      <c r="L114" s="54"/>
      <c r="M114" s="54"/>
      <c r="N114" s="54"/>
      <c r="O114" s="54"/>
      <c r="P114" s="54"/>
      <c r="Q114" s="54"/>
      <c r="R114" s="54"/>
      <c r="S114" s="54"/>
      <c r="T114" s="54"/>
      <c r="U114" s="54"/>
      <c r="V114" s="54"/>
    </row>
    <row r="115" spans="1:22">
      <c r="A115" s="54"/>
      <c r="B115" s="54"/>
      <c r="C115" s="54"/>
      <c r="D115" s="54"/>
      <c r="E115" s="54"/>
      <c r="F115" s="54"/>
      <c r="G115" s="54"/>
      <c r="H115" s="54"/>
      <c r="I115" s="54"/>
      <c r="J115" s="54"/>
      <c r="K115" s="54"/>
      <c r="L115" s="54"/>
      <c r="M115" s="54"/>
      <c r="N115" s="54"/>
      <c r="O115" s="54"/>
      <c r="P115" s="54"/>
      <c r="Q115" s="54"/>
      <c r="R115" s="54"/>
      <c r="S115" s="54"/>
      <c r="T115" s="54"/>
      <c r="U115" s="54"/>
      <c r="V115" s="54"/>
    </row>
    <row r="116" spans="1:22">
      <c r="A116" s="54"/>
      <c r="B116" s="54"/>
      <c r="C116" s="54"/>
      <c r="D116" s="54"/>
      <c r="E116" s="54"/>
      <c r="F116" s="54"/>
      <c r="G116" s="54"/>
      <c r="H116" s="54"/>
      <c r="I116" s="54"/>
      <c r="J116" s="54"/>
      <c r="K116" s="54"/>
      <c r="L116" s="54"/>
      <c r="M116" s="54"/>
      <c r="N116" s="54"/>
      <c r="O116" s="54"/>
      <c r="P116" s="54"/>
      <c r="Q116" s="54"/>
      <c r="R116" s="54"/>
      <c r="S116" s="54"/>
      <c r="T116" s="54"/>
      <c r="U116" s="54"/>
      <c r="V116" s="54"/>
    </row>
    <row r="117" spans="1:22">
      <c r="A117" s="54"/>
      <c r="B117" s="54"/>
      <c r="C117" s="54"/>
      <c r="D117" s="54"/>
      <c r="E117" s="54"/>
      <c r="F117" s="54"/>
      <c r="G117" s="54"/>
      <c r="H117" s="54"/>
      <c r="I117" s="54"/>
      <c r="J117" s="54"/>
      <c r="K117" s="54"/>
      <c r="L117" s="54"/>
      <c r="M117" s="54"/>
      <c r="N117" s="54"/>
      <c r="O117" s="54"/>
      <c r="P117" s="54"/>
      <c r="Q117" s="54"/>
      <c r="R117" s="54"/>
      <c r="S117" s="54"/>
      <c r="T117" s="54"/>
      <c r="U117" s="54"/>
      <c r="V117" s="54"/>
    </row>
    <row r="118" spans="1:22">
      <c r="A118" s="54"/>
      <c r="B118" s="54"/>
      <c r="C118" s="54"/>
      <c r="D118" s="54"/>
      <c r="E118" s="54"/>
      <c r="F118" s="54"/>
      <c r="G118" s="54"/>
      <c r="H118" s="54"/>
      <c r="I118" s="54"/>
      <c r="J118" s="54"/>
      <c r="K118" s="54"/>
      <c r="L118" s="54"/>
      <c r="M118" s="54"/>
      <c r="N118" s="54"/>
      <c r="O118" s="54"/>
      <c r="P118" s="54"/>
      <c r="Q118" s="54"/>
      <c r="R118" s="54"/>
      <c r="S118" s="54"/>
      <c r="T118" s="54"/>
      <c r="U118" s="54"/>
      <c r="V118" s="54"/>
    </row>
    <row r="119" spans="1:22">
      <c r="A119" s="54"/>
      <c r="B119" s="54"/>
      <c r="C119" s="54"/>
      <c r="D119" s="54"/>
      <c r="E119" s="54"/>
      <c r="F119" s="54"/>
      <c r="G119" s="54"/>
      <c r="H119" s="54"/>
      <c r="I119" s="54"/>
      <c r="J119" s="54"/>
      <c r="K119" s="54"/>
      <c r="L119" s="54"/>
      <c r="M119" s="54"/>
      <c r="N119" s="54"/>
      <c r="O119" s="54"/>
      <c r="P119" s="54"/>
      <c r="Q119" s="54"/>
      <c r="R119" s="54"/>
      <c r="S119" s="54"/>
      <c r="T119" s="54"/>
      <c r="U119" s="54"/>
      <c r="V119" s="54"/>
    </row>
    <row r="120" spans="1:22">
      <c r="A120" s="54"/>
      <c r="B120" s="54"/>
      <c r="C120" s="54"/>
      <c r="D120" s="54"/>
      <c r="E120" s="54"/>
      <c r="F120" s="54"/>
      <c r="G120" s="54"/>
      <c r="H120" s="54"/>
      <c r="I120" s="54"/>
      <c r="J120" s="54"/>
      <c r="K120" s="54"/>
      <c r="L120" s="54"/>
      <c r="M120" s="54"/>
      <c r="N120" s="54"/>
      <c r="O120" s="54"/>
      <c r="P120" s="54"/>
      <c r="Q120" s="54"/>
      <c r="R120" s="54"/>
      <c r="S120" s="54"/>
      <c r="T120" s="54"/>
      <c r="U120" s="54"/>
      <c r="V120" s="54"/>
    </row>
    <row r="121" spans="1:22">
      <c r="A121" s="54"/>
      <c r="B121" s="54"/>
      <c r="C121" s="54"/>
      <c r="D121" s="54"/>
      <c r="E121" s="54"/>
      <c r="F121" s="54"/>
      <c r="G121" s="54"/>
      <c r="H121" s="54"/>
      <c r="I121" s="54"/>
      <c r="J121" s="54"/>
      <c r="K121" s="54"/>
      <c r="L121" s="54"/>
      <c r="M121" s="54"/>
      <c r="N121" s="54"/>
      <c r="O121" s="54"/>
      <c r="P121" s="54"/>
      <c r="Q121" s="54"/>
      <c r="R121" s="54"/>
      <c r="S121" s="54"/>
      <c r="T121" s="54"/>
      <c r="U121" s="54"/>
      <c r="V121" s="54"/>
    </row>
    <row r="122" spans="1:22">
      <c r="A122" s="54"/>
      <c r="B122" s="54"/>
      <c r="C122" s="54"/>
      <c r="D122" s="54"/>
      <c r="E122" s="54"/>
      <c r="F122" s="54"/>
      <c r="G122" s="54"/>
      <c r="H122" s="54"/>
      <c r="I122" s="54"/>
      <c r="J122" s="54"/>
      <c r="K122" s="54"/>
      <c r="L122" s="54"/>
      <c r="M122" s="54"/>
      <c r="N122" s="54"/>
      <c r="O122" s="54"/>
      <c r="P122" s="54"/>
      <c r="Q122" s="54"/>
      <c r="R122" s="54"/>
      <c r="S122" s="54"/>
      <c r="T122" s="54"/>
      <c r="U122" s="54"/>
      <c r="V122" s="54"/>
    </row>
    <row r="123" spans="1:22">
      <c r="A123" s="54"/>
      <c r="B123" s="54"/>
      <c r="C123" s="54"/>
      <c r="D123" s="54"/>
      <c r="E123" s="54"/>
      <c r="F123" s="54"/>
      <c r="G123" s="54"/>
      <c r="H123" s="54"/>
      <c r="I123" s="54"/>
      <c r="J123" s="54"/>
      <c r="K123" s="54"/>
      <c r="L123" s="54"/>
      <c r="M123" s="54"/>
      <c r="N123" s="54"/>
      <c r="O123" s="54"/>
      <c r="P123" s="54"/>
      <c r="Q123" s="54"/>
      <c r="R123" s="54"/>
      <c r="S123" s="54"/>
      <c r="T123" s="54"/>
      <c r="U123" s="54"/>
      <c r="V123" s="54"/>
    </row>
    <row r="124" spans="1:22">
      <c r="A124" s="54"/>
      <c r="B124" s="54"/>
      <c r="C124" s="54"/>
      <c r="D124" s="54"/>
      <c r="E124" s="54"/>
      <c r="F124" s="54"/>
      <c r="G124" s="54"/>
      <c r="H124" s="54"/>
      <c r="I124" s="54"/>
      <c r="J124" s="54"/>
      <c r="K124" s="54"/>
      <c r="L124" s="54"/>
      <c r="M124" s="54"/>
      <c r="N124" s="54"/>
      <c r="O124" s="54"/>
      <c r="P124" s="54"/>
      <c r="Q124" s="54"/>
      <c r="R124" s="54"/>
      <c r="S124" s="54"/>
      <c r="T124" s="54"/>
      <c r="U124" s="54"/>
      <c r="V124" s="54"/>
    </row>
    <row r="125" spans="1:22">
      <c r="A125" s="54"/>
      <c r="B125" s="54"/>
      <c r="C125" s="54"/>
      <c r="D125" s="54"/>
      <c r="E125" s="54"/>
      <c r="F125" s="54"/>
      <c r="G125" s="54"/>
      <c r="H125" s="54"/>
      <c r="I125" s="54"/>
      <c r="J125" s="54"/>
      <c r="K125" s="54"/>
      <c r="L125" s="54"/>
      <c r="M125" s="54"/>
      <c r="N125" s="54"/>
      <c r="O125" s="54"/>
      <c r="P125" s="54"/>
      <c r="Q125" s="54"/>
      <c r="R125" s="54"/>
      <c r="S125" s="54"/>
      <c r="T125" s="54"/>
      <c r="U125" s="54"/>
      <c r="V125" s="54"/>
    </row>
    <row r="126" spans="1:22">
      <c r="A126" s="54"/>
      <c r="B126" s="54"/>
      <c r="C126" s="54"/>
      <c r="D126" s="54"/>
      <c r="E126" s="54"/>
      <c r="F126" s="54"/>
      <c r="G126" s="54"/>
      <c r="H126" s="54"/>
      <c r="I126" s="54"/>
      <c r="J126" s="54"/>
      <c r="K126" s="54"/>
      <c r="L126" s="54"/>
      <c r="M126" s="54"/>
      <c r="N126" s="54"/>
      <c r="O126" s="54"/>
      <c r="P126" s="54"/>
      <c r="Q126" s="54"/>
      <c r="R126" s="54"/>
      <c r="S126" s="54"/>
      <c r="T126" s="54"/>
      <c r="U126" s="54"/>
      <c r="V126" s="54"/>
    </row>
    <row r="127" spans="1:22">
      <c r="A127" s="54"/>
      <c r="B127" s="54"/>
      <c r="C127" s="54"/>
      <c r="D127" s="54"/>
      <c r="E127" s="54"/>
      <c r="F127" s="54"/>
      <c r="G127" s="54"/>
      <c r="H127" s="54"/>
      <c r="I127" s="54"/>
      <c r="J127" s="54"/>
      <c r="K127" s="54"/>
      <c r="L127" s="54"/>
      <c r="M127" s="54"/>
      <c r="N127" s="54"/>
      <c r="O127" s="54"/>
      <c r="P127" s="54"/>
      <c r="Q127" s="54"/>
      <c r="R127" s="54"/>
      <c r="S127" s="54"/>
      <c r="T127" s="54"/>
      <c r="U127" s="54"/>
      <c r="V127" s="54"/>
    </row>
    <row r="128" spans="1:22">
      <c r="A128" s="54"/>
      <c r="B128" s="54"/>
      <c r="C128" s="54"/>
      <c r="D128" s="54"/>
      <c r="E128" s="54"/>
      <c r="F128" s="54"/>
      <c r="G128" s="54"/>
      <c r="H128" s="54"/>
      <c r="I128" s="54"/>
      <c r="J128" s="54"/>
      <c r="K128" s="54"/>
      <c r="L128" s="54"/>
      <c r="M128" s="54"/>
      <c r="N128" s="54"/>
      <c r="O128" s="54"/>
      <c r="P128" s="54"/>
      <c r="Q128" s="54"/>
      <c r="R128" s="54"/>
      <c r="S128" s="54"/>
      <c r="T128" s="54"/>
      <c r="U128" s="54"/>
      <c r="V128" s="54"/>
    </row>
    <row r="129" spans="1:22">
      <c r="A129" s="54"/>
      <c r="B129" s="54"/>
      <c r="C129" s="54"/>
      <c r="D129" s="54"/>
      <c r="E129" s="54"/>
      <c r="F129" s="54"/>
      <c r="G129" s="54"/>
      <c r="H129" s="54"/>
      <c r="I129" s="54"/>
      <c r="J129" s="54"/>
      <c r="K129" s="54"/>
      <c r="L129" s="54"/>
      <c r="M129" s="54"/>
      <c r="N129" s="54"/>
      <c r="O129" s="54"/>
      <c r="P129" s="54"/>
      <c r="Q129" s="54"/>
      <c r="R129" s="54"/>
      <c r="S129" s="54"/>
      <c r="T129" s="54"/>
      <c r="U129" s="54"/>
      <c r="V129" s="54"/>
    </row>
    <row r="130" spans="1:22">
      <c r="A130" s="54"/>
      <c r="B130" s="54"/>
      <c r="C130" s="54"/>
      <c r="D130" s="54"/>
      <c r="E130" s="54"/>
      <c r="F130" s="54"/>
      <c r="G130" s="54"/>
      <c r="H130" s="54"/>
      <c r="I130" s="54"/>
      <c r="J130" s="54"/>
      <c r="K130" s="54"/>
      <c r="L130" s="54"/>
      <c r="M130" s="54"/>
      <c r="N130" s="54"/>
      <c r="O130" s="54"/>
      <c r="P130" s="54"/>
      <c r="Q130" s="54"/>
      <c r="R130" s="54"/>
      <c r="S130" s="54"/>
      <c r="T130" s="54"/>
      <c r="U130" s="54"/>
      <c r="V130" s="54"/>
    </row>
    <row r="131" spans="1:22">
      <c r="A131" s="54"/>
      <c r="B131" s="54"/>
      <c r="C131" s="54"/>
      <c r="D131" s="54"/>
      <c r="E131" s="54"/>
      <c r="F131" s="54"/>
      <c r="G131" s="54"/>
      <c r="H131" s="54"/>
      <c r="I131" s="54"/>
      <c r="J131" s="54"/>
      <c r="K131" s="54"/>
      <c r="L131" s="54"/>
      <c r="M131" s="54"/>
      <c r="N131" s="54"/>
      <c r="O131" s="54"/>
      <c r="P131" s="54"/>
      <c r="Q131" s="54"/>
      <c r="R131" s="54"/>
      <c r="S131" s="54"/>
      <c r="T131" s="54"/>
      <c r="U131" s="54"/>
      <c r="V131" s="54"/>
    </row>
    <row r="132" spans="1:22">
      <c r="A132" s="54"/>
      <c r="B132" s="54"/>
      <c r="C132" s="54"/>
      <c r="D132" s="54"/>
      <c r="E132" s="54"/>
      <c r="F132" s="54"/>
      <c r="G132" s="54"/>
      <c r="H132" s="54"/>
      <c r="I132" s="54"/>
      <c r="J132" s="54"/>
      <c r="K132" s="54"/>
      <c r="L132" s="54"/>
      <c r="M132" s="54"/>
      <c r="N132" s="54"/>
      <c r="O132" s="54"/>
      <c r="P132" s="54"/>
      <c r="Q132" s="54"/>
      <c r="R132" s="54"/>
      <c r="S132" s="54"/>
      <c r="T132" s="54"/>
      <c r="U132" s="54"/>
      <c r="V132" s="54"/>
    </row>
    <row r="133" spans="1:22">
      <c r="A133" s="54"/>
      <c r="B133" s="54"/>
      <c r="C133" s="54"/>
      <c r="D133" s="54"/>
      <c r="E133" s="54"/>
      <c r="F133" s="54"/>
      <c r="G133" s="54"/>
      <c r="H133" s="54"/>
      <c r="I133" s="54"/>
      <c r="J133" s="54"/>
      <c r="K133" s="54"/>
      <c r="L133" s="54"/>
      <c r="M133" s="54"/>
      <c r="N133" s="54"/>
      <c r="O133" s="54"/>
      <c r="P133" s="54"/>
      <c r="Q133" s="54"/>
      <c r="R133" s="54"/>
      <c r="S133" s="54"/>
      <c r="T133" s="54"/>
      <c r="U133" s="54"/>
      <c r="V133" s="54"/>
    </row>
    <row r="134" spans="1:22">
      <c r="A134" s="54"/>
      <c r="B134" s="54"/>
      <c r="C134" s="54"/>
      <c r="D134" s="54"/>
      <c r="E134" s="54"/>
      <c r="F134" s="54"/>
      <c r="G134" s="54"/>
      <c r="H134" s="54"/>
      <c r="I134" s="54"/>
      <c r="J134" s="54"/>
      <c r="K134" s="54"/>
      <c r="L134" s="54"/>
      <c r="M134" s="54"/>
      <c r="N134" s="54"/>
      <c r="O134" s="54"/>
      <c r="P134" s="54"/>
      <c r="Q134" s="54"/>
      <c r="R134" s="54"/>
      <c r="S134" s="54"/>
      <c r="T134" s="54"/>
      <c r="U134" s="54"/>
      <c r="V134" s="54"/>
    </row>
    <row r="135" spans="1:22">
      <c r="A135" s="54"/>
      <c r="B135" s="54"/>
      <c r="C135" s="54"/>
      <c r="D135" s="54"/>
      <c r="E135" s="54"/>
      <c r="F135" s="54"/>
      <c r="G135" s="54"/>
      <c r="H135" s="54"/>
      <c r="I135" s="54"/>
      <c r="J135" s="54"/>
      <c r="K135" s="54"/>
      <c r="L135" s="54"/>
      <c r="M135" s="54"/>
      <c r="N135" s="54"/>
      <c r="O135" s="54"/>
      <c r="P135" s="54"/>
      <c r="Q135" s="54"/>
      <c r="R135" s="54"/>
      <c r="S135" s="54"/>
      <c r="T135" s="54"/>
      <c r="U135" s="54"/>
      <c r="V135" s="54"/>
    </row>
    <row r="136" spans="1:22">
      <c r="A136" s="54"/>
      <c r="B136" s="54"/>
      <c r="C136" s="54"/>
      <c r="D136" s="54"/>
      <c r="E136" s="54"/>
      <c r="F136" s="54"/>
      <c r="G136" s="54"/>
      <c r="H136" s="54"/>
      <c r="I136" s="54"/>
      <c r="J136" s="54"/>
      <c r="K136" s="54"/>
      <c r="L136" s="54"/>
      <c r="M136" s="54"/>
      <c r="N136" s="54"/>
      <c r="O136" s="54"/>
      <c r="P136" s="54"/>
      <c r="Q136" s="54"/>
      <c r="R136" s="54"/>
      <c r="S136" s="54"/>
      <c r="T136" s="54"/>
      <c r="U136" s="54"/>
      <c r="V136" s="54"/>
    </row>
    <row r="137" spans="1:22">
      <c r="A137" s="54"/>
      <c r="B137" s="54"/>
      <c r="C137" s="54"/>
      <c r="D137" s="54"/>
      <c r="E137" s="54"/>
      <c r="F137" s="54"/>
      <c r="G137" s="54"/>
      <c r="H137" s="54"/>
      <c r="I137" s="54"/>
      <c r="J137" s="54"/>
      <c r="K137" s="54"/>
      <c r="L137" s="54"/>
      <c r="M137" s="54"/>
      <c r="N137" s="54"/>
      <c r="O137" s="54"/>
      <c r="P137" s="54"/>
      <c r="Q137" s="54"/>
      <c r="R137" s="54"/>
      <c r="S137" s="54"/>
      <c r="T137" s="54"/>
      <c r="U137" s="54"/>
      <c r="V137" s="54"/>
    </row>
    <row r="138" spans="1:22">
      <c r="A138" s="54"/>
      <c r="B138" s="54"/>
      <c r="C138" s="54"/>
      <c r="D138" s="54"/>
      <c r="E138" s="54"/>
      <c r="F138" s="54"/>
      <c r="G138" s="54"/>
      <c r="H138" s="54"/>
      <c r="I138" s="54"/>
      <c r="J138" s="54"/>
      <c r="K138" s="54"/>
      <c r="L138" s="54"/>
      <c r="M138" s="54"/>
      <c r="N138" s="54"/>
      <c r="O138" s="54"/>
      <c r="P138" s="54"/>
      <c r="Q138" s="54"/>
      <c r="R138" s="54"/>
      <c r="S138" s="54"/>
      <c r="T138" s="54"/>
      <c r="U138" s="54"/>
      <c r="V138" s="54"/>
    </row>
    <row r="139" spans="1:22">
      <c r="A139" s="54"/>
      <c r="B139" s="54"/>
      <c r="C139" s="54"/>
      <c r="D139" s="54"/>
      <c r="E139" s="54"/>
      <c r="F139" s="54"/>
      <c r="G139" s="54"/>
      <c r="H139" s="54"/>
      <c r="I139" s="54"/>
      <c r="J139" s="54"/>
      <c r="K139" s="54"/>
      <c r="L139" s="54"/>
      <c r="M139" s="54"/>
      <c r="N139" s="54"/>
      <c r="O139" s="54"/>
      <c r="P139" s="54"/>
      <c r="Q139" s="54"/>
      <c r="R139" s="54"/>
      <c r="S139" s="54"/>
      <c r="T139" s="54"/>
      <c r="U139" s="54"/>
      <c r="V139" s="54"/>
    </row>
    <row r="140" spans="1:22">
      <c r="A140" s="54"/>
      <c r="B140" s="54"/>
      <c r="C140" s="54"/>
      <c r="D140" s="54"/>
      <c r="E140" s="54"/>
      <c r="F140" s="54"/>
      <c r="G140" s="54"/>
      <c r="H140" s="54"/>
      <c r="I140" s="54"/>
      <c r="J140" s="54"/>
      <c r="K140" s="54"/>
      <c r="L140" s="54"/>
      <c r="M140" s="54"/>
      <c r="N140" s="54"/>
      <c r="O140" s="54"/>
      <c r="P140" s="54"/>
      <c r="Q140" s="54"/>
      <c r="R140" s="54"/>
      <c r="S140" s="54"/>
      <c r="T140" s="54"/>
      <c r="U140" s="54"/>
      <c r="V140" s="54"/>
    </row>
    <row r="141" spans="1:22">
      <c r="A141" s="54"/>
      <c r="B141" s="54"/>
      <c r="C141" s="54"/>
      <c r="D141" s="54"/>
      <c r="E141" s="54"/>
      <c r="F141" s="54"/>
      <c r="G141" s="54"/>
      <c r="H141" s="54"/>
      <c r="I141" s="54"/>
      <c r="J141" s="54"/>
      <c r="K141" s="54"/>
      <c r="L141" s="54"/>
      <c r="M141" s="54"/>
      <c r="N141" s="54"/>
      <c r="O141" s="54"/>
      <c r="P141" s="54"/>
      <c r="Q141" s="54"/>
      <c r="R141" s="54"/>
      <c r="S141" s="54"/>
      <c r="T141" s="54"/>
      <c r="U141" s="54"/>
      <c r="V141" s="54"/>
    </row>
    <row r="142" spans="1:22">
      <c r="A142" s="54"/>
      <c r="B142" s="54"/>
      <c r="C142" s="54"/>
      <c r="D142" s="54"/>
      <c r="E142" s="54"/>
      <c r="F142" s="54"/>
      <c r="G142" s="54"/>
      <c r="H142" s="54"/>
      <c r="I142" s="54"/>
      <c r="J142" s="54"/>
      <c r="K142" s="54"/>
      <c r="L142" s="54"/>
      <c r="M142" s="54"/>
      <c r="N142" s="54"/>
      <c r="O142" s="54"/>
      <c r="P142" s="54"/>
      <c r="Q142" s="54"/>
      <c r="R142" s="54"/>
      <c r="S142" s="54"/>
      <c r="T142" s="54"/>
      <c r="U142" s="54"/>
      <c r="V142" s="54"/>
    </row>
    <row r="143" spans="1:22">
      <c r="A143" s="54"/>
      <c r="B143" s="54"/>
      <c r="C143" s="54"/>
      <c r="D143" s="54"/>
      <c r="E143" s="54"/>
      <c r="F143" s="54"/>
      <c r="G143" s="54"/>
      <c r="H143" s="54"/>
      <c r="I143" s="54"/>
      <c r="J143" s="54"/>
      <c r="K143" s="54"/>
      <c r="L143" s="54"/>
      <c r="M143" s="54"/>
      <c r="N143" s="54"/>
      <c r="O143" s="54"/>
      <c r="P143" s="54"/>
      <c r="Q143" s="54"/>
      <c r="R143" s="54"/>
      <c r="S143" s="54"/>
      <c r="T143" s="54"/>
      <c r="U143" s="54"/>
      <c r="V143" s="54"/>
    </row>
    <row r="144" spans="1:22">
      <c r="A144" s="54"/>
      <c r="B144" s="54"/>
      <c r="C144" s="54"/>
      <c r="D144" s="54"/>
      <c r="E144" s="54"/>
      <c r="F144" s="54"/>
      <c r="G144" s="54"/>
      <c r="H144" s="54"/>
      <c r="I144" s="54"/>
      <c r="J144" s="54"/>
      <c r="K144" s="54"/>
      <c r="L144" s="54"/>
      <c r="M144" s="54"/>
      <c r="N144" s="54"/>
      <c r="O144" s="54"/>
      <c r="P144" s="54"/>
      <c r="Q144" s="54"/>
      <c r="R144" s="54"/>
      <c r="S144" s="54"/>
      <c r="T144" s="54"/>
      <c r="U144" s="54"/>
      <c r="V144" s="54"/>
    </row>
    <row r="145" spans="1:22">
      <c r="A145" s="54"/>
      <c r="B145" s="54"/>
      <c r="C145" s="54"/>
      <c r="D145" s="54"/>
      <c r="E145" s="54"/>
      <c r="F145" s="54"/>
      <c r="G145" s="54"/>
      <c r="H145" s="54"/>
      <c r="I145" s="54"/>
      <c r="J145" s="54"/>
      <c r="K145" s="54"/>
      <c r="L145" s="54"/>
      <c r="M145" s="54"/>
      <c r="N145" s="54"/>
      <c r="O145" s="54"/>
      <c r="P145" s="54"/>
      <c r="Q145" s="54"/>
      <c r="R145" s="54"/>
      <c r="S145" s="54"/>
      <c r="T145" s="54"/>
      <c r="U145" s="54"/>
      <c r="V145" s="54"/>
    </row>
    <row r="146" spans="1:22">
      <c r="A146" s="54"/>
      <c r="B146" s="54"/>
      <c r="C146" s="54"/>
      <c r="D146" s="54"/>
      <c r="E146" s="54"/>
      <c r="F146" s="54"/>
      <c r="G146" s="54"/>
      <c r="H146" s="54"/>
      <c r="I146" s="54"/>
      <c r="J146" s="54"/>
      <c r="K146" s="54"/>
      <c r="L146" s="54"/>
      <c r="M146" s="54"/>
      <c r="N146" s="54"/>
      <c r="O146" s="54"/>
      <c r="P146" s="54"/>
      <c r="Q146" s="54"/>
      <c r="R146" s="54"/>
      <c r="S146" s="54"/>
      <c r="T146" s="54"/>
      <c r="U146" s="54"/>
      <c r="V146" s="54"/>
    </row>
    <row r="147" spans="1:22">
      <c r="A147" s="54"/>
      <c r="B147" s="54"/>
      <c r="C147" s="54"/>
      <c r="D147" s="54"/>
      <c r="E147" s="54"/>
      <c r="F147" s="54"/>
      <c r="G147" s="54"/>
      <c r="H147" s="54"/>
      <c r="I147" s="54"/>
      <c r="J147" s="54"/>
      <c r="K147" s="54"/>
      <c r="L147" s="54"/>
      <c r="M147" s="54"/>
      <c r="N147" s="54"/>
      <c r="O147" s="54"/>
      <c r="P147" s="54"/>
      <c r="Q147" s="54"/>
      <c r="R147" s="54"/>
      <c r="S147" s="54"/>
      <c r="T147" s="54"/>
      <c r="U147" s="54"/>
      <c r="V147" s="54"/>
    </row>
    <row r="148" spans="1:22">
      <c r="A148" s="54"/>
      <c r="B148" s="54"/>
      <c r="C148" s="54"/>
      <c r="D148" s="54"/>
      <c r="E148" s="54"/>
      <c r="F148" s="54"/>
      <c r="G148" s="54"/>
      <c r="H148" s="54"/>
      <c r="I148" s="54"/>
      <c r="J148" s="54"/>
      <c r="K148" s="54"/>
      <c r="L148" s="54"/>
      <c r="M148" s="54"/>
      <c r="N148" s="54"/>
      <c r="O148" s="54"/>
      <c r="P148" s="54"/>
      <c r="Q148" s="54"/>
      <c r="R148" s="54"/>
      <c r="S148" s="54"/>
      <c r="T148" s="54"/>
      <c r="U148" s="54"/>
      <c r="V148" s="54"/>
    </row>
    <row r="149" spans="1:22">
      <c r="A149" s="54"/>
      <c r="B149" s="54"/>
      <c r="C149" s="54"/>
      <c r="D149" s="54"/>
      <c r="E149" s="54"/>
      <c r="F149" s="54"/>
      <c r="G149" s="54"/>
      <c r="H149" s="54"/>
      <c r="I149" s="54"/>
      <c r="J149" s="54"/>
      <c r="K149" s="54"/>
      <c r="L149" s="54"/>
      <c r="M149" s="54"/>
      <c r="N149" s="54"/>
      <c r="O149" s="54"/>
      <c r="P149" s="54"/>
      <c r="Q149" s="54"/>
      <c r="R149" s="54"/>
      <c r="S149" s="54"/>
      <c r="T149" s="54"/>
      <c r="U149" s="54"/>
      <c r="V149" s="54"/>
    </row>
    <row r="150" spans="1:22">
      <c r="A150" s="54"/>
      <c r="B150" s="54"/>
      <c r="C150" s="54"/>
      <c r="D150" s="54"/>
      <c r="E150" s="54"/>
      <c r="F150" s="54"/>
      <c r="G150" s="54"/>
      <c r="H150" s="54"/>
      <c r="I150" s="54"/>
      <c r="J150" s="54"/>
      <c r="K150" s="54"/>
      <c r="L150" s="54"/>
      <c r="M150" s="54"/>
      <c r="N150" s="54"/>
      <c r="O150" s="54"/>
      <c r="P150" s="54"/>
      <c r="Q150" s="54"/>
      <c r="R150" s="54"/>
      <c r="S150" s="54"/>
      <c r="T150" s="54"/>
      <c r="U150" s="54"/>
      <c r="V150" s="54"/>
    </row>
    <row r="151" spans="1:22">
      <c r="A151" s="54"/>
      <c r="B151" s="54"/>
      <c r="C151" s="54"/>
      <c r="D151" s="54"/>
      <c r="E151" s="54"/>
      <c r="F151" s="54"/>
      <c r="G151" s="54"/>
      <c r="H151" s="54"/>
      <c r="I151" s="54"/>
      <c r="J151" s="54"/>
      <c r="K151" s="54"/>
      <c r="L151" s="54"/>
      <c r="M151" s="54"/>
      <c r="N151" s="54"/>
      <c r="O151" s="54"/>
      <c r="P151" s="54"/>
      <c r="Q151" s="54"/>
      <c r="R151" s="54"/>
      <c r="S151" s="54"/>
      <c r="T151" s="54"/>
      <c r="U151" s="54"/>
      <c r="V151" s="54"/>
    </row>
    <row r="152" spans="1:22">
      <c r="A152" s="54"/>
      <c r="B152" s="54"/>
      <c r="C152" s="54"/>
      <c r="D152" s="54"/>
      <c r="E152" s="54"/>
      <c r="F152" s="54"/>
      <c r="G152" s="54"/>
      <c r="H152" s="54"/>
      <c r="I152" s="54"/>
      <c r="J152" s="54"/>
      <c r="K152" s="54"/>
      <c r="L152" s="54"/>
      <c r="M152" s="54"/>
      <c r="N152" s="54"/>
      <c r="O152" s="54"/>
      <c r="P152" s="54"/>
      <c r="Q152" s="54"/>
      <c r="R152" s="54"/>
      <c r="S152" s="54"/>
      <c r="T152" s="54"/>
      <c r="U152" s="54"/>
      <c r="V152" s="54"/>
    </row>
    <row r="153" spans="1:22">
      <c r="A153" s="54"/>
      <c r="B153" s="54"/>
      <c r="C153" s="54"/>
      <c r="D153" s="54"/>
      <c r="E153" s="54"/>
      <c r="F153" s="54"/>
      <c r="G153" s="54"/>
      <c r="H153" s="54"/>
      <c r="I153" s="54"/>
      <c r="J153" s="54"/>
      <c r="K153" s="54"/>
      <c r="L153" s="54"/>
      <c r="M153" s="54"/>
      <c r="N153" s="54"/>
      <c r="O153" s="54"/>
      <c r="P153" s="54"/>
      <c r="Q153" s="54"/>
      <c r="R153" s="54"/>
      <c r="S153" s="54"/>
      <c r="T153" s="54"/>
      <c r="U153" s="54"/>
      <c r="V153" s="54"/>
    </row>
    <row r="154" spans="1:22">
      <c r="A154" s="54"/>
      <c r="B154" s="54"/>
      <c r="C154" s="54"/>
      <c r="D154" s="54"/>
      <c r="E154" s="54"/>
      <c r="F154" s="54"/>
      <c r="G154" s="54"/>
      <c r="H154" s="54"/>
      <c r="I154" s="54"/>
      <c r="J154" s="54"/>
      <c r="K154" s="54"/>
      <c r="L154" s="54"/>
      <c r="M154" s="54"/>
      <c r="N154" s="54"/>
      <c r="O154" s="54"/>
      <c r="P154" s="54"/>
      <c r="Q154" s="54"/>
      <c r="R154" s="54"/>
      <c r="S154" s="54"/>
      <c r="T154" s="54"/>
      <c r="U154" s="54"/>
      <c r="V154" s="54"/>
    </row>
    <row r="155" spans="1:22">
      <c r="A155" s="54"/>
      <c r="B155" s="54"/>
      <c r="C155" s="54"/>
      <c r="D155" s="54"/>
      <c r="E155" s="54"/>
      <c r="F155" s="54"/>
      <c r="G155" s="54"/>
      <c r="H155" s="54"/>
      <c r="I155" s="54"/>
      <c r="J155" s="54"/>
      <c r="K155" s="54"/>
      <c r="L155" s="54"/>
      <c r="M155" s="54"/>
      <c r="N155" s="54"/>
      <c r="O155" s="54"/>
      <c r="P155" s="54"/>
      <c r="Q155" s="54"/>
      <c r="R155" s="54"/>
      <c r="S155" s="54"/>
      <c r="T155" s="54"/>
      <c r="U155" s="54"/>
      <c r="V155" s="54"/>
    </row>
    <row r="156" spans="1:22">
      <c r="A156" s="54"/>
      <c r="B156" s="54"/>
      <c r="C156" s="54"/>
      <c r="D156" s="54"/>
      <c r="E156" s="54"/>
      <c r="F156" s="54"/>
      <c r="G156" s="54"/>
      <c r="H156" s="54"/>
      <c r="I156" s="54"/>
      <c r="J156" s="54"/>
      <c r="K156" s="54"/>
      <c r="L156" s="54"/>
      <c r="M156" s="54"/>
      <c r="N156" s="54"/>
      <c r="O156" s="54"/>
      <c r="P156" s="54"/>
      <c r="Q156" s="54"/>
      <c r="R156" s="54"/>
      <c r="S156" s="54"/>
      <c r="T156" s="54"/>
      <c r="U156" s="54"/>
      <c r="V156" s="54"/>
    </row>
    <row r="157" spans="1:22">
      <c r="A157" s="54"/>
      <c r="B157" s="54"/>
      <c r="C157" s="54"/>
      <c r="D157" s="54"/>
      <c r="E157" s="54"/>
      <c r="F157" s="54"/>
      <c r="G157" s="54"/>
      <c r="H157" s="54"/>
      <c r="I157" s="54"/>
      <c r="J157" s="54"/>
      <c r="K157" s="54"/>
      <c r="L157" s="54"/>
      <c r="M157" s="54"/>
      <c r="N157" s="54"/>
      <c r="O157" s="54"/>
      <c r="P157" s="54"/>
      <c r="Q157" s="54"/>
      <c r="R157" s="54"/>
      <c r="S157" s="54"/>
      <c r="T157" s="54"/>
      <c r="U157" s="54"/>
      <c r="V157" s="54"/>
    </row>
    <row r="158" spans="1:22">
      <c r="A158" s="54"/>
      <c r="B158" s="54"/>
      <c r="C158" s="54"/>
      <c r="D158" s="54"/>
      <c r="E158" s="54"/>
      <c r="F158" s="54"/>
      <c r="G158" s="54"/>
      <c r="H158" s="54"/>
      <c r="I158" s="54"/>
      <c r="J158" s="54"/>
      <c r="K158" s="54"/>
      <c r="L158" s="54"/>
      <c r="M158" s="54"/>
      <c r="N158" s="54"/>
      <c r="O158" s="54"/>
      <c r="P158" s="54"/>
      <c r="Q158" s="54"/>
      <c r="R158" s="54"/>
      <c r="S158" s="54"/>
      <c r="T158" s="54"/>
      <c r="U158" s="54"/>
      <c r="V158" s="54"/>
    </row>
    <row r="159" spans="1:22">
      <c r="A159" s="54"/>
      <c r="B159" s="54"/>
      <c r="C159" s="54"/>
      <c r="D159" s="54"/>
      <c r="E159" s="54"/>
      <c r="F159" s="54"/>
      <c r="G159" s="54"/>
      <c r="H159" s="54"/>
      <c r="I159" s="54"/>
      <c r="J159" s="54"/>
      <c r="K159" s="54"/>
      <c r="L159" s="54"/>
      <c r="M159" s="54"/>
      <c r="N159" s="54"/>
      <c r="O159" s="54"/>
      <c r="P159" s="54"/>
      <c r="Q159" s="54"/>
      <c r="R159" s="54"/>
      <c r="S159" s="54"/>
      <c r="T159" s="54"/>
      <c r="U159" s="54"/>
      <c r="V159" s="54"/>
    </row>
    <row r="160" spans="1:22">
      <c r="A160" s="54"/>
      <c r="B160" s="54"/>
      <c r="C160" s="54"/>
      <c r="D160" s="54"/>
      <c r="E160" s="54"/>
      <c r="F160" s="54"/>
      <c r="G160" s="54"/>
      <c r="H160" s="54"/>
      <c r="I160" s="54"/>
      <c r="J160" s="54"/>
      <c r="K160" s="54"/>
      <c r="L160" s="54"/>
      <c r="M160" s="54"/>
      <c r="N160" s="54"/>
      <c r="O160" s="54"/>
      <c r="P160" s="54"/>
      <c r="Q160" s="54"/>
      <c r="R160" s="54"/>
      <c r="S160" s="54"/>
      <c r="T160" s="54"/>
      <c r="U160" s="54"/>
      <c r="V160" s="54"/>
    </row>
    <row r="161" spans="1:22">
      <c r="A161" s="54"/>
      <c r="B161" s="54"/>
      <c r="C161" s="54"/>
      <c r="D161" s="54"/>
      <c r="E161" s="54"/>
      <c r="F161" s="54"/>
      <c r="G161" s="54"/>
      <c r="H161" s="54"/>
      <c r="I161" s="54"/>
      <c r="J161" s="54"/>
      <c r="K161" s="54"/>
      <c r="L161" s="54"/>
      <c r="M161" s="54"/>
      <c r="N161" s="54"/>
      <c r="O161" s="54"/>
      <c r="P161" s="54"/>
      <c r="Q161" s="54"/>
      <c r="R161" s="54"/>
      <c r="S161" s="54"/>
      <c r="T161" s="54"/>
      <c r="U161" s="54"/>
      <c r="V161" s="54"/>
    </row>
    <row r="162" spans="1:22">
      <c r="A162" s="54"/>
      <c r="B162" s="54"/>
      <c r="C162" s="54"/>
      <c r="D162" s="54"/>
      <c r="E162" s="54"/>
      <c r="F162" s="54"/>
      <c r="G162" s="54"/>
      <c r="H162" s="54"/>
      <c r="I162" s="54"/>
      <c r="J162" s="54"/>
      <c r="K162" s="54"/>
      <c r="L162" s="54"/>
      <c r="M162" s="54"/>
      <c r="N162" s="54"/>
      <c r="O162" s="54"/>
      <c r="P162" s="54"/>
      <c r="Q162" s="54"/>
      <c r="R162" s="54"/>
      <c r="S162" s="54"/>
      <c r="T162" s="54"/>
      <c r="U162" s="54"/>
      <c r="V162" s="54"/>
    </row>
    <row r="163" spans="1:22">
      <c r="A163" s="54"/>
      <c r="B163" s="54"/>
      <c r="C163" s="54"/>
      <c r="D163" s="54"/>
      <c r="E163" s="54"/>
      <c r="F163" s="54"/>
      <c r="G163" s="54"/>
      <c r="H163" s="54"/>
      <c r="I163" s="54"/>
      <c r="J163" s="54"/>
      <c r="K163" s="54"/>
      <c r="L163" s="54"/>
      <c r="M163" s="54"/>
      <c r="N163" s="54"/>
      <c r="O163" s="54"/>
      <c r="P163" s="54"/>
      <c r="Q163" s="54"/>
      <c r="R163" s="54"/>
      <c r="S163" s="54"/>
      <c r="T163" s="54"/>
      <c r="U163" s="54"/>
      <c r="V163" s="54"/>
    </row>
    <row r="164" spans="1:22">
      <c r="A164" s="54"/>
      <c r="B164" s="54"/>
      <c r="C164" s="54"/>
      <c r="D164" s="54"/>
      <c r="E164" s="54"/>
      <c r="F164" s="54"/>
      <c r="G164" s="54"/>
      <c r="H164" s="54"/>
      <c r="I164" s="54"/>
      <c r="J164" s="54"/>
      <c r="K164" s="54"/>
      <c r="L164" s="54"/>
      <c r="M164" s="54"/>
      <c r="N164" s="54"/>
      <c r="O164" s="54"/>
      <c r="P164" s="54"/>
      <c r="Q164" s="54"/>
      <c r="R164" s="54"/>
      <c r="S164" s="54"/>
      <c r="T164" s="54"/>
      <c r="U164" s="54"/>
      <c r="V164" s="54"/>
    </row>
    <row r="165" spans="1:22">
      <c r="A165" s="54"/>
      <c r="B165" s="54"/>
      <c r="C165" s="54"/>
      <c r="D165" s="54"/>
      <c r="E165" s="54"/>
      <c r="F165" s="54"/>
      <c r="G165" s="54"/>
      <c r="H165" s="54"/>
      <c r="I165" s="54"/>
      <c r="J165" s="54"/>
      <c r="K165" s="54"/>
      <c r="L165" s="54"/>
      <c r="M165" s="54"/>
      <c r="N165" s="54"/>
      <c r="O165" s="54"/>
      <c r="P165" s="54"/>
      <c r="Q165" s="54"/>
      <c r="R165" s="54"/>
      <c r="S165" s="54"/>
      <c r="T165" s="54"/>
      <c r="U165" s="54"/>
      <c r="V165" s="54"/>
    </row>
    <row r="166" spans="1:22">
      <c r="A166" s="54"/>
      <c r="B166" s="54"/>
      <c r="C166" s="54"/>
      <c r="D166" s="54"/>
      <c r="E166" s="54"/>
      <c r="F166" s="54"/>
      <c r="G166" s="54"/>
      <c r="H166" s="54"/>
      <c r="I166" s="54"/>
      <c r="J166" s="54"/>
      <c r="K166" s="54"/>
      <c r="L166" s="54"/>
      <c r="M166" s="54"/>
      <c r="N166" s="54"/>
      <c r="O166" s="54"/>
      <c r="P166" s="54"/>
      <c r="Q166" s="54"/>
      <c r="R166" s="54"/>
      <c r="S166" s="54"/>
      <c r="T166" s="54"/>
      <c r="U166" s="54"/>
      <c r="V166" s="54"/>
    </row>
    <row r="167" spans="1:22">
      <c r="A167" s="54"/>
      <c r="B167" s="54"/>
      <c r="C167" s="54"/>
      <c r="D167" s="54"/>
      <c r="E167" s="54"/>
      <c r="F167" s="54"/>
      <c r="G167" s="54"/>
      <c r="H167" s="54"/>
      <c r="I167" s="54"/>
      <c r="J167" s="54"/>
      <c r="K167" s="54"/>
      <c r="L167" s="54"/>
      <c r="M167" s="54"/>
      <c r="N167" s="54"/>
      <c r="O167" s="54"/>
      <c r="P167" s="54"/>
      <c r="Q167" s="54"/>
      <c r="R167" s="54"/>
      <c r="S167" s="54"/>
      <c r="T167" s="54"/>
      <c r="U167" s="54"/>
      <c r="V167" s="54"/>
    </row>
    <row r="168" spans="1:22">
      <c r="A168" s="54"/>
      <c r="B168" s="54"/>
      <c r="C168" s="54"/>
      <c r="D168" s="54"/>
      <c r="E168" s="54"/>
      <c r="F168" s="54"/>
      <c r="G168" s="54"/>
      <c r="H168" s="54"/>
      <c r="I168" s="54"/>
      <c r="J168" s="54"/>
      <c r="K168" s="54"/>
      <c r="L168" s="54"/>
      <c r="M168" s="54"/>
      <c r="N168" s="54"/>
      <c r="O168" s="54"/>
      <c r="P168" s="54"/>
      <c r="Q168" s="54"/>
      <c r="R168" s="54"/>
      <c r="S168" s="54"/>
      <c r="T168" s="54"/>
      <c r="U168" s="54"/>
      <c r="V168" s="54"/>
    </row>
    <row r="169" spans="1:22">
      <c r="A169" s="54"/>
      <c r="B169" s="54"/>
      <c r="C169" s="54"/>
      <c r="D169" s="54"/>
      <c r="E169" s="54"/>
      <c r="F169" s="54"/>
      <c r="G169" s="54"/>
      <c r="H169" s="54"/>
      <c r="I169" s="54"/>
      <c r="J169" s="54"/>
      <c r="K169" s="54"/>
      <c r="L169" s="54"/>
      <c r="M169" s="54"/>
      <c r="N169" s="54"/>
      <c r="O169" s="54"/>
      <c r="P169" s="54"/>
      <c r="Q169" s="54"/>
      <c r="R169" s="54"/>
      <c r="S169" s="54"/>
      <c r="T169" s="54"/>
      <c r="U169" s="54"/>
      <c r="V169" s="54"/>
    </row>
    <row r="170" spans="1:22">
      <c r="A170" s="54"/>
      <c r="B170" s="54"/>
      <c r="C170" s="54"/>
      <c r="D170" s="54"/>
      <c r="E170" s="54"/>
      <c r="F170" s="54"/>
      <c r="G170" s="54"/>
      <c r="H170" s="54"/>
      <c r="I170" s="54"/>
      <c r="J170" s="54"/>
      <c r="K170" s="54"/>
      <c r="L170" s="54"/>
      <c r="M170" s="54"/>
      <c r="N170" s="54"/>
      <c r="O170" s="54"/>
      <c r="P170" s="54"/>
      <c r="Q170" s="54"/>
      <c r="R170" s="54"/>
      <c r="S170" s="54"/>
      <c r="T170" s="54"/>
      <c r="U170" s="54"/>
      <c r="V170" s="54"/>
    </row>
    <row r="171" spans="1:22">
      <c r="A171" s="54"/>
      <c r="B171" s="54"/>
      <c r="C171" s="54"/>
      <c r="D171" s="54"/>
      <c r="E171" s="54"/>
      <c r="F171" s="54"/>
      <c r="G171" s="54"/>
      <c r="H171" s="54"/>
      <c r="I171" s="54"/>
      <c r="J171" s="54"/>
      <c r="K171" s="54"/>
      <c r="L171" s="54"/>
      <c r="M171" s="54"/>
      <c r="N171" s="54"/>
      <c r="O171" s="54"/>
      <c r="P171" s="54"/>
      <c r="Q171" s="54"/>
      <c r="R171" s="54"/>
      <c r="S171" s="54"/>
      <c r="T171" s="54"/>
      <c r="U171" s="54"/>
      <c r="V171" s="54"/>
    </row>
    <row r="172" spans="1:22">
      <c r="A172" s="54"/>
      <c r="B172" s="54"/>
      <c r="C172" s="54"/>
      <c r="D172" s="54"/>
      <c r="E172" s="54"/>
      <c r="F172" s="54"/>
      <c r="G172" s="54"/>
      <c r="H172" s="54"/>
      <c r="I172" s="54"/>
      <c r="J172" s="54"/>
      <c r="K172" s="54"/>
      <c r="L172" s="54"/>
      <c r="M172" s="54"/>
      <c r="N172" s="54"/>
      <c r="O172" s="54"/>
      <c r="P172" s="54"/>
      <c r="Q172" s="54"/>
      <c r="R172" s="54"/>
      <c r="S172" s="54"/>
      <c r="T172" s="54"/>
      <c r="U172" s="54"/>
      <c r="V172" s="54"/>
    </row>
    <row r="173" spans="1:22">
      <c r="A173" s="54"/>
      <c r="B173" s="54"/>
      <c r="C173" s="54"/>
      <c r="D173" s="54"/>
      <c r="E173" s="54"/>
      <c r="F173" s="54"/>
      <c r="G173" s="54"/>
      <c r="H173" s="54"/>
      <c r="I173" s="54"/>
      <c r="J173" s="54"/>
      <c r="K173" s="54"/>
      <c r="L173" s="54"/>
      <c r="M173" s="54"/>
      <c r="N173" s="54"/>
      <c r="O173" s="54"/>
      <c r="P173" s="54"/>
      <c r="Q173" s="54"/>
      <c r="R173" s="54"/>
      <c r="S173" s="54"/>
      <c r="T173" s="54"/>
      <c r="U173" s="54"/>
      <c r="V173" s="54"/>
    </row>
    <row r="174" spans="1:22">
      <c r="A174" s="54"/>
      <c r="B174" s="54"/>
      <c r="C174" s="54"/>
      <c r="D174" s="54"/>
      <c r="E174" s="54"/>
      <c r="F174" s="54"/>
      <c r="G174" s="54"/>
      <c r="H174" s="54"/>
      <c r="I174" s="54"/>
      <c r="J174" s="54"/>
      <c r="K174" s="54"/>
      <c r="L174" s="54"/>
      <c r="M174" s="54"/>
      <c r="N174" s="54"/>
      <c r="O174" s="54"/>
      <c r="P174" s="54"/>
      <c r="Q174" s="54"/>
      <c r="R174" s="54"/>
      <c r="S174" s="54"/>
      <c r="T174" s="54"/>
      <c r="U174" s="54"/>
      <c r="V174" s="54"/>
    </row>
    <row r="175" spans="1:22">
      <c r="A175" s="54"/>
      <c r="B175" s="54"/>
      <c r="C175" s="54"/>
      <c r="D175" s="54"/>
      <c r="E175" s="54"/>
      <c r="F175" s="54"/>
      <c r="G175" s="54"/>
      <c r="H175" s="54"/>
      <c r="I175" s="54"/>
      <c r="J175" s="54"/>
      <c r="K175" s="54"/>
      <c r="L175" s="54"/>
      <c r="M175" s="54"/>
      <c r="N175" s="54"/>
      <c r="O175" s="54"/>
      <c r="P175" s="54"/>
      <c r="Q175" s="54"/>
      <c r="R175" s="54"/>
      <c r="S175" s="54"/>
      <c r="T175" s="54"/>
      <c r="U175" s="54"/>
      <c r="V175" s="54"/>
    </row>
    <row r="176" spans="1:22">
      <c r="A176" s="54"/>
      <c r="B176" s="54"/>
      <c r="C176" s="54"/>
      <c r="D176" s="54"/>
      <c r="E176" s="54"/>
      <c r="F176" s="54"/>
      <c r="G176" s="54"/>
      <c r="H176" s="54"/>
      <c r="I176" s="54"/>
      <c r="J176" s="54"/>
      <c r="K176" s="54"/>
      <c r="L176" s="54"/>
      <c r="M176" s="54"/>
      <c r="N176" s="54"/>
      <c r="O176" s="54"/>
      <c r="P176" s="54"/>
      <c r="Q176" s="54"/>
      <c r="R176" s="54"/>
      <c r="S176" s="54"/>
      <c r="T176" s="54"/>
      <c r="U176" s="54"/>
      <c r="V176" s="54"/>
    </row>
    <row r="177" spans="1:22">
      <c r="A177" s="54"/>
      <c r="B177" s="54"/>
      <c r="C177" s="54"/>
      <c r="D177" s="54"/>
      <c r="E177" s="54"/>
      <c r="F177" s="54"/>
      <c r="G177" s="54"/>
      <c r="H177" s="54"/>
      <c r="I177" s="54"/>
      <c r="J177" s="54"/>
      <c r="K177" s="54"/>
      <c r="L177" s="54"/>
      <c r="M177" s="54"/>
      <c r="N177" s="54"/>
      <c r="O177" s="54"/>
      <c r="P177" s="54"/>
      <c r="Q177" s="54"/>
      <c r="R177" s="54"/>
      <c r="S177" s="54"/>
      <c r="T177" s="54"/>
      <c r="U177" s="54"/>
      <c r="V177" s="54"/>
    </row>
    <row r="178" spans="1:22">
      <c r="A178" s="54"/>
      <c r="B178" s="54"/>
      <c r="C178" s="54"/>
      <c r="D178" s="54"/>
      <c r="E178" s="54"/>
      <c r="F178" s="54"/>
      <c r="G178" s="54"/>
      <c r="H178" s="54"/>
      <c r="I178" s="54"/>
      <c r="J178" s="54"/>
      <c r="K178" s="54"/>
      <c r="L178" s="54"/>
      <c r="M178" s="54"/>
      <c r="N178" s="54"/>
      <c r="O178" s="54"/>
      <c r="P178" s="54"/>
      <c r="Q178" s="54"/>
      <c r="R178" s="54"/>
      <c r="S178" s="54"/>
      <c r="T178" s="54"/>
      <c r="U178" s="54"/>
      <c r="V178" s="54"/>
    </row>
    <row r="179" spans="1:22">
      <c r="A179" s="54"/>
      <c r="B179" s="54"/>
      <c r="C179" s="54"/>
      <c r="D179" s="54"/>
      <c r="E179" s="54"/>
      <c r="F179" s="54"/>
      <c r="G179" s="54"/>
      <c r="H179" s="54"/>
      <c r="I179" s="54"/>
      <c r="J179" s="54"/>
      <c r="K179" s="54"/>
      <c r="L179" s="54"/>
      <c r="M179" s="54"/>
      <c r="N179" s="54"/>
      <c r="O179" s="54"/>
      <c r="P179" s="54"/>
      <c r="Q179" s="54"/>
      <c r="R179" s="54"/>
      <c r="S179" s="54"/>
      <c r="T179" s="54"/>
      <c r="U179" s="54"/>
      <c r="V179" s="54"/>
    </row>
    <row r="180" spans="1:22">
      <c r="A180" s="54"/>
      <c r="B180" s="54"/>
      <c r="C180" s="54"/>
      <c r="D180" s="54"/>
      <c r="E180" s="54"/>
      <c r="F180" s="54"/>
      <c r="G180" s="54"/>
      <c r="H180" s="54"/>
      <c r="I180" s="54"/>
      <c r="J180" s="54"/>
      <c r="K180" s="54"/>
      <c r="L180" s="54"/>
      <c r="M180" s="54"/>
      <c r="N180" s="54"/>
      <c r="O180" s="54"/>
      <c r="P180" s="54"/>
      <c r="Q180" s="54"/>
      <c r="R180" s="54"/>
      <c r="S180" s="54"/>
      <c r="T180" s="54"/>
      <c r="U180" s="54"/>
      <c r="V180" s="54"/>
    </row>
    <row r="181" spans="1:22">
      <c r="A181" s="54"/>
      <c r="B181" s="54"/>
      <c r="C181" s="54"/>
      <c r="D181" s="54"/>
      <c r="E181" s="54"/>
      <c r="F181" s="54"/>
      <c r="G181" s="54"/>
      <c r="H181" s="54"/>
      <c r="I181" s="54"/>
      <c r="J181" s="54"/>
      <c r="K181" s="54"/>
      <c r="L181" s="54"/>
      <c r="M181" s="54"/>
      <c r="N181" s="54"/>
      <c r="O181" s="54"/>
      <c r="P181" s="54"/>
      <c r="Q181" s="54"/>
      <c r="R181" s="54"/>
      <c r="S181" s="54"/>
      <c r="T181" s="54"/>
      <c r="U181" s="54"/>
      <c r="V181" s="54"/>
    </row>
    <row r="182" spans="1:22">
      <c r="A182" s="54"/>
      <c r="B182" s="54"/>
      <c r="C182" s="54"/>
      <c r="D182" s="54"/>
      <c r="E182" s="54"/>
      <c r="F182" s="54"/>
      <c r="G182" s="54"/>
      <c r="H182" s="54"/>
      <c r="I182" s="54"/>
      <c r="J182" s="54"/>
      <c r="K182" s="54"/>
      <c r="L182" s="54"/>
      <c r="M182" s="54"/>
      <c r="N182" s="54"/>
      <c r="O182" s="54"/>
      <c r="P182" s="54"/>
      <c r="Q182" s="54"/>
      <c r="R182" s="54"/>
      <c r="S182" s="54"/>
      <c r="T182" s="54"/>
      <c r="U182" s="54"/>
      <c r="V182" s="54"/>
    </row>
    <row r="183" spans="1:22">
      <c r="A183" s="54"/>
      <c r="B183" s="54"/>
      <c r="C183" s="54"/>
      <c r="D183" s="54"/>
      <c r="E183" s="54"/>
      <c r="F183" s="54"/>
      <c r="G183" s="54"/>
      <c r="H183" s="54"/>
      <c r="I183" s="54"/>
      <c r="J183" s="54"/>
      <c r="K183" s="54"/>
      <c r="L183" s="54"/>
      <c r="M183" s="54"/>
      <c r="N183" s="54"/>
      <c r="O183" s="54"/>
      <c r="P183" s="54"/>
      <c r="Q183" s="54"/>
      <c r="R183" s="54"/>
      <c r="S183" s="54"/>
      <c r="T183" s="54"/>
      <c r="U183" s="54"/>
      <c r="V183" s="54"/>
    </row>
    <row r="184" spans="1:22">
      <c r="A184" s="54"/>
      <c r="B184" s="54"/>
      <c r="C184" s="54"/>
      <c r="D184" s="54"/>
      <c r="E184" s="54"/>
      <c r="F184" s="54"/>
      <c r="G184" s="54"/>
      <c r="H184" s="54"/>
      <c r="I184" s="54"/>
      <c r="J184" s="54"/>
      <c r="K184" s="54"/>
      <c r="L184" s="54"/>
      <c r="M184" s="54"/>
      <c r="N184" s="54"/>
      <c r="O184" s="54"/>
      <c r="P184" s="54"/>
      <c r="Q184" s="54"/>
      <c r="R184" s="54"/>
      <c r="S184" s="54"/>
      <c r="T184" s="54"/>
      <c r="U184" s="54"/>
      <c r="V184" s="54"/>
    </row>
    <row r="185" spans="1:22">
      <c r="A185" s="54"/>
      <c r="B185" s="54"/>
      <c r="C185" s="54"/>
      <c r="D185" s="54"/>
      <c r="E185" s="54"/>
      <c r="F185" s="54"/>
      <c r="G185" s="54"/>
      <c r="H185" s="54"/>
      <c r="I185" s="54"/>
      <c r="J185" s="54"/>
      <c r="K185" s="54"/>
      <c r="L185" s="54"/>
      <c r="M185" s="54"/>
      <c r="N185" s="54"/>
      <c r="O185" s="54"/>
      <c r="P185" s="54"/>
      <c r="Q185" s="54"/>
      <c r="R185" s="54"/>
      <c r="S185" s="54"/>
      <c r="T185" s="54"/>
      <c r="U185" s="54"/>
      <c r="V185" s="54"/>
    </row>
    <row r="186" spans="1:22">
      <c r="A186" s="54"/>
      <c r="B186" s="54"/>
      <c r="C186" s="54"/>
      <c r="D186" s="54"/>
      <c r="E186" s="54"/>
      <c r="F186" s="54"/>
      <c r="G186" s="54"/>
      <c r="H186" s="54"/>
      <c r="I186" s="54"/>
      <c r="J186" s="54"/>
      <c r="K186" s="54"/>
      <c r="L186" s="54"/>
      <c r="M186" s="54"/>
      <c r="N186" s="54"/>
      <c r="O186" s="54"/>
      <c r="P186" s="54"/>
      <c r="Q186" s="54"/>
      <c r="R186" s="54"/>
      <c r="S186" s="54"/>
      <c r="T186" s="54"/>
      <c r="U186" s="54"/>
      <c r="V186" s="54"/>
    </row>
    <row r="187" spans="1:22">
      <c r="A187" s="54"/>
      <c r="B187" s="54"/>
      <c r="C187" s="54"/>
      <c r="D187" s="54"/>
      <c r="E187" s="54"/>
      <c r="F187" s="54"/>
      <c r="G187" s="54"/>
      <c r="H187" s="54"/>
      <c r="I187" s="54"/>
      <c r="J187" s="54"/>
      <c r="K187" s="54"/>
      <c r="L187" s="54"/>
      <c r="M187" s="54"/>
      <c r="N187" s="54"/>
      <c r="O187" s="54"/>
      <c r="P187" s="54"/>
      <c r="Q187" s="54"/>
      <c r="R187" s="54"/>
      <c r="S187" s="54"/>
      <c r="T187" s="54"/>
      <c r="U187" s="54"/>
      <c r="V187" s="54"/>
    </row>
    <row r="188" spans="1:22">
      <c r="A188" s="54"/>
      <c r="B188" s="54"/>
      <c r="C188" s="54"/>
      <c r="D188" s="54"/>
      <c r="E188" s="54"/>
      <c r="F188" s="54"/>
      <c r="G188" s="54"/>
      <c r="H188" s="54"/>
      <c r="I188" s="54"/>
      <c r="J188" s="54"/>
      <c r="K188" s="54"/>
      <c r="L188" s="54"/>
      <c r="M188" s="54"/>
      <c r="N188" s="54"/>
      <c r="O188" s="54"/>
      <c r="P188" s="54"/>
      <c r="Q188" s="54"/>
      <c r="R188" s="54"/>
      <c r="S188" s="54"/>
      <c r="T188" s="54"/>
      <c r="U188" s="54"/>
      <c r="V188" s="54"/>
    </row>
    <row r="189" spans="1:22">
      <c r="A189" s="54"/>
      <c r="B189" s="54"/>
      <c r="C189" s="54"/>
      <c r="D189" s="54"/>
      <c r="E189" s="54"/>
      <c r="F189" s="54"/>
      <c r="G189" s="54"/>
      <c r="H189" s="54"/>
      <c r="I189" s="54"/>
      <c r="J189" s="54"/>
      <c r="K189" s="54"/>
      <c r="L189" s="54"/>
      <c r="M189" s="54"/>
      <c r="N189" s="54"/>
      <c r="O189" s="54"/>
      <c r="P189" s="54"/>
      <c r="Q189" s="54"/>
      <c r="R189" s="54"/>
      <c r="S189" s="54"/>
      <c r="T189" s="54"/>
      <c r="U189" s="54"/>
      <c r="V189" s="54"/>
    </row>
    <row r="190" spans="1:22">
      <c r="A190" s="54"/>
      <c r="B190" s="54"/>
      <c r="C190" s="54"/>
      <c r="D190" s="54"/>
      <c r="E190" s="54"/>
      <c r="F190" s="54"/>
      <c r="G190" s="54"/>
      <c r="H190" s="54"/>
      <c r="I190" s="54"/>
      <c r="J190" s="54"/>
      <c r="K190" s="54"/>
      <c r="L190" s="54"/>
      <c r="M190" s="54"/>
      <c r="N190" s="54"/>
      <c r="O190" s="54"/>
      <c r="P190" s="54"/>
      <c r="Q190" s="54"/>
      <c r="R190" s="54"/>
      <c r="S190" s="54"/>
      <c r="T190" s="54"/>
      <c r="U190" s="54"/>
      <c r="V190" s="54"/>
    </row>
    <row r="191" spans="1:22">
      <c r="A191" s="54"/>
      <c r="B191" s="54"/>
      <c r="C191" s="54"/>
      <c r="D191" s="54"/>
      <c r="E191" s="54"/>
      <c r="F191" s="54"/>
      <c r="G191" s="54"/>
      <c r="H191" s="54"/>
      <c r="I191" s="54"/>
      <c r="J191" s="54"/>
      <c r="K191" s="54"/>
      <c r="L191" s="54"/>
      <c r="M191" s="54"/>
      <c r="N191" s="54"/>
      <c r="O191" s="54"/>
      <c r="P191" s="54"/>
      <c r="Q191" s="54"/>
      <c r="R191" s="54"/>
      <c r="S191" s="54"/>
      <c r="T191" s="54"/>
      <c r="U191" s="54"/>
      <c r="V191" s="54"/>
    </row>
    <row r="192" spans="1:22">
      <c r="A192" s="54"/>
      <c r="B192" s="54"/>
      <c r="C192" s="54"/>
      <c r="D192" s="54"/>
      <c r="E192" s="54"/>
      <c r="F192" s="54"/>
      <c r="G192" s="54"/>
      <c r="H192" s="54"/>
      <c r="I192" s="54"/>
      <c r="J192" s="54"/>
      <c r="K192" s="54"/>
      <c r="L192" s="54"/>
      <c r="M192" s="54"/>
      <c r="N192" s="54"/>
      <c r="O192" s="54"/>
      <c r="P192" s="54"/>
      <c r="Q192" s="54"/>
      <c r="R192" s="54"/>
      <c r="S192" s="54"/>
      <c r="T192" s="54"/>
      <c r="U192" s="54"/>
      <c r="V192" s="54"/>
    </row>
    <row r="193" spans="1:22">
      <c r="A193" s="54"/>
      <c r="B193" s="54"/>
      <c r="C193" s="54"/>
      <c r="D193" s="54"/>
      <c r="E193" s="54"/>
      <c r="F193" s="54"/>
      <c r="G193" s="54"/>
      <c r="H193" s="54"/>
      <c r="I193" s="54"/>
      <c r="J193" s="54"/>
      <c r="K193" s="54"/>
      <c r="L193" s="54"/>
      <c r="M193" s="54"/>
      <c r="N193" s="54"/>
      <c r="O193" s="54"/>
      <c r="P193" s="54"/>
      <c r="Q193" s="54"/>
      <c r="R193" s="54"/>
      <c r="S193" s="54"/>
      <c r="T193" s="54"/>
      <c r="U193" s="54"/>
      <c r="V193" s="54"/>
    </row>
    <row r="194" spans="1:22">
      <c r="A194" s="54"/>
      <c r="B194" s="54"/>
      <c r="C194" s="54"/>
      <c r="D194" s="54"/>
      <c r="E194" s="54"/>
      <c r="F194" s="54"/>
      <c r="G194" s="54"/>
      <c r="H194" s="54"/>
      <c r="I194" s="54"/>
      <c r="J194" s="54"/>
      <c r="K194" s="54"/>
      <c r="L194" s="54"/>
      <c r="M194" s="54"/>
      <c r="N194" s="54"/>
      <c r="O194" s="54"/>
      <c r="P194" s="54"/>
      <c r="Q194" s="54"/>
      <c r="R194" s="54"/>
      <c r="S194" s="54"/>
      <c r="T194" s="54"/>
      <c r="U194" s="54"/>
      <c r="V194" s="54"/>
    </row>
    <row r="195" spans="1:22">
      <c r="A195" s="54"/>
      <c r="B195" s="54"/>
      <c r="C195" s="54"/>
      <c r="D195" s="54"/>
      <c r="E195" s="54"/>
      <c r="F195" s="54"/>
      <c r="G195" s="54"/>
      <c r="H195" s="54"/>
      <c r="I195" s="54"/>
      <c r="J195" s="54"/>
      <c r="K195" s="54"/>
      <c r="L195" s="54"/>
      <c r="M195" s="54"/>
      <c r="N195" s="54"/>
      <c r="O195" s="54"/>
      <c r="P195" s="54"/>
      <c r="Q195" s="54"/>
      <c r="R195" s="54"/>
      <c r="S195" s="54"/>
      <c r="T195" s="54"/>
      <c r="U195" s="54"/>
      <c r="V195" s="54"/>
    </row>
    <row r="196" spans="1:22">
      <c r="A196" s="54"/>
      <c r="B196" s="54"/>
      <c r="C196" s="54"/>
      <c r="D196" s="54"/>
      <c r="E196" s="54"/>
      <c r="F196" s="54"/>
      <c r="G196" s="54"/>
      <c r="H196" s="54"/>
      <c r="I196" s="54"/>
      <c r="J196" s="54"/>
      <c r="K196" s="54"/>
      <c r="L196" s="54"/>
      <c r="M196" s="54"/>
      <c r="N196" s="54"/>
      <c r="O196" s="54"/>
      <c r="P196" s="54"/>
      <c r="Q196" s="54"/>
      <c r="R196" s="54"/>
      <c r="S196" s="54"/>
      <c r="T196" s="54"/>
      <c r="U196" s="54"/>
      <c r="V196" s="54"/>
    </row>
    <row r="197" spans="1:22">
      <c r="A197" s="54"/>
      <c r="B197" s="54"/>
      <c r="C197" s="54"/>
      <c r="D197" s="54"/>
      <c r="E197" s="54"/>
      <c r="F197" s="54"/>
      <c r="G197" s="54"/>
      <c r="H197" s="54"/>
      <c r="I197" s="54"/>
      <c r="J197" s="54"/>
      <c r="K197" s="54"/>
      <c r="L197" s="54"/>
      <c r="M197" s="54"/>
      <c r="N197" s="54"/>
      <c r="O197" s="54"/>
      <c r="P197" s="54"/>
      <c r="Q197" s="54"/>
      <c r="R197" s="54"/>
      <c r="S197" s="54"/>
      <c r="T197" s="54"/>
      <c r="U197" s="54"/>
      <c r="V197" s="54"/>
    </row>
    <row r="198" spans="1:22">
      <c r="A198" s="54"/>
      <c r="B198" s="54"/>
      <c r="C198" s="54"/>
      <c r="D198" s="54"/>
      <c r="E198" s="54"/>
      <c r="F198" s="54"/>
      <c r="G198" s="54"/>
      <c r="H198" s="54"/>
      <c r="I198" s="54"/>
      <c r="J198" s="54"/>
      <c r="K198" s="54"/>
      <c r="L198" s="54"/>
      <c r="M198" s="54"/>
      <c r="N198" s="54"/>
      <c r="O198" s="54"/>
      <c r="P198" s="54"/>
      <c r="Q198" s="54"/>
      <c r="R198" s="54"/>
      <c r="S198" s="54"/>
      <c r="T198" s="54"/>
      <c r="U198" s="54"/>
      <c r="V198" s="54"/>
    </row>
    <row r="199" spans="1:22">
      <c r="A199" s="54"/>
      <c r="B199" s="54"/>
      <c r="C199" s="54"/>
      <c r="D199" s="54"/>
      <c r="E199" s="54"/>
      <c r="F199" s="54"/>
      <c r="G199" s="54"/>
      <c r="H199" s="54"/>
      <c r="I199" s="54"/>
      <c r="J199" s="54"/>
      <c r="K199" s="54"/>
      <c r="L199" s="54"/>
      <c r="M199" s="54"/>
      <c r="N199" s="54"/>
      <c r="O199" s="54"/>
      <c r="P199" s="54"/>
      <c r="Q199" s="54"/>
      <c r="R199" s="54"/>
      <c r="S199" s="54"/>
      <c r="T199" s="54"/>
      <c r="U199" s="54"/>
      <c r="V199" s="54"/>
    </row>
    <row r="200" spans="1:22">
      <c r="A200" s="54"/>
      <c r="B200" s="54"/>
      <c r="C200" s="54"/>
      <c r="D200" s="54"/>
      <c r="E200" s="54"/>
      <c r="F200" s="54"/>
      <c r="G200" s="54"/>
      <c r="H200" s="54"/>
      <c r="I200" s="54"/>
      <c r="J200" s="54"/>
      <c r="K200" s="54"/>
      <c r="L200" s="54"/>
      <c r="M200" s="54"/>
      <c r="N200" s="54"/>
      <c r="O200" s="54"/>
      <c r="P200" s="54"/>
      <c r="Q200" s="54"/>
      <c r="R200" s="54"/>
      <c r="S200" s="54"/>
      <c r="T200" s="54"/>
      <c r="U200" s="54"/>
      <c r="V200" s="54"/>
    </row>
    <row r="201" spans="1:22">
      <c r="A201" s="54"/>
      <c r="B201" s="54"/>
      <c r="C201" s="54"/>
      <c r="D201" s="54"/>
      <c r="E201" s="54"/>
      <c r="F201" s="54"/>
      <c r="G201" s="54"/>
      <c r="H201" s="54"/>
      <c r="I201" s="54"/>
      <c r="J201" s="54"/>
      <c r="K201" s="54"/>
      <c r="L201" s="54"/>
      <c r="M201" s="54"/>
      <c r="N201" s="54"/>
      <c r="O201" s="54"/>
      <c r="P201" s="54"/>
      <c r="Q201" s="54"/>
      <c r="R201" s="54"/>
      <c r="S201" s="54"/>
      <c r="T201" s="54"/>
      <c r="U201" s="54"/>
      <c r="V201" s="54"/>
    </row>
    <row r="202" spans="1:22">
      <c r="A202" s="54"/>
      <c r="B202" s="54"/>
      <c r="C202" s="54"/>
      <c r="D202" s="54"/>
      <c r="E202" s="54"/>
      <c r="F202" s="54"/>
      <c r="G202" s="54"/>
      <c r="H202" s="54"/>
      <c r="I202" s="54"/>
      <c r="J202" s="54"/>
      <c r="K202" s="54"/>
      <c r="L202" s="54"/>
      <c r="M202" s="54"/>
      <c r="N202" s="54"/>
      <c r="O202" s="54"/>
      <c r="P202" s="54"/>
      <c r="Q202" s="54"/>
      <c r="R202" s="54"/>
      <c r="S202" s="54"/>
      <c r="T202" s="54"/>
      <c r="U202" s="54"/>
      <c r="V202" s="54"/>
    </row>
    <row r="203" spans="1:22">
      <c r="A203" s="54"/>
      <c r="B203" s="54"/>
      <c r="C203" s="54"/>
      <c r="D203" s="54"/>
      <c r="E203" s="54"/>
      <c r="F203" s="54"/>
      <c r="G203" s="54"/>
      <c r="H203" s="54"/>
      <c r="I203" s="54"/>
      <c r="J203" s="54"/>
      <c r="K203" s="54"/>
      <c r="L203" s="54"/>
      <c r="M203" s="54"/>
      <c r="N203" s="54"/>
      <c r="O203" s="54"/>
      <c r="P203" s="54"/>
      <c r="Q203" s="54"/>
      <c r="R203" s="54"/>
      <c r="S203" s="54"/>
      <c r="T203" s="54"/>
      <c r="U203" s="54"/>
      <c r="V203" s="54"/>
    </row>
    <row r="204" spans="1:22">
      <c r="A204" s="54"/>
      <c r="B204" s="54"/>
      <c r="C204" s="54"/>
      <c r="D204" s="54"/>
      <c r="E204" s="54"/>
      <c r="F204" s="54"/>
      <c r="G204" s="54"/>
      <c r="H204" s="54"/>
      <c r="I204" s="54"/>
      <c r="J204" s="54"/>
      <c r="K204" s="54"/>
      <c r="L204" s="54"/>
      <c r="M204" s="54"/>
      <c r="N204" s="54"/>
      <c r="O204" s="54"/>
      <c r="P204" s="54"/>
      <c r="Q204" s="54"/>
      <c r="R204" s="54"/>
      <c r="S204" s="54"/>
      <c r="T204" s="54"/>
      <c r="U204" s="54"/>
      <c r="V204" s="54"/>
    </row>
    <row r="205" spans="1:22">
      <c r="A205" s="54"/>
      <c r="B205" s="54"/>
      <c r="C205" s="54"/>
      <c r="D205" s="54"/>
      <c r="E205" s="54"/>
      <c r="F205" s="54"/>
      <c r="G205" s="54"/>
      <c r="H205" s="54"/>
      <c r="I205" s="54"/>
      <c r="J205" s="54"/>
      <c r="K205" s="54"/>
      <c r="L205" s="54"/>
      <c r="M205" s="54"/>
      <c r="N205" s="54"/>
      <c r="O205" s="54"/>
      <c r="P205" s="54"/>
      <c r="Q205" s="54"/>
      <c r="R205" s="54"/>
      <c r="S205" s="54"/>
      <c r="T205" s="54"/>
      <c r="U205" s="54"/>
      <c r="V205" s="54"/>
    </row>
    <row r="206" spans="1:22">
      <c r="A206" s="54"/>
      <c r="B206" s="54"/>
      <c r="C206" s="54"/>
      <c r="D206" s="54"/>
      <c r="E206" s="54"/>
      <c r="F206" s="54"/>
      <c r="G206" s="54"/>
      <c r="H206" s="54"/>
      <c r="I206" s="54"/>
      <c r="J206" s="54"/>
      <c r="K206" s="54"/>
      <c r="L206" s="54"/>
      <c r="M206" s="54"/>
      <c r="N206" s="54"/>
      <c r="O206" s="54"/>
      <c r="P206" s="54"/>
      <c r="Q206" s="54"/>
      <c r="R206" s="54"/>
      <c r="S206" s="54"/>
      <c r="T206" s="54"/>
      <c r="U206" s="54"/>
      <c r="V206" s="54"/>
    </row>
    <row r="207" spans="1:22">
      <c r="A207" s="54"/>
      <c r="B207" s="54"/>
      <c r="C207" s="54"/>
      <c r="D207" s="54"/>
      <c r="E207" s="54"/>
      <c r="F207" s="54"/>
      <c r="G207" s="54"/>
      <c r="H207" s="54"/>
      <c r="I207" s="54"/>
      <c r="J207" s="54"/>
      <c r="K207" s="54"/>
      <c r="L207" s="54"/>
      <c r="M207" s="54"/>
      <c r="N207" s="54"/>
      <c r="O207" s="54"/>
      <c r="P207" s="54"/>
      <c r="Q207" s="54"/>
      <c r="R207" s="54"/>
      <c r="S207" s="54"/>
      <c r="T207" s="54"/>
      <c r="U207" s="54"/>
      <c r="V207" s="54"/>
    </row>
    <row r="208" spans="1:22">
      <c r="A208" s="54"/>
      <c r="B208" s="54"/>
      <c r="C208" s="54"/>
      <c r="D208" s="54"/>
      <c r="E208" s="54"/>
      <c r="F208" s="54"/>
      <c r="G208" s="54"/>
      <c r="H208" s="54"/>
      <c r="I208" s="54"/>
      <c r="J208" s="54"/>
      <c r="K208" s="54"/>
      <c r="L208" s="54"/>
      <c r="M208" s="54"/>
      <c r="N208" s="54"/>
      <c r="O208" s="54"/>
      <c r="P208" s="54"/>
      <c r="Q208" s="54"/>
      <c r="R208" s="54"/>
      <c r="S208" s="54"/>
      <c r="T208" s="54"/>
      <c r="U208" s="54"/>
      <c r="V208" s="54"/>
    </row>
    <row r="209" spans="1:22">
      <c r="A209" s="54"/>
      <c r="B209" s="54"/>
      <c r="C209" s="54"/>
      <c r="D209" s="54"/>
      <c r="E209" s="54"/>
      <c r="F209" s="54"/>
      <c r="G209" s="54"/>
      <c r="H209" s="54"/>
      <c r="I209" s="54"/>
      <c r="J209" s="54"/>
      <c r="K209" s="54"/>
      <c r="L209" s="54"/>
      <c r="M209" s="54"/>
      <c r="N209" s="54"/>
      <c r="O209" s="54"/>
      <c r="P209" s="54"/>
      <c r="Q209" s="54"/>
      <c r="R209" s="54"/>
      <c r="S209" s="54"/>
      <c r="T209" s="54"/>
      <c r="U209" s="54"/>
      <c r="V209" s="54"/>
    </row>
    <row r="210" spans="1:22">
      <c r="A210" s="54"/>
      <c r="B210" s="54"/>
      <c r="C210" s="54"/>
      <c r="D210" s="54"/>
      <c r="E210" s="54"/>
      <c r="F210" s="54"/>
      <c r="G210" s="54"/>
      <c r="H210" s="54"/>
      <c r="I210" s="54"/>
      <c r="J210" s="54"/>
      <c r="K210" s="54"/>
      <c r="L210" s="54"/>
      <c r="M210" s="54"/>
      <c r="N210" s="54"/>
      <c r="O210" s="54"/>
      <c r="P210" s="54"/>
      <c r="Q210" s="54"/>
      <c r="R210" s="54"/>
      <c r="S210" s="54"/>
      <c r="T210" s="54"/>
      <c r="U210" s="54"/>
      <c r="V210" s="54"/>
    </row>
    <row r="211" spans="1:22">
      <c r="A211" s="54"/>
      <c r="B211" s="54"/>
      <c r="C211" s="54"/>
      <c r="D211" s="54"/>
      <c r="E211" s="54"/>
      <c r="F211" s="54"/>
      <c r="G211" s="54"/>
      <c r="H211" s="54"/>
      <c r="I211" s="54"/>
      <c r="J211" s="54"/>
      <c r="K211" s="54"/>
      <c r="L211" s="54"/>
      <c r="M211" s="54"/>
      <c r="N211" s="54"/>
      <c r="O211" s="54"/>
      <c r="P211" s="54"/>
      <c r="Q211" s="54"/>
      <c r="R211" s="54"/>
      <c r="S211" s="54"/>
      <c r="T211" s="54"/>
      <c r="U211" s="54"/>
      <c r="V211" s="54"/>
    </row>
    <row r="212" spans="1:22">
      <c r="A212" s="54"/>
      <c r="B212" s="54"/>
      <c r="C212" s="54"/>
      <c r="D212" s="54"/>
      <c r="E212" s="54"/>
      <c r="F212" s="54"/>
      <c r="G212" s="54"/>
      <c r="H212" s="54"/>
      <c r="I212" s="54"/>
      <c r="J212" s="54"/>
      <c r="K212" s="54"/>
      <c r="L212" s="54"/>
      <c r="M212" s="54"/>
      <c r="N212" s="54"/>
      <c r="O212" s="54"/>
      <c r="P212" s="54"/>
      <c r="Q212" s="54"/>
      <c r="R212" s="54"/>
      <c r="S212" s="54"/>
      <c r="T212" s="54"/>
      <c r="U212" s="54"/>
      <c r="V212" s="54"/>
    </row>
    <row r="213" spans="1:22">
      <c r="A213" s="54"/>
      <c r="B213" s="54"/>
      <c r="C213" s="54"/>
      <c r="D213" s="54"/>
      <c r="E213" s="54"/>
      <c r="F213" s="54"/>
      <c r="G213" s="54"/>
      <c r="H213" s="54"/>
      <c r="I213" s="54"/>
      <c r="J213" s="54"/>
      <c r="K213" s="54"/>
      <c r="L213" s="54"/>
      <c r="M213" s="54"/>
      <c r="N213" s="54"/>
      <c r="O213" s="54"/>
      <c r="P213" s="54"/>
      <c r="Q213" s="54"/>
      <c r="R213" s="54"/>
      <c r="S213" s="54"/>
      <c r="T213" s="54"/>
      <c r="U213" s="54"/>
      <c r="V213" s="54"/>
    </row>
    <row r="214" spans="1:22">
      <c r="A214" s="54"/>
      <c r="B214" s="54"/>
      <c r="C214" s="54"/>
      <c r="D214" s="54"/>
      <c r="E214" s="54"/>
      <c r="F214" s="54"/>
      <c r="G214" s="54"/>
      <c r="H214" s="54"/>
      <c r="I214" s="54"/>
      <c r="J214" s="54"/>
      <c r="K214" s="54"/>
      <c r="L214" s="54"/>
      <c r="M214" s="54"/>
      <c r="N214" s="54"/>
      <c r="O214" s="54"/>
      <c r="P214" s="54"/>
      <c r="Q214" s="54"/>
      <c r="R214" s="54"/>
      <c r="S214" s="54"/>
      <c r="T214" s="54"/>
      <c r="U214" s="54"/>
      <c r="V214" s="54"/>
    </row>
    <row r="215" spans="1:22">
      <c r="A215" s="54"/>
      <c r="B215" s="54"/>
      <c r="C215" s="54"/>
      <c r="D215" s="54"/>
      <c r="E215" s="54"/>
      <c r="F215" s="54"/>
      <c r="G215" s="54"/>
      <c r="H215" s="54"/>
      <c r="I215" s="54"/>
      <c r="J215" s="54"/>
      <c r="K215" s="54"/>
      <c r="L215" s="54"/>
      <c r="M215" s="54"/>
      <c r="N215" s="54"/>
      <c r="O215" s="54"/>
      <c r="P215" s="54"/>
      <c r="Q215" s="54"/>
      <c r="R215" s="54"/>
      <c r="S215" s="54"/>
      <c r="T215" s="54"/>
      <c r="U215" s="54"/>
      <c r="V215" s="54"/>
    </row>
    <row r="216" spans="1:22">
      <c r="A216" s="54"/>
      <c r="B216" s="54"/>
      <c r="C216" s="54"/>
      <c r="D216" s="54"/>
      <c r="E216" s="54"/>
      <c r="F216" s="54"/>
      <c r="G216" s="54"/>
      <c r="H216" s="54"/>
      <c r="I216" s="54"/>
      <c r="J216" s="54"/>
      <c r="K216" s="54"/>
      <c r="L216" s="54"/>
      <c r="M216" s="54"/>
      <c r="N216" s="54"/>
      <c r="O216" s="54"/>
      <c r="P216" s="54"/>
      <c r="Q216" s="54"/>
      <c r="R216" s="54"/>
      <c r="S216" s="54"/>
      <c r="T216" s="54"/>
      <c r="U216" s="54"/>
      <c r="V216" s="54"/>
    </row>
    <row r="217" spans="1:22">
      <c r="A217" s="54"/>
      <c r="B217" s="54"/>
      <c r="C217" s="54"/>
      <c r="D217" s="54"/>
      <c r="E217" s="54"/>
      <c r="F217" s="54"/>
      <c r="G217" s="54"/>
      <c r="H217" s="54"/>
      <c r="I217" s="54"/>
      <c r="J217" s="54"/>
      <c r="K217" s="54"/>
      <c r="L217" s="54"/>
      <c r="M217" s="54"/>
      <c r="N217" s="54"/>
      <c r="O217" s="54"/>
      <c r="P217" s="54"/>
      <c r="Q217" s="54"/>
      <c r="R217" s="54"/>
      <c r="S217" s="54"/>
      <c r="T217" s="54"/>
      <c r="U217" s="54"/>
      <c r="V217" s="54"/>
    </row>
    <row r="218" spans="1:22">
      <c r="A218" s="54"/>
      <c r="B218" s="54"/>
      <c r="C218" s="54"/>
      <c r="D218" s="54"/>
      <c r="E218" s="54"/>
      <c r="F218" s="54"/>
      <c r="G218" s="54"/>
      <c r="H218" s="54"/>
      <c r="I218" s="54"/>
      <c r="J218" s="54"/>
      <c r="K218" s="54"/>
      <c r="L218" s="54"/>
      <c r="M218" s="54"/>
      <c r="N218" s="54"/>
      <c r="O218" s="54"/>
      <c r="P218" s="54"/>
      <c r="Q218" s="54"/>
      <c r="R218" s="54"/>
      <c r="S218" s="54"/>
      <c r="T218" s="54"/>
      <c r="U218" s="54"/>
      <c r="V218" s="54"/>
    </row>
    <row r="219" spans="1:22">
      <c r="A219" s="54"/>
      <c r="B219" s="54"/>
      <c r="C219" s="54"/>
      <c r="D219" s="54"/>
      <c r="E219" s="54"/>
      <c r="F219" s="54"/>
      <c r="G219" s="54"/>
      <c r="H219" s="54"/>
      <c r="I219" s="54"/>
      <c r="J219" s="54"/>
      <c r="K219" s="54"/>
      <c r="L219" s="54"/>
      <c r="M219" s="54"/>
      <c r="N219" s="54"/>
      <c r="O219" s="54"/>
      <c r="P219" s="54"/>
      <c r="Q219" s="54"/>
      <c r="R219" s="54"/>
      <c r="S219" s="54"/>
      <c r="T219" s="54"/>
      <c r="U219" s="54"/>
      <c r="V219" s="54"/>
    </row>
  </sheetData>
  <mergeCells count="1">
    <mergeCell ref="A1:V1"/>
  </mergeCells>
  <hyperlinks>
    <hyperlink ref="AK4" r:id="rId1" xr:uid="{E8D322DB-1A88-4852-B522-86A9B0509942}"/>
    <hyperlink ref="AJ23" r:id="rId2" xr:uid="{B5B9A637-73DD-4791-B452-D09EF4B26E6B}"/>
    <hyperlink ref="AJ12" r:id="rId3" xr:uid="{F55D236B-404F-42D1-B2E7-4A65A405E324}"/>
    <hyperlink ref="AJ40" r:id="rId4" xr:uid="{9392CDA3-96C0-4DC4-A22C-F396D8AB7627}"/>
    <hyperlink ref="AJ14" r:id="rId5" xr:uid="{73C051AE-8BFA-4683-A61F-99E077ECDB45}"/>
    <hyperlink ref="AJ16" r:id="rId6" xr:uid="{EAD562BB-D6C6-4DC6-AF46-8B2D6041B804}"/>
    <hyperlink ref="AL14" r:id="rId7" xr:uid="{E25FB401-EBCF-4815-B731-874C0CACF280}"/>
    <hyperlink ref="AL16" r:id="rId8" xr:uid="{38B8122F-6170-43F0-815D-5F38DAF08D52}"/>
    <hyperlink ref="AK8" r:id="rId9" xr:uid="{71307617-5D35-4721-B38E-1898A249B017}"/>
    <hyperlink ref="AK6" r:id="rId10" xr:uid="{23C2E730-7362-4FF7-892A-B8862A3B3CAC}"/>
  </hyperlinks>
  <pageMargins left="0.7" right="0.7" top="0.75" bottom="0.75" header="0.3" footer="0.3"/>
  <legacy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17B8-713E-40C2-BE5E-5C6AB5407331}">
  <dimension ref="A1:AO204"/>
  <sheetViews>
    <sheetView zoomScale="80" zoomScaleNormal="70" workbookViewId="0">
      <pane xSplit="1" ySplit="3" topLeftCell="B4" activePane="bottomRight" state="frozen"/>
      <selection pane="topRight" activeCell="B1" sqref="B1"/>
      <selection pane="bottomLeft" activeCell="A4" sqref="A4"/>
      <selection pane="bottomRight" activeCell="AH13" sqref="AH13"/>
    </sheetView>
  </sheetViews>
  <sheetFormatPr defaultRowHeight="13.8"/>
  <cols>
    <col min="1" max="1" width="32" style="63" customWidth="1"/>
    <col min="2" max="33" width="11" style="63" customWidth="1"/>
    <col min="34" max="16384" width="8.796875" style="63"/>
  </cols>
  <sheetData>
    <row r="1" spans="1:41" ht="15.3" customHeight="1">
      <c r="A1" s="134" t="s">
        <v>178</v>
      </c>
      <c r="B1" s="134"/>
      <c r="C1" s="134"/>
      <c r="D1" s="134"/>
      <c r="E1" s="134"/>
      <c r="F1" s="134"/>
      <c r="G1" s="134"/>
      <c r="H1" s="134"/>
      <c r="I1" s="134"/>
      <c r="J1" s="134"/>
      <c r="K1" s="134"/>
      <c r="L1" s="134"/>
      <c r="M1" s="134"/>
      <c r="N1" s="134"/>
      <c r="O1" s="134"/>
      <c r="P1" s="134"/>
      <c r="Q1" s="134"/>
      <c r="R1" s="134"/>
      <c r="S1" s="134"/>
      <c r="T1" s="134"/>
      <c r="U1" s="134"/>
      <c r="V1" s="134"/>
      <c r="W1" s="65"/>
      <c r="X1" s="65"/>
      <c r="Y1" s="65"/>
      <c r="Z1" s="65"/>
      <c r="AA1" s="65"/>
      <c r="AB1" s="65"/>
      <c r="AC1" s="65"/>
      <c r="AD1" s="65"/>
      <c r="AE1" s="65"/>
      <c r="AF1" s="65"/>
      <c r="AG1" s="65"/>
    </row>
    <row r="2" spans="1:41">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row>
    <row r="3" spans="1:41" ht="14.4" thickBot="1">
      <c r="A3" s="67" t="s">
        <v>154</v>
      </c>
      <c r="B3" s="12">
        <v>1994</v>
      </c>
      <c r="C3" s="12">
        <v>1995</v>
      </c>
      <c r="D3" s="12">
        <v>1996</v>
      </c>
      <c r="E3" s="12">
        <v>1997</v>
      </c>
      <c r="F3" s="12">
        <v>1998</v>
      </c>
      <c r="G3" s="12">
        <v>1999</v>
      </c>
      <c r="H3" s="12">
        <v>2000</v>
      </c>
      <c r="I3" s="12">
        <v>2001</v>
      </c>
      <c r="J3" s="12">
        <v>2002</v>
      </c>
      <c r="K3" s="12">
        <v>2003</v>
      </c>
      <c r="L3" s="12">
        <v>2004</v>
      </c>
      <c r="M3" s="12">
        <v>2005</v>
      </c>
      <c r="N3" s="12">
        <v>2006</v>
      </c>
      <c r="O3" s="12">
        <v>2007</v>
      </c>
      <c r="P3" s="12">
        <v>2008</v>
      </c>
      <c r="Q3" s="12">
        <v>2009</v>
      </c>
      <c r="R3" s="12">
        <v>2010</v>
      </c>
      <c r="S3" s="12">
        <v>2011</v>
      </c>
      <c r="T3" s="12">
        <v>2012</v>
      </c>
      <c r="U3" s="12">
        <v>2013</v>
      </c>
      <c r="V3" s="13">
        <v>2014</v>
      </c>
      <c r="W3" s="13">
        <v>2015</v>
      </c>
      <c r="X3" s="13">
        <v>2016</v>
      </c>
      <c r="Y3" s="13">
        <v>2017</v>
      </c>
      <c r="Z3" s="13">
        <v>2018</v>
      </c>
      <c r="AA3" s="13">
        <v>2019</v>
      </c>
      <c r="AB3" s="13">
        <v>2020</v>
      </c>
      <c r="AC3" s="13">
        <v>2021</v>
      </c>
      <c r="AD3" s="13">
        <v>2022</v>
      </c>
      <c r="AE3" s="13">
        <v>2023</v>
      </c>
      <c r="AF3" s="13">
        <v>2024</v>
      </c>
      <c r="AG3" s="13">
        <v>2025</v>
      </c>
      <c r="AM3" s="122" t="s">
        <v>276</v>
      </c>
      <c r="AO3" s="122" t="s">
        <v>277</v>
      </c>
    </row>
    <row r="4" spans="1:41" ht="21.75" customHeight="1">
      <c r="A4" s="68" t="s">
        <v>155</v>
      </c>
      <c r="B4" s="69">
        <v>0</v>
      </c>
      <c r="C4" s="69">
        <v>0</v>
      </c>
      <c r="D4" s="69">
        <v>0</v>
      </c>
      <c r="E4" s="69">
        <v>0</v>
      </c>
      <c r="F4" s="69">
        <v>0</v>
      </c>
      <c r="G4" s="69">
        <v>0</v>
      </c>
      <c r="H4" s="69">
        <v>0</v>
      </c>
      <c r="I4" s="69">
        <v>0</v>
      </c>
      <c r="J4" s="69">
        <v>0</v>
      </c>
      <c r="K4" s="69">
        <v>0</v>
      </c>
      <c r="L4" s="69">
        <v>0</v>
      </c>
      <c r="M4" s="69">
        <v>0</v>
      </c>
      <c r="N4" s="69">
        <v>0</v>
      </c>
      <c r="O4" s="69">
        <v>630</v>
      </c>
      <c r="P4" s="69">
        <v>1800</v>
      </c>
      <c r="Q4" s="69">
        <v>13033</v>
      </c>
      <c r="R4" s="69">
        <v>25179</v>
      </c>
      <c r="S4" s="69">
        <v>45998</v>
      </c>
      <c r="T4" s="69">
        <v>78692</v>
      </c>
      <c r="U4" s="69">
        <v>91279</v>
      </c>
      <c r="V4" s="69">
        <v>101991</v>
      </c>
      <c r="W4" s="70">
        <v>155041</v>
      </c>
      <c r="X4" s="70">
        <v>136700</v>
      </c>
      <c r="Y4" s="70">
        <v>139337</v>
      </c>
      <c r="Z4" s="70">
        <v>164888</v>
      </c>
      <c r="AA4" s="70">
        <v>142381</v>
      </c>
      <c r="AB4" s="70">
        <v>137781</v>
      </c>
      <c r="AC4" s="70">
        <v>191973</v>
      </c>
      <c r="AD4" s="70">
        <v>205489</v>
      </c>
      <c r="AE4" s="70">
        <v>200583</v>
      </c>
      <c r="AF4" s="70">
        <v>201183</v>
      </c>
      <c r="AG4" s="70">
        <v>209586</v>
      </c>
      <c r="AM4" s="123">
        <f>(AG4/T4)^(1/13)-1</f>
        <v>7.8265014554419476E-2</v>
      </c>
      <c r="AO4" s="121">
        <f>(AG4/AD4)^(1/3)-1</f>
        <v>6.6022499949300872E-3</v>
      </c>
    </row>
    <row r="5" spans="1:41" ht="21.75" customHeight="1" thickBot="1">
      <c r="A5" s="71" t="s">
        <v>144</v>
      </c>
      <c r="B5" s="69"/>
      <c r="C5" s="69"/>
      <c r="D5" s="69"/>
      <c r="E5" s="69"/>
      <c r="F5" s="69"/>
      <c r="G5" s="69"/>
      <c r="H5" s="69"/>
      <c r="I5" s="69"/>
      <c r="J5" s="69"/>
      <c r="K5" s="69"/>
      <c r="L5" s="69"/>
      <c r="M5" s="69"/>
      <c r="N5" s="69"/>
      <c r="O5" s="69"/>
      <c r="P5" s="72">
        <f t="shared" ref="P5:AG5" si="0">P4/O4-1</f>
        <v>1.8571428571428572</v>
      </c>
      <c r="Q5" s="72">
        <f t="shared" si="0"/>
        <v>6.2405555555555559</v>
      </c>
      <c r="R5" s="72">
        <f t="shared" si="0"/>
        <v>0.93194199340136574</v>
      </c>
      <c r="S5" s="72">
        <f t="shared" si="0"/>
        <v>0.82683982683982693</v>
      </c>
      <c r="T5" s="72">
        <f t="shared" si="0"/>
        <v>0.71077003347971646</v>
      </c>
      <c r="U5" s="72">
        <f t="shared" si="0"/>
        <v>0.15995272708788688</v>
      </c>
      <c r="V5" s="72">
        <f t="shared" si="0"/>
        <v>0.11735448460215392</v>
      </c>
      <c r="W5" s="72">
        <f t="shared" si="0"/>
        <v>0.52014393426870997</v>
      </c>
      <c r="X5" s="72">
        <f t="shared" si="0"/>
        <v>-0.11829774059764842</v>
      </c>
      <c r="Y5" s="72">
        <f t="shared" si="0"/>
        <v>1.929041697147027E-2</v>
      </c>
      <c r="Z5" s="72">
        <f t="shared" si="0"/>
        <v>0.18337555710256437</v>
      </c>
      <c r="AA5" s="72">
        <f t="shared" si="0"/>
        <v>-0.13649871427878313</v>
      </c>
      <c r="AB5" s="72">
        <f t="shared" si="0"/>
        <v>-3.2307681502447672E-2</v>
      </c>
      <c r="AC5" s="72">
        <f t="shared" si="0"/>
        <v>0.39331983364905176</v>
      </c>
      <c r="AD5" s="72">
        <f t="shared" si="0"/>
        <v>7.0405734139696641E-2</v>
      </c>
      <c r="AE5" s="72">
        <f t="shared" si="0"/>
        <v>-2.3874757286278081E-2</v>
      </c>
      <c r="AF5" s="72">
        <f t="shared" si="0"/>
        <v>2.9912804175826757E-3</v>
      </c>
      <c r="AG5" s="72">
        <f t="shared" si="0"/>
        <v>4.1767942619406195E-2</v>
      </c>
    </row>
    <row r="6" spans="1:41" ht="21.75" customHeight="1">
      <c r="A6" s="68" t="s">
        <v>156</v>
      </c>
      <c r="B6" s="69"/>
      <c r="C6" s="69"/>
      <c r="D6" s="69"/>
      <c r="E6" s="69">
        <v>5671</v>
      </c>
      <c r="F6" s="69">
        <v>4862</v>
      </c>
      <c r="G6" s="69">
        <v>5082</v>
      </c>
      <c r="H6" s="69">
        <v>6885</v>
      </c>
      <c r="I6" s="69">
        <v>4403</v>
      </c>
      <c r="J6" s="69">
        <v>4534</v>
      </c>
      <c r="K6" s="69">
        <v>4491</v>
      </c>
      <c r="L6" s="69">
        <v>4923</v>
      </c>
      <c r="M6" s="69">
        <v>6275</v>
      </c>
      <c r="N6" s="69">
        <v>7375</v>
      </c>
      <c r="O6" s="69">
        <v>10336</v>
      </c>
      <c r="P6" s="69">
        <v>14354</v>
      </c>
      <c r="Q6" s="69">
        <v>13859</v>
      </c>
      <c r="R6" s="69">
        <v>17479</v>
      </c>
      <c r="S6" s="69">
        <v>21783</v>
      </c>
      <c r="T6" s="69">
        <v>23221</v>
      </c>
      <c r="U6" s="69">
        <v>21483</v>
      </c>
      <c r="V6" s="69">
        <v>24079</v>
      </c>
      <c r="W6" s="70">
        <v>25471</v>
      </c>
      <c r="X6" s="70">
        <v>22831</v>
      </c>
      <c r="Y6" s="70">
        <v>25569</v>
      </c>
      <c r="Z6" s="70">
        <v>25198</v>
      </c>
      <c r="AA6" s="70">
        <v>25740</v>
      </c>
      <c r="AB6" s="70">
        <v>28622</v>
      </c>
      <c r="AC6" s="70">
        <v>35190</v>
      </c>
      <c r="AD6" s="70">
        <v>40177</v>
      </c>
      <c r="AE6" s="70">
        <v>29357</v>
      </c>
      <c r="AF6" s="70">
        <v>29984</v>
      </c>
      <c r="AG6" s="70">
        <v>33708</v>
      </c>
      <c r="AM6" s="123">
        <f>(AG6/T6)^(1/13)-1</f>
        <v>2.9082419644341551E-2</v>
      </c>
      <c r="AO6" s="121">
        <f>(AG6/AD6)^(1/3)-1</f>
        <v>-5.68404641098601E-2</v>
      </c>
    </row>
    <row r="7" spans="1:41" ht="21.75" customHeight="1" thickBot="1">
      <c r="A7" s="71" t="s">
        <v>144</v>
      </c>
      <c r="B7" s="69"/>
      <c r="C7" s="69"/>
      <c r="D7" s="69"/>
      <c r="E7" s="69"/>
      <c r="F7" s="72">
        <f t="shared" ref="F7:AG7" si="1">F6/E6-1</f>
        <v>-0.14265561629342272</v>
      </c>
      <c r="G7" s="72">
        <f t="shared" si="1"/>
        <v>4.5248868778280604E-2</v>
      </c>
      <c r="H7" s="72">
        <f t="shared" si="1"/>
        <v>0.35478158205430943</v>
      </c>
      <c r="I7" s="72">
        <f t="shared" si="1"/>
        <v>-0.36049382716049383</v>
      </c>
      <c r="J7" s="72">
        <f t="shared" si="1"/>
        <v>2.975244151714751E-2</v>
      </c>
      <c r="K7" s="72">
        <f t="shared" si="1"/>
        <v>-9.4838994265549204E-3</v>
      </c>
      <c r="L7" s="72">
        <f t="shared" si="1"/>
        <v>9.6192384769539174E-2</v>
      </c>
      <c r="M7" s="72">
        <f t="shared" si="1"/>
        <v>0.27462929108267309</v>
      </c>
      <c r="N7" s="72">
        <f t="shared" si="1"/>
        <v>0.17529880478087656</v>
      </c>
      <c r="O7" s="72">
        <f t="shared" si="1"/>
        <v>0.40149152542372879</v>
      </c>
      <c r="P7" s="72">
        <f t="shared" si="1"/>
        <v>0.38873839009287936</v>
      </c>
      <c r="Q7" s="72">
        <f t="shared" si="1"/>
        <v>-3.4485160930751046E-2</v>
      </c>
      <c r="R7" s="72">
        <f t="shared" si="1"/>
        <v>0.26120210693412216</v>
      </c>
      <c r="S7" s="72">
        <f t="shared" si="1"/>
        <v>0.24623834315464266</v>
      </c>
      <c r="T7" s="72">
        <f t="shared" si="1"/>
        <v>6.6014782169581787E-2</v>
      </c>
      <c r="U7" s="72">
        <f t="shared" si="1"/>
        <v>-7.4846044528659395E-2</v>
      </c>
      <c r="V7" s="72">
        <f t="shared" si="1"/>
        <v>0.12083973374295964</v>
      </c>
      <c r="W7" s="72">
        <f t="shared" si="1"/>
        <v>5.7809709705552548E-2</v>
      </c>
      <c r="X7" s="72">
        <f t="shared" si="1"/>
        <v>-0.10364728514781518</v>
      </c>
      <c r="Y7" s="72">
        <f t="shared" si="1"/>
        <v>0.11992466383426037</v>
      </c>
      <c r="Z7" s="72">
        <f t="shared" si="1"/>
        <v>-1.4509757909969112E-2</v>
      </c>
      <c r="AA7" s="72">
        <f t="shared" si="1"/>
        <v>2.1509643622509733E-2</v>
      </c>
      <c r="AB7" s="72">
        <f t="shared" si="1"/>
        <v>0.11196581196581201</v>
      </c>
      <c r="AC7" s="72">
        <f t="shared" si="1"/>
        <v>0.22947383131856625</v>
      </c>
      <c r="AD7" s="72">
        <f t="shared" si="1"/>
        <v>0.14171639670360903</v>
      </c>
      <c r="AE7" s="72">
        <f t="shared" si="1"/>
        <v>-0.26930831072504169</v>
      </c>
      <c r="AF7" s="72">
        <f t="shared" si="1"/>
        <v>2.1357768164322E-2</v>
      </c>
      <c r="AG7" s="72">
        <f t="shared" si="1"/>
        <v>0.12419957310565644</v>
      </c>
    </row>
    <row r="8" spans="1:41" ht="21.75" customHeight="1" thickBot="1">
      <c r="A8" s="68" t="s">
        <v>157</v>
      </c>
      <c r="B8" s="69">
        <v>0</v>
      </c>
      <c r="C8" s="69">
        <v>0</v>
      </c>
      <c r="D8" s="69">
        <v>0</v>
      </c>
      <c r="E8" s="69">
        <v>0</v>
      </c>
      <c r="F8" s="69">
        <v>0</v>
      </c>
      <c r="G8" s="69">
        <v>0</v>
      </c>
      <c r="H8" s="69">
        <v>0</v>
      </c>
      <c r="I8" s="69">
        <v>0</v>
      </c>
      <c r="J8" s="69">
        <v>0</v>
      </c>
      <c r="K8" s="69">
        <v>0</v>
      </c>
      <c r="L8" s="69">
        <v>0</v>
      </c>
      <c r="M8" s="69">
        <v>0</v>
      </c>
      <c r="N8" s="69">
        <v>0</v>
      </c>
      <c r="O8" s="69">
        <v>0</v>
      </c>
      <c r="P8" s="69">
        <v>0</v>
      </c>
      <c r="Q8" s="69">
        <v>0</v>
      </c>
      <c r="R8" s="69">
        <v>4958</v>
      </c>
      <c r="S8" s="69">
        <v>19168</v>
      </c>
      <c r="T8" s="69">
        <v>30945</v>
      </c>
      <c r="U8" s="69">
        <v>31980</v>
      </c>
      <c r="V8" s="69">
        <v>30283</v>
      </c>
      <c r="W8" s="70">
        <v>23227</v>
      </c>
      <c r="X8" s="70">
        <v>20628</v>
      </c>
      <c r="Y8" s="70">
        <v>18802</v>
      </c>
      <c r="Z8" s="70">
        <v>18380</v>
      </c>
      <c r="AA8" s="70">
        <v>21280</v>
      </c>
      <c r="AB8" s="70">
        <v>23724</v>
      </c>
      <c r="AC8" s="70">
        <v>31862</v>
      </c>
      <c r="AD8" s="70">
        <v>29292</v>
      </c>
      <c r="AE8" s="70">
        <v>28300</v>
      </c>
      <c r="AF8" s="70">
        <v>26694</v>
      </c>
      <c r="AG8" s="70">
        <v>28023</v>
      </c>
      <c r="AM8" s="123">
        <f>(AG8/T8)^(1/13)-1</f>
        <v>-7.6006473876629732E-3</v>
      </c>
      <c r="AN8" s="125"/>
      <c r="AO8" s="121">
        <f>(AG8/AD8)^(1/3)-1</f>
        <v>-1.4654508528690435E-2</v>
      </c>
    </row>
    <row r="9" spans="1:41" ht="21.75" customHeight="1" thickBot="1">
      <c r="A9" s="71" t="s">
        <v>144</v>
      </c>
      <c r="B9" s="69"/>
      <c r="C9" s="69"/>
      <c r="D9" s="69"/>
      <c r="E9" s="69"/>
      <c r="F9" s="69"/>
      <c r="G9" s="69"/>
      <c r="H9" s="69"/>
      <c r="I9" s="69"/>
      <c r="J9" s="69"/>
      <c r="K9" s="69"/>
      <c r="L9" s="69"/>
      <c r="M9" s="69"/>
      <c r="N9" s="69"/>
      <c r="O9" s="69"/>
      <c r="P9" s="69"/>
      <c r="Q9" s="69"/>
      <c r="R9" s="69"/>
      <c r="S9" s="72">
        <f t="shared" ref="S9:AG9" si="2">S8/R8-1</f>
        <v>2.8660750302541347</v>
      </c>
      <c r="T9" s="72">
        <f t="shared" si="2"/>
        <v>0.61440943238731216</v>
      </c>
      <c r="U9" s="72">
        <f t="shared" si="2"/>
        <v>3.3446437227338865E-2</v>
      </c>
      <c r="V9" s="72">
        <f t="shared" si="2"/>
        <v>-5.3064415259537201E-2</v>
      </c>
      <c r="W9" s="72">
        <f t="shared" si="2"/>
        <v>-0.23300201433147305</v>
      </c>
      <c r="X9" s="72">
        <f t="shared" si="2"/>
        <v>-0.11189563869634478</v>
      </c>
      <c r="Y9" s="72">
        <f t="shared" si="2"/>
        <v>-8.852045763040528E-2</v>
      </c>
      <c r="Z9" s="72">
        <f t="shared" si="2"/>
        <v>-2.2444420806297161E-2</v>
      </c>
      <c r="AA9" s="72">
        <f t="shared" si="2"/>
        <v>0.15778019586507064</v>
      </c>
      <c r="AB9" s="72">
        <f t="shared" si="2"/>
        <v>0.11484962406015042</v>
      </c>
      <c r="AC9" s="72">
        <f t="shared" si="2"/>
        <v>0.34302815714044854</v>
      </c>
      <c r="AD9" s="72">
        <f t="shared" si="2"/>
        <v>-8.0660347749670458E-2</v>
      </c>
      <c r="AE9" s="72">
        <f t="shared" si="2"/>
        <v>-3.3865901952751631E-2</v>
      </c>
      <c r="AF9" s="72">
        <f t="shared" si="2"/>
        <v>-5.674911660777382E-2</v>
      </c>
      <c r="AG9" s="72">
        <f t="shared" si="2"/>
        <v>4.9786468869408962E-2</v>
      </c>
      <c r="AM9" s="124"/>
    </row>
    <row r="10" spans="1:41">
      <c r="A10" s="68" t="s">
        <v>158</v>
      </c>
      <c r="B10" s="69">
        <v>0</v>
      </c>
      <c r="C10" s="69">
        <v>0</v>
      </c>
      <c r="D10" s="69">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69">
        <v>0</v>
      </c>
      <c r="V10" s="69">
        <v>0</v>
      </c>
      <c r="W10" s="70">
        <v>9800</v>
      </c>
      <c r="X10" s="70">
        <v>10900</v>
      </c>
      <c r="Y10" s="70">
        <v>12826</v>
      </c>
      <c r="Z10" s="70">
        <v>17381</v>
      </c>
      <c r="AA10" s="70">
        <v>24482</v>
      </c>
      <c r="AB10" s="70">
        <v>30620</v>
      </c>
      <c r="AC10" s="70">
        <v>38367</v>
      </c>
      <c r="AD10" s="70">
        <v>41241</v>
      </c>
      <c r="AE10" s="70">
        <v>39845</v>
      </c>
      <c r="AF10" s="70">
        <v>37005</v>
      </c>
      <c r="AG10" s="70">
        <v>35686</v>
      </c>
      <c r="AM10" s="123">
        <f>(AG10/W10)^(1/10)-1</f>
        <v>0.13796047934500799</v>
      </c>
      <c r="AO10" s="121">
        <f>(AG10/AD10)^(1/3)-1</f>
        <v>-4.7080469880639964E-2</v>
      </c>
    </row>
    <row r="11" spans="1:41" ht="15" thickBot="1">
      <c r="A11" s="71" t="s">
        <v>144</v>
      </c>
      <c r="B11" s="66"/>
      <c r="C11" s="66"/>
      <c r="D11" s="66"/>
      <c r="E11" s="66"/>
      <c r="F11" s="66"/>
      <c r="G11" s="66"/>
      <c r="H11" s="66"/>
      <c r="I11" s="66"/>
      <c r="J11" s="66"/>
      <c r="K11" s="66"/>
      <c r="L11" s="66"/>
      <c r="M11" s="66"/>
      <c r="N11" s="66"/>
      <c r="O11" s="66"/>
      <c r="P11" s="66"/>
      <c r="Q11" s="66"/>
      <c r="R11" s="66"/>
      <c r="S11" s="66"/>
      <c r="T11" s="66"/>
      <c r="U11" s="66"/>
      <c r="V11" s="66"/>
      <c r="X11" s="72">
        <f t="shared" ref="X11" si="3">X10/W10-1</f>
        <v>0.11224489795918369</v>
      </c>
      <c r="Y11" s="72">
        <f t="shared" ref="Y11" si="4">Y10/X10-1</f>
        <v>0.17669724770642192</v>
      </c>
      <c r="Z11" s="72">
        <f t="shared" ref="Z11:AG11" si="5">Z10/Y10-1</f>
        <v>0.35513800093559955</v>
      </c>
      <c r="AA11" s="72">
        <f t="shared" si="5"/>
        <v>0.40854956561762834</v>
      </c>
      <c r="AB11" s="72">
        <f t="shared" si="5"/>
        <v>0.25071481088146386</v>
      </c>
      <c r="AC11" s="72">
        <f t="shared" si="5"/>
        <v>0.2530045721750489</v>
      </c>
      <c r="AD11" s="72">
        <f t="shared" si="5"/>
        <v>7.4908124169208001E-2</v>
      </c>
      <c r="AE11" s="120">
        <f t="shared" si="5"/>
        <v>-3.3849809655439933E-2</v>
      </c>
      <c r="AF11" s="120">
        <f t="shared" si="5"/>
        <v>-7.1276195256619435E-2</v>
      </c>
      <c r="AG11" s="120">
        <f t="shared" si="5"/>
        <v>-3.5643831914606183E-2</v>
      </c>
    </row>
    <row r="12" spans="1:41">
      <c r="A12" s="68" t="s">
        <v>5</v>
      </c>
      <c r="B12" s="69">
        <v>0</v>
      </c>
      <c r="C12" s="69">
        <v>0</v>
      </c>
      <c r="D12" s="69">
        <v>0</v>
      </c>
      <c r="E12" s="69">
        <v>0</v>
      </c>
      <c r="F12" s="69">
        <v>0</v>
      </c>
      <c r="G12" s="69">
        <v>0</v>
      </c>
      <c r="H12" s="69">
        <v>0</v>
      </c>
      <c r="I12" s="69">
        <v>0</v>
      </c>
      <c r="J12" s="69">
        <v>0</v>
      </c>
      <c r="K12" s="69">
        <v>0</v>
      </c>
      <c r="L12" s="69">
        <v>0</v>
      </c>
      <c r="M12" s="69">
        <v>0</v>
      </c>
      <c r="N12" s="69">
        <v>0</v>
      </c>
      <c r="O12" s="69">
        <v>0</v>
      </c>
      <c r="P12" s="69">
        <v>0</v>
      </c>
      <c r="Q12" s="69">
        <v>0</v>
      </c>
      <c r="R12" s="69">
        <v>0</v>
      </c>
      <c r="S12" s="70">
        <v>9373</v>
      </c>
      <c r="T12" s="70">
        <v>12890</v>
      </c>
      <c r="U12" s="70">
        <v>16051</v>
      </c>
      <c r="V12" s="70">
        <v>18063</v>
      </c>
      <c r="W12" s="70">
        <v>19909</v>
      </c>
      <c r="X12" s="70">
        <v>24348</v>
      </c>
      <c r="Y12" s="70">
        <v>32700</v>
      </c>
      <c r="Z12" s="70">
        <v>39748</v>
      </c>
      <c r="AA12" s="70">
        <v>46291</v>
      </c>
      <c r="AB12" s="70">
        <v>53768</v>
      </c>
      <c r="AC12" s="70">
        <v>68425</v>
      </c>
      <c r="AD12" s="70">
        <v>78129</v>
      </c>
      <c r="AE12" s="70">
        <v>85200</v>
      </c>
      <c r="AF12" s="70">
        <v>96169</v>
      </c>
      <c r="AG12" s="70">
        <v>109158</v>
      </c>
      <c r="AM12" s="123">
        <f>(AG12/T12)^(1/13)-1</f>
        <v>0.1786081362220906</v>
      </c>
      <c r="AO12" s="121">
        <f>(AG12/AD12)^(1/3)-1</f>
        <v>0.1179295469772581</v>
      </c>
    </row>
    <row r="13" spans="1:41" ht="14.4">
      <c r="A13" s="71" t="s">
        <v>144</v>
      </c>
      <c r="B13" s="66"/>
      <c r="C13" s="66"/>
      <c r="D13" s="66"/>
      <c r="E13" s="66"/>
      <c r="F13" s="66"/>
      <c r="G13" s="66"/>
      <c r="H13" s="66"/>
      <c r="I13" s="66"/>
      <c r="J13" s="66"/>
      <c r="K13" s="66"/>
      <c r="L13" s="66"/>
      <c r="M13" s="66"/>
      <c r="N13" s="66"/>
      <c r="O13" s="66"/>
      <c r="P13" s="66"/>
      <c r="Q13" s="66"/>
      <c r="R13" s="66"/>
      <c r="S13" s="66"/>
      <c r="T13" s="72">
        <f>T12/S12-1</f>
        <v>0.37522671503254035</v>
      </c>
      <c r="U13" s="72">
        <f t="shared" ref="U13:AG13" si="6">U12/T12-1</f>
        <v>0.24522885958107055</v>
      </c>
      <c r="V13" s="72">
        <f t="shared" si="6"/>
        <v>0.12535044545511176</v>
      </c>
      <c r="W13" s="72">
        <f t="shared" si="6"/>
        <v>0.10219786303493339</v>
      </c>
      <c r="X13" s="72">
        <f t="shared" si="6"/>
        <v>0.22296448842232164</v>
      </c>
      <c r="Y13" s="72">
        <f t="shared" si="6"/>
        <v>0.34302612124199117</v>
      </c>
      <c r="Z13" s="72">
        <f t="shared" si="6"/>
        <v>0.21553516819571872</v>
      </c>
      <c r="AA13" s="72">
        <f t="shared" si="6"/>
        <v>0.16461205595250084</v>
      </c>
      <c r="AB13" s="72">
        <f t="shared" si="6"/>
        <v>0.16152167807997242</v>
      </c>
      <c r="AC13" s="72">
        <f t="shared" si="6"/>
        <v>0.27259708376729663</v>
      </c>
      <c r="AD13" s="72">
        <f t="shared" si="6"/>
        <v>0.14181951041286078</v>
      </c>
      <c r="AE13" s="72">
        <f t="shared" si="6"/>
        <v>9.0504166186691215E-2</v>
      </c>
      <c r="AF13" s="72">
        <f t="shared" si="6"/>
        <v>0.12874413145539898</v>
      </c>
      <c r="AG13" s="72">
        <f t="shared" si="6"/>
        <v>0.13506431386413498</v>
      </c>
    </row>
    <row r="14" spans="1:41">
      <c r="A14" s="73" t="s">
        <v>165</v>
      </c>
      <c r="B14" s="74">
        <f t="shared" ref="B14:R14" si="7">B4+B6+B8+B10</f>
        <v>0</v>
      </c>
      <c r="C14" s="74">
        <f t="shared" si="7"/>
        <v>0</v>
      </c>
      <c r="D14" s="74">
        <f t="shared" si="7"/>
        <v>0</v>
      </c>
      <c r="E14" s="76">
        <f t="shared" si="7"/>
        <v>5671</v>
      </c>
      <c r="F14" s="76">
        <f t="shared" si="7"/>
        <v>4862</v>
      </c>
      <c r="G14" s="76">
        <f t="shared" si="7"/>
        <v>5082</v>
      </c>
      <c r="H14" s="76">
        <f t="shared" si="7"/>
        <v>6885</v>
      </c>
      <c r="I14" s="76">
        <f t="shared" si="7"/>
        <v>4403</v>
      </c>
      <c r="J14" s="76">
        <f t="shared" si="7"/>
        <v>4534</v>
      </c>
      <c r="K14" s="76">
        <f t="shared" si="7"/>
        <v>4491</v>
      </c>
      <c r="L14" s="76">
        <f t="shared" si="7"/>
        <v>4923</v>
      </c>
      <c r="M14" s="76">
        <f t="shared" si="7"/>
        <v>6275</v>
      </c>
      <c r="N14" s="76">
        <f t="shared" si="7"/>
        <v>7375</v>
      </c>
      <c r="O14" s="76">
        <f t="shared" si="7"/>
        <v>10966</v>
      </c>
      <c r="P14" s="76">
        <f t="shared" si="7"/>
        <v>16154</v>
      </c>
      <c r="Q14" s="76">
        <f t="shared" si="7"/>
        <v>26892</v>
      </c>
      <c r="R14" s="76">
        <f t="shared" si="7"/>
        <v>47616</v>
      </c>
      <c r="S14" s="76">
        <f t="shared" ref="S14:AG14" si="8">S4+S6+S8+S10+S12</f>
        <v>96322</v>
      </c>
      <c r="T14" s="76">
        <f t="shared" si="8"/>
        <v>145748</v>
      </c>
      <c r="U14" s="76">
        <f t="shared" si="8"/>
        <v>160793</v>
      </c>
      <c r="V14" s="76">
        <f t="shared" si="8"/>
        <v>174416</v>
      </c>
      <c r="W14" s="74">
        <f t="shared" si="8"/>
        <v>233448</v>
      </c>
      <c r="X14" s="74">
        <f t="shared" si="8"/>
        <v>215407</v>
      </c>
      <c r="Y14" s="74">
        <f t="shared" si="8"/>
        <v>229234</v>
      </c>
      <c r="Z14" s="74">
        <f t="shared" si="8"/>
        <v>265595</v>
      </c>
      <c r="AA14" s="74">
        <f t="shared" si="8"/>
        <v>260174</v>
      </c>
      <c r="AB14" s="74">
        <f t="shared" si="8"/>
        <v>274515</v>
      </c>
      <c r="AC14" s="74">
        <f t="shared" si="8"/>
        <v>365817</v>
      </c>
      <c r="AD14" s="74">
        <f t="shared" si="8"/>
        <v>394328</v>
      </c>
      <c r="AE14" s="74">
        <f t="shared" si="8"/>
        <v>383285</v>
      </c>
      <c r="AF14" s="74">
        <f t="shared" si="8"/>
        <v>391035</v>
      </c>
      <c r="AG14" s="74">
        <f t="shared" si="8"/>
        <v>416161</v>
      </c>
    </row>
    <row r="15" spans="1:41" ht="14.4">
      <c r="A15" s="71" t="s">
        <v>144</v>
      </c>
      <c r="B15" s="66"/>
      <c r="C15" s="66"/>
      <c r="D15" s="66"/>
      <c r="E15" s="66"/>
      <c r="F15" s="72">
        <f t="shared" ref="F15:AG15" si="9">F14/E14-1</f>
        <v>-0.14265561629342272</v>
      </c>
      <c r="G15" s="72">
        <f t="shared" si="9"/>
        <v>4.5248868778280604E-2</v>
      </c>
      <c r="H15" s="72">
        <f t="shared" si="9"/>
        <v>0.35478158205430943</v>
      </c>
      <c r="I15" s="72">
        <f t="shared" si="9"/>
        <v>-0.36049382716049383</v>
      </c>
      <c r="J15" s="72">
        <f t="shared" si="9"/>
        <v>2.975244151714751E-2</v>
      </c>
      <c r="K15" s="72">
        <f t="shared" si="9"/>
        <v>-9.4838994265549204E-3</v>
      </c>
      <c r="L15" s="72">
        <f t="shared" si="9"/>
        <v>9.6192384769539174E-2</v>
      </c>
      <c r="M15" s="72">
        <f t="shared" si="9"/>
        <v>0.27462929108267309</v>
      </c>
      <c r="N15" s="72">
        <f t="shared" si="9"/>
        <v>0.17529880478087656</v>
      </c>
      <c r="O15" s="72">
        <f t="shared" si="9"/>
        <v>0.4869152542372881</v>
      </c>
      <c r="P15" s="72">
        <f t="shared" si="9"/>
        <v>0.47309866861207373</v>
      </c>
      <c r="Q15" s="72">
        <f t="shared" si="9"/>
        <v>0.66472700259997519</v>
      </c>
      <c r="R15" s="72">
        <f t="shared" si="9"/>
        <v>0.77063810798750554</v>
      </c>
      <c r="S15" s="72">
        <f t="shared" si="9"/>
        <v>1.0228914650537635</v>
      </c>
      <c r="T15" s="72">
        <f t="shared" si="9"/>
        <v>0.51313303295197366</v>
      </c>
      <c r="U15" s="72">
        <f t="shared" si="9"/>
        <v>0.10322611631034384</v>
      </c>
      <c r="V15" s="72">
        <f t="shared" si="9"/>
        <v>8.4723837480487285E-2</v>
      </c>
      <c r="W15" s="72">
        <f t="shared" si="9"/>
        <v>0.33845518759746818</v>
      </c>
      <c r="X15" s="72">
        <f t="shared" si="9"/>
        <v>-7.728059353689043E-2</v>
      </c>
      <c r="Y15" s="72">
        <f t="shared" si="9"/>
        <v>6.4190114527383102E-2</v>
      </c>
      <c r="Z15" s="72">
        <f t="shared" si="9"/>
        <v>0.15861957650261305</v>
      </c>
      <c r="AA15" s="72">
        <f t="shared" si="9"/>
        <v>-2.04107758052674E-2</v>
      </c>
      <c r="AB15" s="72">
        <f t="shared" si="9"/>
        <v>5.5120803769784787E-2</v>
      </c>
      <c r="AC15" s="72">
        <f t="shared" si="9"/>
        <v>0.33259384733074704</v>
      </c>
      <c r="AD15" s="72">
        <f t="shared" si="9"/>
        <v>7.7937876041846099E-2</v>
      </c>
      <c r="AE15" s="72">
        <f t="shared" si="9"/>
        <v>-2.800460530319937E-2</v>
      </c>
      <c r="AF15" s="72">
        <f t="shared" si="9"/>
        <v>2.021994077514111E-2</v>
      </c>
      <c r="AG15" s="72">
        <f t="shared" si="9"/>
        <v>6.425511782832749E-2</v>
      </c>
    </row>
    <row r="16" spans="1:41">
      <c r="A16" s="66"/>
      <c r="B16" s="66"/>
      <c r="C16" s="66"/>
      <c r="D16" s="66"/>
      <c r="E16" s="66"/>
      <c r="F16" s="66"/>
      <c r="G16" s="66"/>
      <c r="H16" s="66"/>
      <c r="I16" s="66"/>
      <c r="J16" s="66"/>
      <c r="K16" s="66"/>
      <c r="L16" s="66"/>
      <c r="M16" s="66"/>
      <c r="N16" s="66"/>
      <c r="O16" s="66"/>
      <c r="P16" s="66"/>
      <c r="Q16" s="66"/>
      <c r="R16" s="66"/>
      <c r="S16" s="66"/>
      <c r="T16" s="66"/>
      <c r="U16" s="66"/>
      <c r="V16" s="66"/>
    </row>
    <row r="17" spans="1:33">
      <c r="A17" s="66"/>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row>
    <row r="18" spans="1:33">
      <c r="A18" s="66"/>
      <c r="B18" s="66"/>
      <c r="C18" s="66"/>
      <c r="D18" s="66"/>
      <c r="E18" s="66"/>
      <c r="F18" s="66"/>
      <c r="G18" s="66"/>
      <c r="H18" s="66"/>
      <c r="I18" s="66"/>
      <c r="J18" s="66"/>
      <c r="K18" s="66"/>
      <c r="L18" s="66"/>
      <c r="M18" s="66"/>
      <c r="N18" s="66"/>
      <c r="O18" s="66"/>
      <c r="P18" s="66"/>
      <c r="Q18" s="66"/>
      <c r="R18" s="66"/>
      <c r="S18" s="66"/>
      <c r="T18" s="66"/>
      <c r="U18" s="66"/>
      <c r="V18" s="66"/>
    </row>
    <row r="19" spans="1:33">
      <c r="A19" s="66"/>
      <c r="B19" s="66"/>
      <c r="C19" s="66"/>
      <c r="D19" s="66"/>
      <c r="E19" s="66"/>
      <c r="F19" s="66"/>
      <c r="G19" s="66"/>
      <c r="H19" s="66"/>
      <c r="I19" s="66"/>
      <c r="J19" s="66"/>
      <c r="K19" s="66"/>
      <c r="L19" s="66"/>
      <c r="M19" s="66"/>
      <c r="N19" s="66"/>
      <c r="O19" s="66"/>
      <c r="P19" s="66"/>
      <c r="Q19" s="66"/>
      <c r="R19" s="66"/>
      <c r="S19" s="66"/>
      <c r="T19" s="66"/>
      <c r="U19" s="66"/>
      <c r="V19" s="66"/>
    </row>
    <row r="20" spans="1:33">
      <c r="A20" s="66"/>
      <c r="B20" s="66"/>
      <c r="C20" s="66"/>
      <c r="D20" s="66"/>
      <c r="E20" s="66"/>
      <c r="F20" s="66"/>
      <c r="G20" s="66"/>
      <c r="H20" s="66"/>
      <c r="I20" s="66"/>
      <c r="J20" s="66"/>
      <c r="K20" s="66"/>
      <c r="L20" s="66"/>
      <c r="M20" s="66"/>
      <c r="N20" s="66"/>
      <c r="O20" s="66"/>
      <c r="P20" s="66"/>
      <c r="Q20" s="66"/>
      <c r="R20" s="66"/>
      <c r="S20" s="66"/>
      <c r="T20" s="66"/>
      <c r="U20" s="66"/>
      <c r="V20" s="66"/>
    </row>
    <row r="21" spans="1:33">
      <c r="A21" s="66"/>
      <c r="B21" s="66"/>
      <c r="C21" s="66"/>
      <c r="D21" s="66"/>
      <c r="E21" s="66"/>
      <c r="F21" s="66"/>
      <c r="G21" s="66"/>
      <c r="H21" s="66"/>
      <c r="I21" s="66"/>
      <c r="J21" s="66"/>
      <c r="K21" s="66"/>
      <c r="L21" s="66"/>
      <c r="M21" s="66"/>
      <c r="N21" s="66"/>
      <c r="O21" s="66"/>
      <c r="P21" s="66"/>
      <c r="Q21" s="66"/>
      <c r="R21" s="66"/>
      <c r="S21" s="66"/>
      <c r="T21" s="66"/>
      <c r="U21" s="66"/>
      <c r="V21" s="66"/>
    </row>
    <row r="22" spans="1:33">
      <c r="A22" s="66"/>
      <c r="B22" s="66"/>
      <c r="C22" s="66"/>
      <c r="D22" s="66"/>
      <c r="E22" s="66"/>
      <c r="F22" s="66"/>
      <c r="G22" s="66"/>
      <c r="H22" s="66"/>
      <c r="I22" s="66"/>
      <c r="J22" s="66"/>
      <c r="K22" s="66"/>
      <c r="L22" s="66"/>
      <c r="M22" s="66"/>
      <c r="N22" s="66"/>
      <c r="O22" s="66"/>
      <c r="P22" s="66"/>
      <c r="Q22" s="66"/>
      <c r="R22" s="66"/>
      <c r="S22" s="66"/>
      <c r="T22" s="66"/>
      <c r="U22" s="66"/>
      <c r="V22" s="66"/>
    </row>
    <row r="23" spans="1:33">
      <c r="A23" s="66"/>
      <c r="B23" s="66"/>
      <c r="C23" s="66"/>
      <c r="D23" s="66"/>
      <c r="E23" s="66"/>
      <c r="F23" s="66"/>
      <c r="G23" s="66"/>
      <c r="H23" s="66"/>
      <c r="I23" s="66"/>
      <c r="J23" s="66"/>
      <c r="K23" s="66"/>
      <c r="L23" s="66"/>
      <c r="M23" s="66"/>
      <c r="N23" s="66"/>
      <c r="O23" s="66"/>
      <c r="P23" s="66"/>
      <c r="Q23" s="66"/>
      <c r="R23" s="66"/>
      <c r="S23" s="66"/>
      <c r="T23" s="66"/>
      <c r="U23" s="66"/>
      <c r="V23" s="66"/>
    </row>
    <row r="24" spans="1:33">
      <c r="A24" s="66"/>
      <c r="B24" s="66"/>
      <c r="C24" s="66"/>
      <c r="D24" s="66"/>
      <c r="E24" s="66"/>
      <c r="F24" s="66"/>
      <c r="G24" s="66"/>
      <c r="H24" s="66"/>
      <c r="I24" s="66"/>
      <c r="J24" s="66"/>
      <c r="K24" s="66"/>
      <c r="L24" s="66"/>
      <c r="M24" s="66"/>
      <c r="N24" s="66"/>
      <c r="O24" s="66"/>
      <c r="P24" s="66"/>
      <c r="Q24" s="66"/>
      <c r="R24" s="66"/>
      <c r="S24" s="66"/>
      <c r="T24" s="66"/>
      <c r="U24" s="66"/>
      <c r="V24" s="66"/>
    </row>
    <row r="25" spans="1:33">
      <c r="A25" s="66"/>
      <c r="B25" s="66"/>
      <c r="C25" s="66"/>
      <c r="D25" s="66"/>
      <c r="E25" s="66"/>
      <c r="F25" s="66"/>
      <c r="G25" s="66"/>
      <c r="H25" s="66"/>
      <c r="I25" s="66"/>
      <c r="J25" s="66"/>
      <c r="K25" s="66"/>
      <c r="L25" s="66"/>
      <c r="M25" s="66"/>
      <c r="N25" s="66"/>
      <c r="O25" s="66"/>
      <c r="P25" s="66"/>
      <c r="Q25" s="66"/>
      <c r="R25" s="66"/>
      <c r="S25" s="66"/>
      <c r="T25" s="66"/>
      <c r="U25" s="66"/>
      <c r="V25" s="66"/>
    </row>
    <row r="26" spans="1:33">
      <c r="A26" s="66"/>
      <c r="B26" s="66"/>
      <c r="C26" s="66"/>
      <c r="D26" s="66"/>
      <c r="E26" s="66"/>
      <c r="F26" s="66"/>
      <c r="G26" s="66"/>
      <c r="H26" s="66"/>
      <c r="I26" s="66"/>
      <c r="J26" s="66"/>
      <c r="K26" s="66"/>
      <c r="L26" s="66"/>
      <c r="M26" s="66"/>
      <c r="N26" s="66"/>
      <c r="O26" s="66"/>
      <c r="P26" s="66"/>
      <c r="Q26" s="66"/>
      <c r="R26" s="66"/>
      <c r="S26" s="66"/>
      <c r="T26" s="66"/>
      <c r="U26" s="66"/>
      <c r="V26" s="66"/>
    </row>
    <row r="27" spans="1:33">
      <c r="A27" s="66"/>
      <c r="B27" s="66"/>
      <c r="C27" s="66"/>
      <c r="D27" s="66"/>
      <c r="E27" s="66"/>
      <c r="F27" s="66"/>
      <c r="G27" s="66"/>
      <c r="H27" s="66"/>
      <c r="I27" s="66"/>
      <c r="J27" s="66"/>
      <c r="K27" s="66"/>
      <c r="L27" s="66"/>
      <c r="M27" s="66"/>
      <c r="N27" s="66"/>
      <c r="O27" s="66"/>
      <c r="P27" s="66"/>
      <c r="Q27" s="66"/>
      <c r="R27" s="66"/>
      <c r="S27" s="66"/>
      <c r="T27" s="66"/>
      <c r="U27" s="66"/>
      <c r="V27" s="66"/>
    </row>
    <row r="28" spans="1:33">
      <c r="A28" s="66"/>
      <c r="B28" s="66"/>
      <c r="C28" s="66"/>
      <c r="D28" s="66"/>
      <c r="E28" s="66"/>
      <c r="F28" s="66"/>
      <c r="G28" s="66"/>
      <c r="H28" s="66"/>
      <c r="I28" s="66"/>
      <c r="J28" s="66"/>
      <c r="K28" s="66"/>
      <c r="L28" s="66"/>
      <c r="M28" s="66"/>
      <c r="N28" s="66"/>
      <c r="O28" s="66"/>
      <c r="P28" s="66"/>
      <c r="Q28" s="66"/>
      <c r="R28" s="66"/>
      <c r="S28" s="66"/>
      <c r="T28" s="66"/>
      <c r="U28" s="66"/>
      <c r="V28" s="66"/>
    </row>
    <row r="29" spans="1:33">
      <c r="A29" s="66"/>
      <c r="B29" s="66"/>
      <c r="C29" s="66"/>
      <c r="D29" s="66"/>
      <c r="E29" s="66"/>
      <c r="F29" s="66"/>
      <c r="G29" s="66"/>
      <c r="H29" s="66"/>
      <c r="I29" s="66"/>
      <c r="J29" s="66"/>
      <c r="K29" s="66"/>
      <c r="L29" s="66"/>
      <c r="M29" s="66"/>
      <c r="N29" s="66"/>
      <c r="O29" s="66"/>
      <c r="P29" s="66"/>
      <c r="Q29" s="66"/>
      <c r="R29" s="66"/>
      <c r="S29" s="66"/>
      <c r="T29" s="66"/>
      <c r="U29" s="66"/>
      <c r="V29" s="66"/>
    </row>
    <row r="30" spans="1:33">
      <c r="A30" s="66"/>
      <c r="B30" s="66"/>
      <c r="C30" s="66"/>
      <c r="D30" s="66"/>
      <c r="E30" s="66"/>
      <c r="F30" s="66"/>
      <c r="G30" s="66"/>
      <c r="H30" s="66"/>
      <c r="I30" s="66"/>
      <c r="J30" s="66"/>
      <c r="K30" s="66"/>
      <c r="L30" s="66"/>
      <c r="M30" s="66"/>
      <c r="N30" s="66"/>
      <c r="O30" s="66"/>
      <c r="P30" s="66"/>
      <c r="Q30" s="66"/>
      <c r="R30" s="66"/>
      <c r="S30" s="66"/>
      <c r="T30" s="66"/>
      <c r="U30" s="66"/>
      <c r="V30" s="66"/>
    </row>
    <row r="31" spans="1:33">
      <c r="A31" s="66"/>
      <c r="B31" s="66"/>
      <c r="C31" s="66"/>
      <c r="D31" s="66"/>
      <c r="E31" s="66"/>
      <c r="F31" s="66"/>
      <c r="G31" s="66"/>
      <c r="H31" s="66"/>
      <c r="I31" s="66"/>
      <c r="J31" s="66"/>
      <c r="K31" s="66"/>
      <c r="L31" s="66"/>
      <c r="M31" s="66"/>
      <c r="N31" s="66"/>
      <c r="O31" s="66"/>
      <c r="P31" s="66"/>
      <c r="Q31" s="66"/>
      <c r="R31" s="66"/>
      <c r="S31" s="66"/>
      <c r="T31" s="66"/>
      <c r="U31" s="66"/>
      <c r="V31" s="66"/>
    </row>
    <row r="32" spans="1:33">
      <c r="A32" s="66"/>
      <c r="B32" s="66"/>
      <c r="C32" s="66"/>
      <c r="D32" s="66"/>
      <c r="E32" s="66"/>
      <c r="F32" s="66"/>
      <c r="G32" s="66"/>
      <c r="H32" s="66"/>
      <c r="I32" s="66"/>
      <c r="J32" s="66"/>
      <c r="K32" s="66"/>
      <c r="L32" s="66"/>
      <c r="M32" s="66"/>
      <c r="N32" s="66"/>
      <c r="O32" s="66"/>
      <c r="P32" s="66"/>
      <c r="Q32" s="66"/>
      <c r="R32" s="66"/>
      <c r="S32" s="66"/>
      <c r="T32" s="66"/>
      <c r="U32" s="66"/>
      <c r="V32" s="66"/>
    </row>
    <row r="33" spans="1:22">
      <c r="A33" s="66"/>
      <c r="B33" s="66"/>
      <c r="C33" s="66"/>
      <c r="D33" s="66"/>
      <c r="E33" s="66"/>
      <c r="F33" s="66"/>
      <c r="G33" s="66"/>
      <c r="H33" s="66"/>
      <c r="I33" s="66"/>
      <c r="J33" s="66"/>
      <c r="K33" s="66"/>
      <c r="L33" s="66"/>
      <c r="M33" s="66"/>
      <c r="N33" s="66"/>
      <c r="O33" s="66"/>
      <c r="P33" s="66"/>
      <c r="Q33" s="66"/>
      <c r="R33" s="66"/>
      <c r="S33" s="66"/>
      <c r="T33" s="66"/>
      <c r="U33" s="66"/>
      <c r="V33" s="66"/>
    </row>
    <row r="34" spans="1:22">
      <c r="A34" s="66"/>
      <c r="B34" s="66"/>
      <c r="C34" s="66"/>
      <c r="D34" s="66"/>
      <c r="E34" s="66"/>
      <c r="F34" s="66"/>
      <c r="G34" s="66"/>
      <c r="H34" s="66"/>
      <c r="I34" s="66"/>
      <c r="J34" s="66"/>
      <c r="K34" s="66"/>
      <c r="L34" s="66"/>
      <c r="M34" s="66"/>
      <c r="N34" s="66"/>
      <c r="O34" s="66"/>
      <c r="P34" s="66"/>
      <c r="Q34" s="66"/>
      <c r="R34" s="66"/>
      <c r="S34" s="66"/>
      <c r="T34" s="66"/>
      <c r="U34" s="66"/>
      <c r="V34" s="66"/>
    </row>
    <row r="35" spans="1:22">
      <c r="A35" s="66"/>
      <c r="B35" s="66"/>
      <c r="C35" s="66"/>
      <c r="D35" s="66"/>
      <c r="E35" s="66"/>
      <c r="F35" s="66"/>
      <c r="G35" s="66"/>
      <c r="H35" s="66"/>
      <c r="I35" s="66"/>
      <c r="J35" s="66"/>
      <c r="K35" s="66"/>
      <c r="L35" s="66"/>
      <c r="M35" s="66"/>
      <c r="N35" s="66"/>
      <c r="O35" s="66"/>
      <c r="P35" s="66"/>
      <c r="Q35" s="66"/>
      <c r="R35" s="66"/>
      <c r="S35" s="66"/>
      <c r="T35" s="66"/>
      <c r="U35" s="66"/>
      <c r="V35" s="66"/>
    </row>
    <row r="36" spans="1:22">
      <c r="A36" s="66"/>
      <c r="B36" s="66"/>
      <c r="C36" s="66"/>
      <c r="D36" s="66"/>
      <c r="E36" s="66"/>
      <c r="F36" s="66"/>
      <c r="G36" s="66"/>
      <c r="H36" s="66"/>
      <c r="I36" s="66"/>
      <c r="J36" s="66"/>
      <c r="K36" s="66"/>
      <c r="L36" s="66"/>
      <c r="M36" s="66"/>
      <c r="N36" s="66"/>
      <c r="O36" s="66"/>
      <c r="P36" s="66"/>
      <c r="Q36" s="66"/>
      <c r="R36" s="66"/>
      <c r="S36" s="66"/>
      <c r="T36" s="66"/>
      <c r="U36" s="66"/>
      <c r="V36" s="66"/>
    </row>
    <row r="37" spans="1:22">
      <c r="A37" s="66"/>
      <c r="B37" s="66"/>
      <c r="C37" s="66"/>
      <c r="D37" s="66"/>
      <c r="E37" s="66"/>
      <c r="F37" s="66"/>
      <c r="G37" s="66"/>
      <c r="H37" s="66"/>
      <c r="I37" s="66"/>
      <c r="J37" s="66"/>
      <c r="K37" s="66"/>
      <c r="L37" s="66"/>
      <c r="M37" s="66"/>
      <c r="N37" s="66"/>
      <c r="O37" s="66"/>
      <c r="P37" s="66"/>
      <c r="Q37" s="66"/>
      <c r="R37" s="66"/>
      <c r="S37" s="66"/>
      <c r="T37" s="66"/>
      <c r="U37" s="66"/>
      <c r="V37" s="66"/>
    </row>
    <row r="38" spans="1:22">
      <c r="A38" s="66"/>
      <c r="B38" s="66"/>
      <c r="C38" s="66"/>
      <c r="D38" s="66"/>
      <c r="E38" s="66"/>
      <c r="F38" s="66"/>
      <c r="G38" s="66"/>
      <c r="H38" s="66"/>
      <c r="I38" s="66"/>
      <c r="J38" s="66"/>
      <c r="K38" s="66"/>
      <c r="L38" s="66"/>
      <c r="M38" s="66"/>
      <c r="N38" s="66"/>
      <c r="O38" s="66"/>
      <c r="P38" s="66"/>
      <c r="Q38" s="66"/>
      <c r="R38" s="66"/>
      <c r="S38" s="66"/>
      <c r="T38" s="66"/>
      <c r="U38" s="66"/>
      <c r="V38" s="66"/>
    </row>
    <row r="39" spans="1:22">
      <c r="A39" s="66"/>
      <c r="B39" s="66"/>
      <c r="C39" s="66"/>
      <c r="D39" s="66"/>
      <c r="E39" s="66"/>
      <c r="F39" s="66"/>
      <c r="G39" s="66"/>
      <c r="H39" s="66"/>
      <c r="I39" s="66"/>
      <c r="J39" s="66"/>
      <c r="K39" s="66"/>
      <c r="L39" s="66"/>
      <c r="M39" s="66"/>
      <c r="N39" s="66"/>
      <c r="O39" s="66"/>
      <c r="P39" s="66"/>
      <c r="Q39" s="66"/>
      <c r="R39" s="66"/>
      <c r="S39" s="66"/>
      <c r="T39" s="66"/>
      <c r="U39" s="66"/>
      <c r="V39" s="66"/>
    </row>
    <row r="40" spans="1:22">
      <c r="A40" s="66"/>
      <c r="B40" s="66"/>
      <c r="C40" s="66"/>
      <c r="D40" s="66"/>
      <c r="E40" s="66"/>
      <c r="F40" s="66"/>
      <c r="G40" s="66"/>
      <c r="H40" s="66"/>
      <c r="I40" s="66"/>
      <c r="J40" s="66"/>
      <c r="K40" s="66"/>
      <c r="L40" s="66"/>
      <c r="M40" s="66"/>
      <c r="N40" s="66"/>
      <c r="O40" s="66"/>
      <c r="P40" s="66"/>
      <c r="Q40" s="66"/>
      <c r="R40" s="66"/>
      <c r="S40" s="66"/>
      <c r="T40" s="66"/>
      <c r="U40" s="66"/>
      <c r="V40" s="66"/>
    </row>
    <row r="41" spans="1:22">
      <c r="A41" s="66"/>
      <c r="B41" s="66"/>
      <c r="C41" s="66"/>
      <c r="D41" s="66"/>
      <c r="E41" s="66"/>
      <c r="F41" s="66"/>
      <c r="G41" s="66"/>
      <c r="H41" s="66"/>
      <c r="I41" s="66"/>
      <c r="J41" s="66"/>
      <c r="K41" s="66"/>
      <c r="L41" s="66"/>
      <c r="M41" s="66"/>
      <c r="N41" s="66"/>
      <c r="O41" s="66"/>
      <c r="P41" s="66"/>
      <c r="Q41" s="66"/>
      <c r="R41" s="66"/>
      <c r="S41" s="66"/>
      <c r="T41" s="66"/>
      <c r="U41" s="66"/>
      <c r="V41" s="66"/>
    </row>
    <row r="42" spans="1:22">
      <c r="A42" s="66"/>
      <c r="B42" s="66"/>
      <c r="C42" s="66"/>
      <c r="D42" s="66"/>
      <c r="E42" s="66"/>
      <c r="F42" s="66"/>
      <c r="G42" s="66"/>
      <c r="H42" s="66"/>
      <c r="I42" s="66"/>
      <c r="J42" s="66"/>
      <c r="K42" s="66"/>
      <c r="L42" s="66"/>
      <c r="M42" s="66"/>
      <c r="N42" s="66"/>
      <c r="O42" s="66"/>
      <c r="P42" s="66"/>
      <c r="Q42" s="66"/>
      <c r="R42" s="66"/>
      <c r="S42" s="66"/>
      <c r="T42" s="66"/>
      <c r="U42" s="66"/>
      <c r="V42" s="66"/>
    </row>
    <row r="43" spans="1:22">
      <c r="A43" s="66"/>
      <c r="B43" s="66"/>
      <c r="C43" s="66"/>
      <c r="D43" s="66"/>
      <c r="E43" s="66"/>
      <c r="F43" s="66"/>
      <c r="G43" s="66"/>
      <c r="H43" s="66"/>
      <c r="I43" s="66"/>
      <c r="J43" s="66"/>
      <c r="K43" s="66"/>
      <c r="L43" s="66"/>
      <c r="M43" s="66"/>
      <c r="N43" s="66"/>
      <c r="O43" s="66"/>
      <c r="P43" s="66"/>
      <c r="Q43" s="66"/>
      <c r="R43" s="66"/>
      <c r="S43" s="66"/>
      <c r="T43" s="66"/>
      <c r="U43" s="66"/>
      <c r="V43" s="66"/>
    </row>
    <row r="44" spans="1:22">
      <c r="A44" s="66"/>
      <c r="B44" s="66"/>
      <c r="C44" s="66"/>
      <c r="D44" s="66"/>
      <c r="E44" s="66"/>
      <c r="F44" s="66"/>
      <c r="G44" s="66"/>
      <c r="H44" s="66"/>
      <c r="I44" s="66"/>
      <c r="J44" s="66"/>
      <c r="K44" s="66"/>
      <c r="L44" s="66"/>
      <c r="M44" s="66"/>
      <c r="N44" s="66"/>
      <c r="O44" s="66"/>
      <c r="P44" s="66"/>
      <c r="Q44" s="66"/>
      <c r="R44" s="66"/>
      <c r="S44" s="66"/>
      <c r="T44" s="66"/>
      <c r="U44" s="66"/>
      <c r="V44" s="66"/>
    </row>
    <row r="45" spans="1:22">
      <c r="A45" s="66"/>
      <c r="B45" s="66"/>
      <c r="C45" s="66"/>
      <c r="D45" s="66"/>
      <c r="E45" s="66"/>
      <c r="F45" s="66"/>
      <c r="G45" s="66"/>
      <c r="H45" s="66"/>
      <c r="I45" s="66"/>
      <c r="J45" s="66"/>
      <c r="K45" s="66"/>
      <c r="L45" s="66"/>
      <c r="M45" s="66"/>
      <c r="N45" s="66"/>
      <c r="O45" s="66"/>
      <c r="P45" s="66"/>
      <c r="Q45" s="66"/>
      <c r="R45" s="66"/>
      <c r="S45" s="66"/>
      <c r="T45" s="66"/>
      <c r="U45" s="66"/>
      <c r="V45" s="66"/>
    </row>
    <row r="46" spans="1:22">
      <c r="A46" s="66"/>
      <c r="B46" s="66"/>
      <c r="C46" s="66"/>
      <c r="D46" s="66"/>
      <c r="E46" s="66"/>
      <c r="F46" s="66"/>
      <c r="G46" s="66"/>
      <c r="H46" s="66"/>
      <c r="I46" s="66"/>
      <c r="J46" s="66"/>
      <c r="K46" s="66"/>
      <c r="L46" s="66"/>
      <c r="M46" s="66"/>
      <c r="N46" s="66"/>
      <c r="O46" s="66"/>
      <c r="P46" s="66"/>
      <c r="Q46" s="66"/>
      <c r="R46" s="66"/>
      <c r="S46" s="66"/>
      <c r="T46" s="66"/>
      <c r="U46" s="66"/>
      <c r="V46" s="66"/>
    </row>
    <row r="47" spans="1:22">
      <c r="A47" s="66"/>
      <c r="B47" s="66"/>
      <c r="C47" s="66"/>
      <c r="D47" s="66"/>
      <c r="E47" s="66"/>
      <c r="F47" s="66"/>
      <c r="G47" s="66"/>
      <c r="H47" s="66"/>
      <c r="I47" s="66"/>
      <c r="J47" s="66"/>
      <c r="K47" s="66"/>
      <c r="L47" s="66"/>
      <c r="M47" s="66"/>
      <c r="N47" s="66"/>
      <c r="O47" s="66"/>
      <c r="P47" s="66"/>
      <c r="Q47" s="66"/>
      <c r="R47" s="66"/>
      <c r="S47" s="66"/>
      <c r="T47" s="66"/>
      <c r="U47" s="66"/>
      <c r="V47" s="66"/>
    </row>
    <row r="48" spans="1:22">
      <c r="A48" s="66"/>
      <c r="B48" s="66"/>
      <c r="C48" s="66"/>
      <c r="D48" s="66"/>
      <c r="E48" s="66"/>
      <c r="F48" s="66"/>
      <c r="G48" s="66"/>
      <c r="H48" s="66"/>
      <c r="I48" s="66"/>
      <c r="J48" s="66"/>
      <c r="K48" s="66"/>
      <c r="L48" s="66"/>
      <c r="M48" s="66"/>
      <c r="N48" s="66"/>
      <c r="O48" s="66"/>
      <c r="P48" s="66"/>
      <c r="Q48" s="66"/>
      <c r="R48" s="66"/>
      <c r="S48" s="66"/>
      <c r="T48" s="66"/>
      <c r="U48" s="66"/>
      <c r="V48" s="66"/>
    </row>
    <row r="49" spans="1:22">
      <c r="A49" s="66"/>
      <c r="B49" s="66"/>
      <c r="C49" s="66"/>
      <c r="D49" s="66"/>
      <c r="E49" s="66"/>
      <c r="F49" s="66"/>
      <c r="G49" s="66"/>
      <c r="H49" s="66"/>
      <c r="I49" s="66"/>
      <c r="J49" s="66"/>
      <c r="K49" s="66"/>
      <c r="L49" s="66"/>
      <c r="M49" s="66"/>
      <c r="N49" s="66"/>
      <c r="O49" s="66"/>
      <c r="P49" s="66"/>
      <c r="Q49" s="66"/>
      <c r="R49" s="66"/>
      <c r="S49" s="66"/>
      <c r="T49" s="66"/>
      <c r="U49" s="66"/>
      <c r="V49" s="66"/>
    </row>
    <row r="50" spans="1:22">
      <c r="A50" s="66"/>
      <c r="B50" s="66"/>
      <c r="C50" s="66"/>
      <c r="D50" s="66"/>
      <c r="E50" s="66"/>
      <c r="F50" s="66"/>
      <c r="G50" s="66"/>
      <c r="H50" s="66"/>
      <c r="I50" s="66"/>
      <c r="J50" s="66"/>
      <c r="K50" s="66"/>
      <c r="L50" s="66"/>
      <c r="M50" s="66"/>
      <c r="N50" s="66"/>
      <c r="O50" s="66"/>
      <c r="P50" s="66"/>
      <c r="Q50" s="66"/>
      <c r="R50" s="66"/>
      <c r="S50" s="66"/>
      <c r="T50" s="66"/>
      <c r="U50" s="66"/>
      <c r="V50" s="66"/>
    </row>
    <row r="51" spans="1:22">
      <c r="A51" s="66"/>
      <c r="B51" s="66"/>
      <c r="C51" s="66"/>
      <c r="D51" s="66"/>
      <c r="E51" s="66"/>
      <c r="F51" s="66"/>
      <c r="G51" s="66"/>
      <c r="H51" s="66"/>
      <c r="I51" s="66"/>
      <c r="J51" s="66"/>
      <c r="K51" s="66"/>
      <c r="L51" s="66"/>
      <c r="M51" s="66"/>
      <c r="N51" s="66"/>
      <c r="O51" s="66"/>
      <c r="P51" s="66"/>
      <c r="Q51" s="66"/>
      <c r="R51" s="66"/>
      <c r="S51" s="66"/>
      <c r="T51" s="66"/>
      <c r="U51" s="66"/>
      <c r="V51" s="66"/>
    </row>
    <row r="52" spans="1:22">
      <c r="A52" s="66"/>
      <c r="B52" s="66"/>
      <c r="C52" s="66"/>
      <c r="D52" s="66"/>
      <c r="E52" s="66"/>
      <c r="F52" s="66"/>
      <c r="G52" s="66"/>
      <c r="H52" s="66"/>
      <c r="I52" s="66"/>
      <c r="J52" s="66"/>
      <c r="K52" s="66"/>
      <c r="L52" s="66"/>
      <c r="M52" s="66"/>
      <c r="N52" s="66"/>
      <c r="O52" s="66"/>
      <c r="P52" s="66"/>
      <c r="Q52" s="66"/>
      <c r="R52" s="66"/>
      <c r="S52" s="66"/>
      <c r="T52" s="66"/>
      <c r="U52" s="66"/>
      <c r="V52" s="66"/>
    </row>
    <row r="53" spans="1:22">
      <c r="A53" s="66"/>
      <c r="B53" s="66"/>
      <c r="C53" s="66"/>
      <c r="D53" s="66"/>
      <c r="E53" s="66"/>
      <c r="F53" s="66"/>
      <c r="G53" s="66"/>
      <c r="H53" s="66"/>
      <c r="I53" s="66"/>
      <c r="J53" s="66"/>
      <c r="K53" s="66"/>
      <c r="L53" s="66"/>
      <c r="M53" s="66"/>
      <c r="N53" s="66"/>
      <c r="O53" s="66"/>
      <c r="P53" s="66"/>
      <c r="Q53" s="66"/>
      <c r="R53" s="66"/>
      <c r="S53" s="66"/>
      <c r="T53" s="66"/>
      <c r="U53" s="66"/>
      <c r="V53" s="66"/>
    </row>
    <row r="54" spans="1:22">
      <c r="A54" s="66"/>
      <c r="B54" s="66"/>
      <c r="C54" s="66"/>
      <c r="D54" s="66"/>
      <c r="E54" s="66"/>
      <c r="F54" s="66"/>
      <c r="G54" s="66"/>
      <c r="H54" s="66"/>
      <c r="I54" s="66"/>
      <c r="J54" s="66"/>
      <c r="K54" s="66"/>
      <c r="L54" s="66"/>
      <c r="M54" s="66"/>
      <c r="N54" s="66"/>
      <c r="O54" s="66"/>
      <c r="P54" s="66"/>
      <c r="Q54" s="66"/>
      <c r="R54" s="66"/>
      <c r="S54" s="66"/>
      <c r="T54" s="66"/>
      <c r="U54" s="66"/>
      <c r="V54" s="66"/>
    </row>
    <row r="55" spans="1:22">
      <c r="A55" s="66"/>
      <c r="B55" s="66"/>
      <c r="C55" s="66"/>
      <c r="D55" s="66"/>
      <c r="E55" s="66"/>
      <c r="F55" s="66"/>
      <c r="G55" s="66"/>
      <c r="H55" s="66"/>
      <c r="I55" s="66"/>
      <c r="J55" s="66"/>
      <c r="K55" s="66"/>
      <c r="L55" s="66"/>
      <c r="M55" s="66"/>
      <c r="N55" s="66"/>
      <c r="O55" s="66"/>
      <c r="P55" s="66"/>
      <c r="Q55" s="66"/>
      <c r="R55" s="66"/>
      <c r="S55" s="66"/>
      <c r="T55" s="66"/>
      <c r="U55" s="66"/>
      <c r="V55" s="66"/>
    </row>
    <row r="56" spans="1:22">
      <c r="A56" s="66"/>
      <c r="B56" s="66"/>
      <c r="C56" s="66"/>
      <c r="D56" s="66"/>
      <c r="E56" s="66"/>
      <c r="F56" s="66"/>
      <c r="G56" s="66"/>
      <c r="H56" s="66"/>
      <c r="I56" s="66"/>
      <c r="J56" s="66"/>
      <c r="K56" s="66"/>
      <c r="L56" s="66"/>
      <c r="M56" s="66"/>
      <c r="N56" s="66"/>
      <c r="O56" s="66"/>
      <c r="P56" s="66"/>
      <c r="Q56" s="66"/>
      <c r="R56" s="66"/>
      <c r="S56" s="66"/>
      <c r="T56" s="66"/>
      <c r="U56" s="66"/>
      <c r="V56" s="66"/>
    </row>
    <row r="57" spans="1:22">
      <c r="A57" s="66"/>
      <c r="B57" s="66"/>
      <c r="C57" s="66"/>
      <c r="D57" s="66"/>
      <c r="E57" s="66"/>
      <c r="F57" s="66"/>
      <c r="G57" s="66"/>
      <c r="H57" s="66"/>
      <c r="I57" s="66"/>
      <c r="J57" s="66"/>
      <c r="K57" s="66"/>
      <c r="L57" s="66"/>
      <c r="M57" s="66"/>
      <c r="N57" s="66"/>
      <c r="O57" s="66"/>
      <c r="P57" s="66"/>
      <c r="Q57" s="66"/>
      <c r="R57" s="66"/>
      <c r="S57" s="66"/>
      <c r="T57" s="66"/>
      <c r="U57" s="66"/>
      <c r="V57" s="66"/>
    </row>
    <row r="58" spans="1:22">
      <c r="A58" s="66"/>
      <c r="B58" s="66"/>
      <c r="C58" s="66"/>
      <c r="D58" s="66"/>
      <c r="E58" s="66"/>
      <c r="F58" s="66"/>
      <c r="G58" s="66"/>
      <c r="H58" s="66"/>
      <c r="I58" s="66"/>
      <c r="J58" s="66"/>
      <c r="K58" s="66"/>
      <c r="L58" s="66"/>
      <c r="M58" s="66"/>
      <c r="N58" s="66"/>
      <c r="O58" s="66"/>
      <c r="P58" s="66"/>
      <c r="Q58" s="66"/>
      <c r="R58" s="66"/>
      <c r="S58" s="66"/>
      <c r="T58" s="66"/>
      <c r="U58" s="66"/>
      <c r="V58" s="66"/>
    </row>
    <row r="59" spans="1:22">
      <c r="A59" s="66"/>
      <c r="B59" s="66"/>
      <c r="C59" s="66"/>
      <c r="D59" s="66"/>
      <c r="E59" s="66"/>
      <c r="F59" s="66"/>
      <c r="G59" s="66"/>
      <c r="H59" s="66"/>
      <c r="I59" s="66"/>
      <c r="J59" s="66"/>
      <c r="K59" s="66"/>
      <c r="L59" s="66"/>
      <c r="M59" s="66"/>
      <c r="N59" s="66"/>
      <c r="O59" s="66"/>
      <c r="P59" s="66"/>
      <c r="Q59" s="66"/>
      <c r="R59" s="66"/>
      <c r="S59" s="66"/>
      <c r="T59" s="66"/>
      <c r="U59" s="66"/>
      <c r="V59" s="66"/>
    </row>
    <row r="60" spans="1:22">
      <c r="A60" s="66"/>
      <c r="B60" s="66"/>
      <c r="C60" s="66"/>
      <c r="D60" s="66"/>
      <c r="E60" s="66"/>
      <c r="F60" s="66"/>
      <c r="G60" s="66"/>
      <c r="H60" s="66"/>
      <c r="I60" s="66"/>
      <c r="J60" s="66"/>
      <c r="K60" s="66"/>
      <c r="L60" s="66"/>
      <c r="M60" s="66"/>
      <c r="N60" s="66"/>
      <c r="O60" s="66"/>
      <c r="P60" s="66"/>
      <c r="Q60" s="66"/>
      <c r="R60" s="66"/>
      <c r="S60" s="66"/>
      <c r="T60" s="66"/>
      <c r="U60" s="66"/>
      <c r="V60" s="66"/>
    </row>
    <row r="61" spans="1:22">
      <c r="A61" s="66"/>
      <c r="B61" s="66"/>
      <c r="C61" s="66"/>
      <c r="D61" s="66"/>
      <c r="E61" s="66"/>
      <c r="F61" s="66"/>
      <c r="G61" s="66"/>
      <c r="H61" s="66"/>
      <c r="I61" s="66"/>
      <c r="J61" s="66"/>
      <c r="K61" s="66"/>
      <c r="L61" s="66"/>
      <c r="M61" s="66"/>
      <c r="N61" s="66"/>
      <c r="O61" s="66"/>
      <c r="P61" s="66"/>
      <c r="Q61" s="66"/>
      <c r="R61" s="66"/>
      <c r="S61" s="66"/>
      <c r="T61" s="66"/>
      <c r="U61" s="66"/>
      <c r="V61" s="66"/>
    </row>
    <row r="62" spans="1:22">
      <c r="A62" s="66"/>
      <c r="B62" s="66"/>
      <c r="C62" s="66"/>
      <c r="D62" s="66"/>
      <c r="E62" s="66"/>
      <c r="F62" s="66"/>
      <c r="G62" s="66"/>
      <c r="H62" s="66"/>
      <c r="I62" s="66"/>
      <c r="J62" s="66"/>
      <c r="K62" s="66"/>
      <c r="L62" s="66"/>
      <c r="M62" s="66"/>
      <c r="N62" s="66"/>
      <c r="O62" s="66"/>
      <c r="P62" s="66"/>
      <c r="Q62" s="66"/>
      <c r="R62" s="66"/>
      <c r="S62" s="66"/>
      <c r="T62" s="66"/>
      <c r="U62" s="66"/>
      <c r="V62" s="66"/>
    </row>
    <row r="63" spans="1:22">
      <c r="A63" s="66"/>
      <c r="B63" s="66"/>
      <c r="C63" s="66"/>
      <c r="D63" s="66"/>
      <c r="E63" s="66"/>
      <c r="F63" s="66"/>
      <c r="G63" s="66"/>
      <c r="H63" s="66"/>
      <c r="I63" s="66"/>
      <c r="J63" s="66"/>
      <c r="K63" s="66"/>
      <c r="L63" s="66"/>
      <c r="M63" s="66"/>
      <c r="N63" s="66"/>
      <c r="O63" s="66"/>
      <c r="P63" s="66"/>
      <c r="Q63" s="66"/>
      <c r="R63" s="66"/>
      <c r="S63" s="66"/>
      <c r="T63" s="66"/>
      <c r="U63" s="66"/>
      <c r="V63" s="66"/>
    </row>
    <row r="64" spans="1:22">
      <c r="A64" s="66"/>
      <c r="B64" s="66"/>
      <c r="C64" s="66"/>
      <c r="D64" s="66"/>
      <c r="E64" s="66"/>
      <c r="F64" s="66"/>
      <c r="G64" s="66"/>
      <c r="H64" s="66"/>
      <c r="I64" s="66"/>
      <c r="J64" s="66"/>
      <c r="K64" s="66"/>
      <c r="L64" s="66"/>
      <c r="M64" s="66"/>
      <c r="N64" s="66"/>
      <c r="O64" s="66"/>
      <c r="P64" s="66"/>
      <c r="Q64" s="66"/>
      <c r="R64" s="66"/>
      <c r="S64" s="66"/>
      <c r="T64" s="66"/>
      <c r="U64" s="66"/>
      <c r="V64" s="66"/>
    </row>
    <row r="65" spans="1:22">
      <c r="A65" s="66"/>
      <c r="B65" s="66"/>
      <c r="C65" s="66"/>
      <c r="D65" s="66"/>
      <c r="E65" s="66"/>
      <c r="F65" s="66"/>
      <c r="G65" s="66"/>
      <c r="H65" s="66"/>
      <c r="I65" s="66"/>
      <c r="J65" s="66"/>
      <c r="K65" s="66"/>
      <c r="L65" s="66"/>
      <c r="M65" s="66"/>
      <c r="N65" s="66"/>
      <c r="O65" s="66"/>
      <c r="P65" s="66"/>
      <c r="Q65" s="66"/>
      <c r="R65" s="66"/>
      <c r="S65" s="66"/>
      <c r="T65" s="66"/>
      <c r="U65" s="66"/>
      <c r="V65" s="66"/>
    </row>
    <row r="66" spans="1:22">
      <c r="A66" s="66"/>
      <c r="B66" s="66"/>
      <c r="C66" s="66"/>
      <c r="D66" s="66"/>
      <c r="E66" s="66"/>
      <c r="F66" s="66"/>
      <c r="G66" s="66"/>
      <c r="H66" s="66"/>
      <c r="I66" s="66"/>
      <c r="J66" s="66"/>
      <c r="K66" s="66"/>
      <c r="L66" s="66"/>
      <c r="M66" s="66"/>
      <c r="N66" s="66"/>
      <c r="O66" s="66"/>
      <c r="P66" s="66"/>
      <c r="Q66" s="66"/>
      <c r="R66" s="66"/>
      <c r="S66" s="66"/>
      <c r="T66" s="66"/>
      <c r="U66" s="66"/>
      <c r="V66" s="66"/>
    </row>
    <row r="67" spans="1:22">
      <c r="A67" s="66"/>
      <c r="B67" s="66"/>
      <c r="C67" s="66"/>
      <c r="D67" s="66"/>
      <c r="E67" s="66"/>
      <c r="F67" s="66"/>
      <c r="G67" s="66"/>
      <c r="H67" s="66"/>
      <c r="I67" s="66"/>
      <c r="J67" s="66"/>
      <c r="K67" s="66"/>
      <c r="L67" s="66"/>
      <c r="M67" s="66"/>
      <c r="N67" s="66"/>
      <c r="O67" s="66"/>
      <c r="P67" s="66"/>
      <c r="Q67" s="66"/>
      <c r="R67" s="66"/>
      <c r="S67" s="66"/>
      <c r="T67" s="66"/>
      <c r="U67" s="66"/>
      <c r="V67" s="66"/>
    </row>
    <row r="68" spans="1:22">
      <c r="A68" s="66"/>
      <c r="B68" s="66"/>
      <c r="C68" s="66"/>
      <c r="D68" s="66"/>
      <c r="E68" s="66"/>
      <c r="F68" s="66"/>
      <c r="G68" s="66"/>
      <c r="H68" s="66"/>
      <c r="I68" s="66"/>
      <c r="J68" s="66"/>
      <c r="K68" s="66"/>
      <c r="L68" s="66"/>
      <c r="M68" s="66"/>
      <c r="N68" s="66"/>
      <c r="O68" s="66"/>
      <c r="P68" s="66"/>
      <c r="Q68" s="66"/>
      <c r="R68" s="66"/>
      <c r="S68" s="66"/>
      <c r="T68" s="66"/>
      <c r="U68" s="66"/>
      <c r="V68" s="66"/>
    </row>
    <row r="69" spans="1:22">
      <c r="A69" s="66"/>
      <c r="B69" s="66"/>
      <c r="C69" s="66"/>
      <c r="D69" s="66"/>
      <c r="E69" s="66"/>
      <c r="F69" s="66"/>
      <c r="G69" s="66"/>
      <c r="H69" s="66"/>
      <c r="I69" s="66"/>
      <c r="J69" s="66"/>
      <c r="K69" s="66"/>
      <c r="L69" s="66"/>
      <c r="M69" s="66"/>
      <c r="N69" s="66"/>
      <c r="O69" s="66"/>
      <c r="P69" s="66"/>
      <c r="Q69" s="66"/>
      <c r="R69" s="66"/>
      <c r="S69" s="66"/>
      <c r="T69" s="66"/>
      <c r="U69" s="66"/>
      <c r="V69" s="66"/>
    </row>
    <row r="70" spans="1:22">
      <c r="A70" s="66"/>
      <c r="B70" s="66"/>
      <c r="C70" s="66"/>
      <c r="D70" s="66"/>
      <c r="E70" s="66"/>
      <c r="F70" s="66"/>
      <c r="G70" s="66"/>
      <c r="H70" s="66"/>
      <c r="I70" s="66"/>
      <c r="J70" s="66"/>
      <c r="K70" s="66"/>
      <c r="L70" s="66"/>
      <c r="M70" s="66"/>
      <c r="N70" s="66"/>
      <c r="O70" s="66"/>
      <c r="P70" s="66"/>
      <c r="Q70" s="66"/>
      <c r="R70" s="66"/>
      <c r="S70" s="66"/>
      <c r="T70" s="66"/>
      <c r="U70" s="66"/>
      <c r="V70" s="66"/>
    </row>
    <row r="71" spans="1:22">
      <c r="A71" s="66"/>
      <c r="B71" s="66"/>
      <c r="C71" s="66"/>
      <c r="D71" s="66"/>
      <c r="E71" s="66"/>
      <c r="F71" s="66"/>
      <c r="G71" s="66"/>
      <c r="H71" s="66"/>
      <c r="I71" s="66"/>
      <c r="J71" s="66"/>
      <c r="K71" s="66"/>
      <c r="L71" s="66"/>
      <c r="M71" s="66"/>
      <c r="N71" s="66"/>
      <c r="O71" s="66"/>
      <c r="P71" s="66"/>
      <c r="Q71" s="66"/>
      <c r="R71" s="66"/>
      <c r="S71" s="66"/>
      <c r="T71" s="66"/>
      <c r="U71" s="66"/>
      <c r="V71" s="66"/>
    </row>
    <row r="72" spans="1:22">
      <c r="A72" s="66"/>
      <c r="B72" s="66"/>
      <c r="C72" s="66"/>
      <c r="D72" s="66"/>
      <c r="E72" s="66"/>
      <c r="F72" s="66"/>
      <c r="G72" s="66"/>
      <c r="H72" s="66"/>
      <c r="I72" s="66"/>
      <c r="J72" s="66"/>
      <c r="K72" s="66"/>
      <c r="L72" s="66"/>
      <c r="M72" s="66"/>
      <c r="N72" s="66"/>
      <c r="O72" s="66"/>
      <c r="P72" s="66"/>
      <c r="Q72" s="66"/>
      <c r="R72" s="66"/>
      <c r="S72" s="66"/>
      <c r="T72" s="66"/>
      <c r="U72" s="66"/>
      <c r="V72" s="66"/>
    </row>
    <row r="73" spans="1:22">
      <c r="A73" s="66"/>
      <c r="B73" s="66"/>
      <c r="C73" s="66"/>
      <c r="D73" s="66"/>
      <c r="E73" s="66"/>
      <c r="F73" s="66"/>
      <c r="G73" s="66"/>
      <c r="H73" s="66"/>
      <c r="I73" s="66"/>
      <c r="J73" s="66"/>
      <c r="K73" s="66"/>
      <c r="L73" s="66"/>
      <c r="M73" s="66"/>
      <c r="N73" s="66"/>
      <c r="O73" s="66"/>
      <c r="P73" s="66"/>
      <c r="Q73" s="66"/>
      <c r="R73" s="66"/>
      <c r="S73" s="66"/>
      <c r="T73" s="66"/>
      <c r="U73" s="66"/>
      <c r="V73" s="66"/>
    </row>
    <row r="74" spans="1:22">
      <c r="A74" s="66"/>
      <c r="B74" s="66"/>
      <c r="C74" s="66"/>
      <c r="D74" s="66"/>
      <c r="E74" s="66"/>
      <c r="F74" s="66"/>
      <c r="G74" s="66"/>
      <c r="H74" s="66"/>
      <c r="I74" s="66"/>
      <c r="J74" s="66"/>
      <c r="K74" s="66"/>
      <c r="L74" s="66"/>
      <c r="M74" s="66"/>
      <c r="N74" s="66"/>
      <c r="O74" s="66"/>
      <c r="P74" s="66"/>
      <c r="Q74" s="66"/>
      <c r="R74" s="66"/>
      <c r="S74" s="66"/>
      <c r="T74" s="66"/>
      <c r="U74" s="66"/>
      <c r="V74" s="66"/>
    </row>
    <row r="75" spans="1:22">
      <c r="A75" s="66"/>
      <c r="B75" s="66"/>
      <c r="C75" s="66"/>
      <c r="D75" s="66"/>
      <c r="E75" s="66"/>
      <c r="F75" s="66"/>
      <c r="G75" s="66"/>
      <c r="H75" s="66"/>
      <c r="I75" s="66"/>
      <c r="J75" s="66"/>
      <c r="K75" s="66"/>
      <c r="L75" s="66"/>
      <c r="M75" s="66"/>
      <c r="N75" s="66"/>
      <c r="O75" s="66"/>
      <c r="P75" s="66"/>
      <c r="Q75" s="66"/>
      <c r="R75" s="66"/>
      <c r="S75" s="66"/>
      <c r="T75" s="66"/>
      <c r="U75" s="66"/>
      <c r="V75" s="66"/>
    </row>
    <row r="76" spans="1:22">
      <c r="A76" s="66"/>
      <c r="B76" s="66"/>
      <c r="C76" s="66"/>
      <c r="D76" s="66"/>
      <c r="E76" s="66"/>
      <c r="F76" s="66"/>
      <c r="G76" s="66"/>
      <c r="H76" s="66"/>
      <c r="I76" s="66"/>
      <c r="J76" s="66"/>
      <c r="K76" s="66"/>
      <c r="L76" s="66"/>
      <c r="M76" s="66"/>
      <c r="N76" s="66"/>
      <c r="O76" s="66"/>
      <c r="P76" s="66"/>
      <c r="Q76" s="66"/>
      <c r="R76" s="66"/>
      <c r="S76" s="66"/>
      <c r="T76" s="66"/>
      <c r="U76" s="66"/>
      <c r="V76" s="66"/>
    </row>
    <row r="77" spans="1:22">
      <c r="A77" s="66"/>
      <c r="B77" s="66"/>
      <c r="C77" s="66"/>
      <c r="D77" s="66"/>
      <c r="E77" s="66"/>
      <c r="F77" s="66"/>
      <c r="G77" s="66"/>
      <c r="H77" s="66"/>
      <c r="I77" s="66"/>
      <c r="J77" s="66"/>
      <c r="K77" s="66"/>
      <c r="L77" s="66"/>
      <c r="M77" s="66"/>
      <c r="N77" s="66"/>
      <c r="O77" s="66"/>
      <c r="P77" s="66"/>
      <c r="Q77" s="66"/>
      <c r="R77" s="66"/>
      <c r="S77" s="66"/>
      <c r="T77" s="66"/>
      <c r="U77" s="66"/>
      <c r="V77" s="66"/>
    </row>
    <row r="78" spans="1:22">
      <c r="A78" s="66"/>
      <c r="B78" s="66"/>
      <c r="C78" s="66"/>
      <c r="D78" s="66"/>
      <c r="E78" s="66"/>
      <c r="F78" s="66"/>
      <c r="G78" s="66"/>
      <c r="H78" s="66"/>
      <c r="I78" s="66"/>
      <c r="J78" s="66"/>
      <c r="K78" s="66"/>
      <c r="L78" s="66"/>
      <c r="M78" s="66"/>
      <c r="N78" s="66"/>
      <c r="O78" s="66"/>
      <c r="P78" s="66"/>
      <c r="Q78" s="66"/>
      <c r="R78" s="66"/>
      <c r="S78" s="66"/>
      <c r="T78" s="66"/>
      <c r="U78" s="66"/>
      <c r="V78" s="66"/>
    </row>
    <row r="79" spans="1:22">
      <c r="A79" s="66"/>
      <c r="B79" s="66"/>
      <c r="C79" s="66"/>
      <c r="D79" s="66"/>
      <c r="E79" s="66"/>
      <c r="F79" s="66"/>
      <c r="G79" s="66"/>
      <c r="H79" s="66"/>
      <c r="I79" s="66"/>
      <c r="J79" s="66"/>
      <c r="K79" s="66"/>
      <c r="L79" s="66"/>
      <c r="M79" s="66"/>
      <c r="N79" s="66"/>
      <c r="O79" s="66"/>
      <c r="P79" s="66"/>
      <c r="Q79" s="66"/>
      <c r="R79" s="66"/>
      <c r="S79" s="66"/>
      <c r="T79" s="66"/>
      <c r="U79" s="66"/>
      <c r="V79" s="66"/>
    </row>
    <row r="80" spans="1:22">
      <c r="A80" s="66"/>
      <c r="B80" s="66"/>
      <c r="C80" s="66"/>
      <c r="D80" s="66"/>
      <c r="E80" s="66"/>
      <c r="F80" s="66"/>
      <c r="G80" s="66"/>
      <c r="H80" s="66"/>
      <c r="I80" s="66"/>
      <c r="J80" s="66"/>
      <c r="K80" s="66"/>
      <c r="L80" s="66"/>
      <c r="M80" s="66"/>
      <c r="N80" s="66"/>
      <c r="O80" s="66"/>
      <c r="P80" s="66"/>
      <c r="Q80" s="66"/>
      <c r="R80" s="66"/>
      <c r="S80" s="66"/>
      <c r="T80" s="66"/>
      <c r="U80" s="66"/>
      <c r="V80" s="66"/>
    </row>
    <row r="81" spans="1:22">
      <c r="A81" s="66"/>
      <c r="B81" s="66"/>
      <c r="C81" s="66"/>
      <c r="D81" s="66"/>
      <c r="E81" s="66"/>
      <c r="F81" s="66"/>
      <c r="G81" s="66"/>
      <c r="H81" s="66"/>
      <c r="I81" s="66"/>
      <c r="J81" s="66"/>
      <c r="K81" s="66"/>
      <c r="L81" s="66"/>
      <c r="M81" s="66"/>
      <c r="N81" s="66"/>
      <c r="O81" s="66"/>
      <c r="P81" s="66"/>
      <c r="Q81" s="66"/>
      <c r="R81" s="66"/>
      <c r="S81" s="66"/>
      <c r="T81" s="66"/>
      <c r="U81" s="66"/>
      <c r="V81" s="66"/>
    </row>
    <row r="82" spans="1:22">
      <c r="A82" s="66"/>
      <c r="B82" s="66"/>
      <c r="C82" s="66"/>
      <c r="D82" s="66"/>
      <c r="E82" s="66"/>
      <c r="F82" s="66"/>
      <c r="G82" s="66"/>
      <c r="H82" s="66"/>
      <c r="I82" s="66"/>
      <c r="J82" s="66"/>
      <c r="K82" s="66"/>
      <c r="L82" s="66"/>
      <c r="M82" s="66"/>
      <c r="N82" s="66"/>
      <c r="O82" s="66"/>
      <c r="P82" s="66"/>
      <c r="Q82" s="66"/>
      <c r="R82" s="66"/>
      <c r="S82" s="66"/>
      <c r="T82" s="66"/>
      <c r="U82" s="66"/>
      <c r="V82" s="66"/>
    </row>
    <row r="83" spans="1:22">
      <c r="A83" s="66"/>
      <c r="B83" s="66"/>
      <c r="C83" s="66"/>
      <c r="D83" s="66"/>
      <c r="E83" s="66"/>
      <c r="F83" s="66"/>
      <c r="G83" s="66"/>
      <c r="H83" s="66"/>
      <c r="I83" s="66"/>
      <c r="J83" s="66"/>
      <c r="K83" s="66"/>
      <c r="L83" s="66"/>
      <c r="M83" s="66"/>
      <c r="N83" s="66"/>
      <c r="O83" s="66"/>
      <c r="P83" s="66"/>
      <c r="Q83" s="66"/>
      <c r="R83" s="66"/>
      <c r="S83" s="66"/>
      <c r="T83" s="66"/>
      <c r="U83" s="66"/>
      <c r="V83" s="66"/>
    </row>
    <row r="84" spans="1:22">
      <c r="A84" s="66"/>
      <c r="B84" s="66"/>
      <c r="C84" s="66"/>
      <c r="D84" s="66"/>
      <c r="E84" s="66"/>
      <c r="F84" s="66"/>
      <c r="G84" s="66"/>
      <c r="H84" s="66"/>
      <c r="I84" s="66"/>
      <c r="J84" s="66"/>
      <c r="K84" s="66"/>
      <c r="L84" s="66"/>
      <c r="M84" s="66"/>
      <c r="N84" s="66"/>
      <c r="O84" s="66"/>
      <c r="P84" s="66"/>
      <c r="Q84" s="66"/>
      <c r="R84" s="66"/>
      <c r="S84" s="66"/>
      <c r="T84" s="66"/>
      <c r="U84" s="66"/>
      <c r="V84" s="66"/>
    </row>
    <row r="85" spans="1:22">
      <c r="A85" s="66"/>
      <c r="B85" s="66"/>
      <c r="C85" s="66"/>
      <c r="D85" s="66"/>
      <c r="E85" s="66"/>
      <c r="F85" s="66"/>
      <c r="G85" s="66"/>
      <c r="H85" s="66"/>
      <c r="I85" s="66"/>
      <c r="J85" s="66"/>
      <c r="K85" s="66"/>
      <c r="L85" s="66"/>
      <c r="M85" s="66"/>
      <c r="N85" s="66"/>
      <c r="O85" s="66"/>
      <c r="P85" s="66"/>
      <c r="Q85" s="66"/>
      <c r="R85" s="66"/>
      <c r="S85" s="66"/>
      <c r="T85" s="66"/>
      <c r="U85" s="66"/>
      <c r="V85" s="66"/>
    </row>
    <row r="86" spans="1:22">
      <c r="A86" s="66"/>
      <c r="B86" s="66"/>
      <c r="C86" s="66"/>
      <c r="D86" s="66"/>
      <c r="E86" s="66"/>
      <c r="F86" s="66"/>
      <c r="G86" s="66"/>
      <c r="H86" s="66"/>
      <c r="I86" s="66"/>
      <c r="J86" s="66"/>
      <c r="K86" s="66"/>
      <c r="L86" s="66"/>
      <c r="M86" s="66"/>
      <c r="N86" s="66"/>
      <c r="O86" s="66"/>
      <c r="P86" s="66"/>
      <c r="Q86" s="66"/>
      <c r="R86" s="66"/>
      <c r="S86" s="66"/>
      <c r="T86" s="66"/>
      <c r="U86" s="66"/>
      <c r="V86" s="66"/>
    </row>
    <row r="87" spans="1:22">
      <c r="A87" s="66"/>
      <c r="B87" s="66"/>
      <c r="C87" s="66"/>
      <c r="D87" s="66"/>
      <c r="E87" s="66"/>
      <c r="F87" s="66"/>
      <c r="G87" s="66"/>
      <c r="H87" s="66"/>
      <c r="I87" s="66"/>
      <c r="J87" s="66"/>
      <c r="K87" s="66"/>
      <c r="L87" s="66"/>
      <c r="M87" s="66"/>
      <c r="N87" s="66"/>
      <c r="O87" s="66"/>
      <c r="P87" s="66"/>
      <c r="Q87" s="66"/>
      <c r="R87" s="66"/>
      <c r="S87" s="66"/>
      <c r="T87" s="66"/>
      <c r="U87" s="66"/>
      <c r="V87" s="66"/>
    </row>
    <row r="88" spans="1:22">
      <c r="A88" s="66"/>
      <c r="B88" s="66"/>
      <c r="C88" s="66"/>
      <c r="D88" s="66"/>
      <c r="E88" s="66"/>
      <c r="F88" s="66"/>
      <c r="G88" s="66"/>
      <c r="H88" s="66"/>
      <c r="I88" s="66"/>
      <c r="J88" s="66"/>
      <c r="K88" s="66"/>
      <c r="L88" s="66"/>
      <c r="M88" s="66"/>
      <c r="N88" s="66"/>
      <c r="O88" s="66"/>
      <c r="P88" s="66"/>
      <c r="Q88" s="66"/>
      <c r="R88" s="66"/>
      <c r="S88" s="66"/>
      <c r="T88" s="66"/>
      <c r="U88" s="66"/>
      <c r="V88" s="66"/>
    </row>
    <row r="89" spans="1:22">
      <c r="A89" s="66"/>
      <c r="B89" s="66"/>
      <c r="C89" s="66"/>
      <c r="D89" s="66"/>
      <c r="E89" s="66"/>
      <c r="F89" s="66"/>
      <c r="G89" s="66"/>
      <c r="H89" s="66"/>
      <c r="I89" s="66"/>
      <c r="J89" s="66"/>
      <c r="K89" s="66"/>
      <c r="L89" s="66"/>
      <c r="M89" s="66"/>
      <c r="N89" s="66"/>
      <c r="O89" s="66"/>
      <c r="P89" s="66"/>
      <c r="Q89" s="66"/>
      <c r="R89" s="66"/>
      <c r="S89" s="66"/>
      <c r="T89" s="66"/>
      <c r="U89" s="66"/>
      <c r="V89" s="66"/>
    </row>
    <row r="90" spans="1:22">
      <c r="A90" s="66"/>
      <c r="B90" s="66"/>
      <c r="C90" s="66"/>
      <c r="D90" s="66"/>
      <c r="E90" s="66"/>
      <c r="F90" s="66"/>
      <c r="G90" s="66"/>
      <c r="H90" s="66"/>
      <c r="I90" s="66"/>
      <c r="J90" s="66"/>
      <c r="K90" s="66"/>
      <c r="L90" s="66"/>
      <c r="M90" s="66"/>
      <c r="N90" s="66"/>
      <c r="O90" s="66"/>
      <c r="P90" s="66"/>
      <c r="Q90" s="66"/>
      <c r="R90" s="66"/>
      <c r="S90" s="66"/>
      <c r="T90" s="66"/>
      <c r="U90" s="66"/>
      <c r="V90" s="66"/>
    </row>
    <row r="91" spans="1:22">
      <c r="A91" s="66"/>
      <c r="B91" s="66"/>
      <c r="C91" s="66"/>
      <c r="D91" s="66"/>
      <c r="E91" s="66"/>
      <c r="F91" s="66"/>
      <c r="G91" s="66"/>
      <c r="H91" s="66"/>
      <c r="I91" s="66"/>
      <c r="J91" s="66"/>
      <c r="K91" s="66"/>
      <c r="L91" s="66"/>
      <c r="M91" s="66"/>
      <c r="N91" s="66"/>
      <c r="O91" s="66"/>
      <c r="P91" s="66"/>
      <c r="Q91" s="66"/>
      <c r="R91" s="66"/>
      <c r="S91" s="66"/>
      <c r="T91" s="66"/>
      <c r="U91" s="66"/>
      <c r="V91" s="66"/>
    </row>
    <row r="92" spans="1:22">
      <c r="A92" s="66"/>
      <c r="B92" s="66"/>
      <c r="C92" s="66"/>
      <c r="D92" s="66"/>
      <c r="E92" s="66"/>
      <c r="F92" s="66"/>
      <c r="G92" s="66"/>
      <c r="H92" s="66"/>
      <c r="I92" s="66"/>
      <c r="J92" s="66"/>
      <c r="K92" s="66"/>
      <c r="L92" s="66"/>
      <c r="M92" s="66"/>
      <c r="N92" s="66"/>
      <c r="O92" s="66"/>
      <c r="P92" s="66"/>
      <c r="Q92" s="66"/>
      <c r="R92" s="66"/>
      <c r="S92" s="66"/>
      <c r="T92" s="66"/>
      <c r="U92" s="66"/>
      <c r="V92" s="66"/>
    </row>
    <row r="93" spans="1:22">
      <c r="A93" s="66"/>
      <c r="B93" s="66"/>
      <c r="C93" s="66"/>
      <c r="D93" s="66"/>
      <c r="E93" s="66"/>
      <c r="F93" s="66"/>
      <c r="G93" s="66"/>
      <c r="H93" s="66"/>
      <c r="I93" s="66"/>
      <c r="J93" s="66"/>
      <c r="K93" s="66"/>
      <c r="L93" s="66"/>
      <c r="M93" s="66"/>
      <c r="N93" s="66"/>
      <c r="O93" s="66"/>
      <c r="P93" s="66"/>
      <c r="Q93" s="66"/>
      <c r="R93" s="66"/>
      <c r="S93" s="66"/>
      <c r="T93" s="66"/>
      <c r="U93" s="66"/>
      <c r="V93" s="66"/>
    </row>
    <row r="94" spans="1:22">
      <c r="A94" s="66"/>
      <c r="B94" s="66"/>
      <c r="C94" s="66"/>
      <c r="D94" s="66"/>
      <c r="E94" s="66"/>
      <c r="F94" s="66"/>
      <c r="G94" s="66"/>
      <c r="H94" s="66"/>
      <c r="I94" s="66"/>
      <c r="J94" s="66"/>
      <c r="K94" s="66"/>
      <c r="L94" s="66"/>
      <c r="M94" s="66"/>
      <c r="N94" s="66"/>
      <c r="O94" s="66"/>
      <c r="P94" s="66"/>
      <c r="Q94" s="66"/>
      <c r="R94" s="66"/>
      <c r="S94" s="66"/>
      <c r="T94" s="66"/>
      <c r="U94" s="66"/>
      <c r="V94" s="66"/>
    </row>
    <row r="95" spans="1:22">
      <c r="A95" s="66"/>
      <c r="B95" s="66"/>
      <c r="C95" s="66"/>
      <c r="D95" s="66"/>
      <c r="E95" s="66"/>
      <c r="F95" s="66"/>
      <c r="G95" s="66"/>
      <c r="H95" s="66"/>
      <c r="I95" s="66"/>
      <c r="J95" s="66"/>
      <c r="K95" s="66"/>
      <c r="L95" s="66"/>
      <c r="M95" s="66"/>
      <c r="N95" s="66"/>
      <c r="O95" s="66"/>
      <c r="P95" s="66"/>
      <c r="Q95" s="66"/>
      <c r="R95" s="66"/>
      <c r="S95" s="66"/>
      <c r="T95" s="66"/>
      <c r="U95" s="66"/>
      <c r="V95" s="66"/>
    </row>
    <row r="96" spans="1:22">
      <c r="A96" s="66"/>
      <c r="B96" s="66"/>
      <c r="C96" s="66"/>
      <c r="D96" s="66"/>
      <c r="E96" s="66"/>
      <c r="F96" s="66"/>
      <c r="G96" s="66"/>
      <c r="H96" s="66"/>
      <c r="I96" s="66"/>
      <c r="J96" s="66"/>
      <c r="K96" s="66"/>
      <c r="L96" s="66"/>
      <c r="M96" s="66"/>
      <c r="N96" s="66"/>
      <c r="O96" s="66"/>
      <c r="P96" s="66"/>
      <c r="Q96" s="66"/>
      <c r="R96" s="66"/>
      <c r="S96" s="66"/>
      <c r="T96" s="66"/>
      <c r="U96" s="66"/>
      <c r="V96" s="66"/>
    </row>
    <row r="97" spans="1:22">
      <c r="A97" s="66"/>
      <c r="B97" s="66"/>
      <c r="C97" s="66"/>
      <c r="D97" s="66"/>
      <c r="E97" s="66"/>
      <c r="F97" s="66"/>
      <c r="G97" s="66"/>
      <c r="H97" s="66"/>
      <c r="I97" s="66"/>
      <c r="J97" s="66"/>
      <c r="K97" s="66"/>
      <c r="L97" s="66"/>
      <c r="M97" s="66"/>
      <c r="N97" s="66"/>
      <c r="O97" s="66"/>
      <c r="P97" s="66"/>
      <c r="Q97" s="66"/>
      <c r="R97" s="66"/>
      <c r="S97" s="66"/>
      <c r="T97" s="66"/>
      <c r="U97" s="66"/>
      <c r="V97" s="66"/>
    </row>
    <row r="98" spans="1:22">
      <c r="A98" s="66"/>
      <c r="B98" s="66"/>
      <c r="C98" s="66"/>
      <c r="D98" s="66"/>
      <c r="E98" s="66"/>
      <c r="F98" s="66"/>
      <c r="G98" s="66"/>
      <c r="H98" s="66"/>
      <c r="I98" s="66"/>
      <c r="J98" s="66"/>
      <c r="K98" s="66"/>
      <c r="L98" s="66"/>
      <c r="M98" s="66"/>
      <c r="N98" s="66"/>
      <c r="O98" s="66"/>
      <c r="P98" s="66"/>
      <c r="Q98" s="66"/>
      <c r="R98" s="66"/>
      <c r="S98" s="66"/>
      <c r="T98" s="66"/>
      <c r="U98" s="66"/>
      <c r="V98" s="66"/>
    </row>
    <row r="99" spans="1:22">
      <c r="A99" s="66"/>
      <c r="B99" s="66"/>
      <c r="C99" s="66"/>
      <c r="D99" s="66"/>
      <c r="E99" s="66"/>
      <c r="F99" s="66"/>
      <c r="G99" s="66"/>
      <c r="H99" s="66"/>
      <c r="I99" s="66"/>
      <c r="J99" s="66"/>
      <c r="K99" s="66"/>
      <c r="L99" s="66"/>
      <c r="M99" s="66"/>
      <c r="N99" s="66"/>
      <c r="O99" s="66"/>
      <c r="P99" s="66"/>
      <c r="Q99" s="66"/>
      <c r="R99" s="66"/>
      <c r="S99" s="66"/>
      <c r="T99" s="66"/>
      <c r="U99" s="66"/>
      <c r="V99" s="66"/>
    </row>
    <row r="100" spans="1:22">
      <c r="A100" s="66"/>
      <c r="B100" s="66"/>
      <c r="C100" s="66"/>
      <c r="D100" s="66"/>
      <c r="E100" s="66"/>
      <c r="F100" s="66"/>
      <c r="G100" s="66"/>
      <c r="H100" s="66"/>
      <c r="I100" s="66"/>
      <c r="J100" s="66"/>
      <c r="K100" s="66"/>
      <c r="L100" s="66"/>
      <c r="M100" s="66"/>
      <c r="N100" s="66"/>
      <c r="O100" s="66"/>
      <c r="P100" s="66"/>
      <c r="Q100" s="66"/>
      <c r="R100" s="66"/>
      <c r="S100" s="66"/>
      <c r="T100" s="66"/>
      <c r="U100" s="66"/>
      <c r="V100" s="66"/>
    </row>
    <row r="101" spans="1:22">
      <c r="A101" s="66"/>
      <c r="B101" s="66"/>
      <c r="C101" s="66"/>
      <c r="D101" s="66"/>
      <c r="E101" s="66"/>
      <c r="F101" s="66"/>
      <c r="G101" s="66"/>
      <c r="H101" s="66"/>
      <c r="I101" s="66"/>
      <c r="J101" s="66"/>
      <c r="K101" s="66"/>
      <c r="L101" s="66"/>
      <c r="M101" s="66"/>
      <c r="N101" s="66"/>
      <c r="O101" s="66"/>
      <c r="P101" s="66"/>
      <c r="Q101" s="66"/>
      <c r="R101" s="66"/>
      <c r="S101" s="66"/>
      <c r="T101" s="66"/>
      <c r="U101" s="66"/>
      <c r="V101" s="66"/>
    </row>
    <row r="102" spans="1:22">
      <c r="A102" s="66"/>
      <c r="B102" s="66"/>
      <c r="C102" s="66"/>
      <c r="D102" s="66"/>
      <c r="E102" s="66"/>
      <c r="F102" s="66"/>
      <c r="G102" s="66"/>
      <c r="H102" s="66"/>
      <c r="I102" s="66"/>
      <c r="J102" s="66"/>
      <c r="K102" s="66"/>
      <c r="L102" s="66"/>
      <c r="M102" s="66"/>
      <c r="N102" s="66"/>
      <c r="O102" s="66"/>
      <c r="P102" s="66"/>
      <c r="Q102" s="66"/>
      <c r="R102" s="66"/>
      <c r="S102" s="66"/>
      <c r="T102" s="66"/>
      <c r="U102" s="66"/>
      <c r="V102" s="66"/>
    </row>
    <row r="103" spans="1:22">
      <c r="A103" s="66"/>
      <c r="B103" s="66"/>
      <c r="C103" s="66"/>
      <c r="D103" s="66"/>
      <c r="E103" s="66"/>
      <c r="F103" s="66"/>
      <c r="G103" s="66"/>
      <c r="H103" s="66"/>
      <c r="I103" s="66"/>
      <c r="J103" s="66"/>
      <c r="K103" s="66"/>
      <c r="L103" s="66"/>
      <c r="M103" s="66"/>
      <c r="N103" s="66"/>
      <c r="O103" s="66"/>
      <c r="P103" s="66"/>
      <c r="Q103" s="66"/>
      <c r="R103" s="66"/>
      <c r="S103" s="66"/>
      <c r="T103" s="66"/>
      <c r="U103" s="66"/>
      <c r="V103" s="66"/>
    </row>
    <row r="104" spans="1:22">
      <c r="A104" s="66"/>
      <c r="B104" s="66"/>
      <c r="C104" s="66"/>
      <c r="D104" s="66"/>
      <c r="E104" s="66"/>
      <c r="F104" s="66"/>
      <c r="G104" s="66"/>
      <c r="H104" s="66"/>
      <c r="I104" s="66"/>
      <c r="J104" s="66"/>
      <c r="K104" s="66"/>
      <c r="L104" s="66"/>
      <c r="M104" s="66"/>
      <c r="N104" s="66"/>
      <c r="O104" s="66"/>
      <c r="P104" s="66"/>
      <c r="Q104" s="66"/>
      <c r="R104" s="66"/>
      <c r="S104" s="66"/>
      <c r="T104" s="66"/>
      <c r="U104" s="66"/>
      <c r="V104" s="66"/>
    </row>
    <row r="105" spans="1:22">
      <c r="A105" s="66"/>
      <c r="B105" s="66"/>
      <c r="C105" s="66"/>
      <c r="D105" s="66"/>
      <c r="E105" s="66"/>
      <c r="F105" s="66"/>
      <c r="G105" s="66"/>
      <c r="H105" s="66"/>
      <c r="I105" s="66"/>
      <c r="J105" s="66"/>
      <c r="K105" s="66"/>
      <c r="L105" s="66"/>
      <c r="M105" s="66"/>
      <c r="N105" s="66"/>
      <c r="O105" s="66"/>
      <c r="P105" s="66"/>
      <c r="Q105" s="66"/>
      <c r="R105" s="66"/>
      <c r="S105" s="66"/>
      <c r="T105" s="66"/>
      <c r="U105" s="66"/>
      <c r="V105" s="66"/>
    </row>
    <row r="106" spans="1:22">
      <c r="A106" s="66"/>
      <c r="B106" s="66"/>
      <c r="C106" s="66"/>
      <c r="D106" s="66"/>
      <c r="E106" s="66"/>
      <c r="F106" s="66"/>
      <c r="G106" s="66"/>
      <c r="H106" s="66"/>
      <c r="I106" s="66"/>
      <c r="J106" s="66"/>
      <c r="K106" s="66"/>
      <c r="L106" s="66"/>
      <c r="M106" s="66"/>
      <c r="N106" s="66"/>
      <c r="O106" s="66"/>
      <c r="P106" s="66"/>
      <c r="Q106" s="66"/>
      <c r="R106" s="66"/>
      <c r="S106" s="66"/>
      <c r="T106" s="66"/>
      <c r="U106" s="66"/>
      <c r="V106" s="66"/>
    </row>
    <row r="107" spans="1:22">
      <c r="A107" s="66"/>
      <c r="B107" s="66"/>
      <c r="C107" s="66"/>
      <c r="D107" s="66"/>
      <c r="E107" s="66"/>
      <c r="F107" s="66"/>
      <c r="G107" s="66"/>
      <c r="H107" s="66"/>
      <c r="I107" s="66"/>
      <c r="J107" s="66"/>
      <c r="K107" s="66"/>
      <c r="L107" s="66"/>
      <c r="M107" s="66"/>
      <c r="N107" s="66"/>
      <c r="O107" s="66"/>
      <c r="P107" s="66"/>
      <c r="Q107" s="66"/>
      <c r="R107" s="66"/>
      <c r="S107" s="66"/>
      <c r="T107" s="66"/>
      <c r="U107" s="66"/>
      <c r="V107" s="66"/>
    </row>
    <row r="108" spans="1:22">
      <c r="A108" s="66"/>
      <c r="B108" s="66"/>
      <c r="C108" s="66"/>
      <c r="D108" s="66"/>
      <c r="E108" s="66"/>
      <c r="F108" s="66"/>
      <c r="G108" s="66"/>
      <c r="H108" s="66"/>
      <c r="I108" s="66"/>
      <c r="J108" s="66"/>
      <c r="K108" s="66"/>
      <c r="L108" s="66"/>
      <c r="M108" s="66"/>
      <c r="N108" s="66"/>
      <c r="O108" s="66"/>
      <c r="P108" s="66"/>
      <c r="Q108" s="66"/>
      <c r="R108" s="66"/>
      <c r="S108" s="66"/>
      <c r="T108" s="66"/>
      <c r="U108" s="66"/>
      <c r="V108" s="66"/>
    </row>
    <row r="109" spans="1:22">
      <c r="A109" s="66"/>
      <c r="B109" s="66"/>
      <c r="C109" s="66"/>
      <c r="D109" s="66"/>
      <c r="E109" s="66"/>
      <c r="F109" s="66"/>
      <c r="G109" s="66"/>
      <c r="H109" s="66"/>
      <c r="I109" s="66"/>
      <c r="J109" s="66"/>
      <c r="K109" s="66"/>
      <c r="L109" s="66"/>
      <c r="M109" s="66"/>
      <c r="N109" s="66"/>
      <c r="O109" s="66"/>
      <c r="P109" s="66"/>
      <c r="Q109" s="66"/>
      <c r="R109" s="66"/>
      <c r="S109" s="66"/>
      <c r="T109" s="66"/>
      <c r="U109" s="66"/>
      <c r="V109" s="66"/>
    </row>
    <row r="110" spans="1:22">
      <c r="A110" s="66"/>
      <c r="B110" s="66"/>
      <c r="C110" s="66"/>
      <c r="D110" s="66"/>
      <c r="E110" s="66"/>
      <c r="F110" s="66"/>
      <c r="G110" s="66"/>
      <c r="H110" s="66"/>
      <c r="I110" s="66"/>
      <c r="J110" s="66"/>
      <c r="K110" s="66"/>
      <c r="L110" s="66"/>
      <c r="M110" s="66"/>
      <c r="N110" s="66"/>
      <c r="O110" s="66"/>
      <c r="P110" s="66"/>
      <c r="Q110" s="66"/>
      <c r="R110" s="66"/>
      <c r="S110" s="66"/>
      <c r="T110" s="66"/>
      <c r="U110" s="66"/>
      <c r="V110" s="66"/>
    </row>
    <row r="111" spans="1:22">
      <c r="A111" s="66"/>
      <c r="B111" s="66"/>
      <c r="C111" s="66"/>
      <c r="D111" s="66"/>
      <c r="E111" s="66"/>
      <c r="F111" s="66"/>
      <c r="G111" s="66"/>
      <c r="H111" s="66"/>
      <c r="I111" s="66"/>
      <c r="J111" s="66"/>
      <c r="K111" s="66"/>
      <c r="L111" s="66"/>
      <c r="M111" s="66"/>
      <c r="N111" s="66"/>
      <c r="O111" s="66"/>
      <c r="P111" s="66"/>
      <c r="Q111" s="66"/>
      <c r="R111" s="66"/>
      <c r="S111" s="66"/>
      <c r="T111" s="66"/>
      <c r="U111" s="66"/>
      <c r="V111" s="66"/>
    </row>
    <row r="112" spans="1:22">
      <c r="A112" s="66"/>
      <c r="B112" s="66"/>
      <c r="C112" s="66"/>
      <c r="D112" s="66"/>
      <c r="E112" s="66"/>
      <c r="F112" s="66"/>
      <c r="G112" s="66"/>
      <c r="H112" s="66"/>
      <c r="I112" s="66"/>
      <c r="J112" s="66"/>
      <c r="K112" s="66"/>
      <c r="L112" s="66"/>
      <c r="M112" s="66"/>
      <c r="N112" s="66"/>
      <c r="O112" s="66"/>
      <c r="P112" s="66"/>
      <c r="Q112" s="66"/>
      <c r="R112" s="66"/>
      <c r="S112" s="66"/>
      <c r="T112" s="66"/>
      <c r="U112" s="66"/>
      <c r="V112" s="66"/>
    </row>
    <row r="113" spans="1:22">
      <c r="A113" s="66"/>
      <c r="B113" s="66"/>
      <c r="C113" s="66"/>
      <c r="D113" s="66"/>
      <c r="E113" s="66"/>
      <c r="F113" s="66"/>
      <c r="G113" s="66"/>
      <c r="H113" s="66"/>
      <c r="I113" s="66"/>
      <c r="J113" s="66"/>
      <c r="K113" s="66"/>
      <c r="L113" s="66"/>
      <c r="M113" s="66"/>
      <c r="N113" s="66"/>
      <c r="O113" s="66"/>
      <c r="P113" s="66"/>
      <c r="Q113" s="66"/>
      <c r="R113" s="66"/>
      <c r="S113" s="66"/>
      <c r="T113" s="66"/>
      <c r="U113" s="66"/>
      <c r="V113" s="66"/>
    </row>
    <row r="114" spans="1:22">
      <c r="A114" s="66"/>
      <c r="B114" s="66"/>
      <c r="C114" s="66"/>
      <c r="D114" s="66"/>
      <c r="E114" s="66"/>
      <c r="F114" s="66"/>
      <c r="G114" s="66"/>
      <c r="H114" s="66"/>
      <c r="I114" s="66"/>
      <c r="J114" s="66"/>
      <c r="K114" s="66"/>
      <c r="L114" s="66"/>
      <c r="M114" s="66"/>
      <c r="N114" s="66"/>
      <c r="O114" s="66"/>
      <c r="P114" s="66"/>
      <c r="Q114" s="66"/>
      <c r="R114" s="66"/>
      <c r="S114" s="66"/>
      <c r="T114" s="66"/>
      <c r="U114" s="66"/>
      <c r="V114" s="66"/>
    </row>
    <row r="115" spans="1:22">
      <c r="A115" s="66"/>
      <c r="B115" s="66"/>
      <c r="C115" s="66"/>
      <c r="D115" s="66"/>
      <c r="E115" s="66"/>
      <c r="F115" s="66"/>
      <c r="G115" s="66"/>
      <c r="H115" s="66"/>
      <c r="I115" s="66"/>
      <c r="J115" s="66"/>
      <c r="K115" s="66"/>
      <c r="L115" s="66"/>
      <c r="M115" s="66"/>
      <c r="N115" s="66"/>
      <c r="O115" s="66"/>
      <c r="P115" s="66"/>
      <c r="Q115" s="66"/>
      <c r="R115" s="66"/>
      <c r="S115" s="66"/>
      <c r="T115" s="66"/>
      <c r="U115" s="66"/>
      <c r="V115" s="66"/>
    </row>
    <row r="116" spans="1:22">
      <c r="A116" s="66"/>
      <c r="B116" s="66"/>
      <c r="C116" s="66"/>
      <c r="D116" s="66"/>
      <c r="E116" s="66"/>
      <c r="F116" s="66"/>
      <c r="G116" s="66"/>
      <c r="H116" s="66"/>
      <c r="I116" s="66"/>
      <c r="J116" s="66"/>
      <c r="K116" s="66"/>
      <c r="L116" s="66"/>
      <c r="M116" s="66"/>
      <c r="N116" s="66"/>
      <c r="O116" s="66"/>
      <c r="P116" s="66"/>
      <c r="Q116" s="66"/>
      <c r="R116" s="66"/>
      <c r="S116" s="66"/>
      <c r="T116" s="66"/>
      <c r="U116" s="66"/>
      <c r="V116" s="66"/>
    </row>
    <row r="117" spans="1:22">
      <c r="A117" s="66"/>
      <c r="B117" s="66"/>
      <c r="C117" s="66"/>
      <c r="D117" s="66"/>
      <c r="E117" s="66"/>
      <c r="F117" s="66"/>
      <c r="G117" s="66"/>
      <c r="H117" s="66"/>
      <c r="I117" s="66"/>
      <c r="J117" s="66"/>
      <c r="K117" s="66"/>
      <c r="L117" s="66"/>
      <c r="M117" s="66"/>
      <c r="N117" s="66"/>
      <c r="O117" s="66"/>
      <c r="P117" s="66"/>
      <c r="Q117" s="66"/>
      <c r="R117" s="66"/>
      <c r="S117" s="66"/>
      <c r="T117" s="66"/>
      <c r="U117" s="66"/>
      <c r="V117" s="66"/>
    </row>
    <row r="118" spans="1:22">
      <c r="A118" s="66"/>
      <c r="B118" s="66"/>
      <c r="C118" s="66"/>
      <c r="D118" s="66"/>
      <c r="E118" s="66"/>
      <c r="F118" s="66"/>
      <c r="G118" s="66"/>
      <c r="H118" s="66"/>
      <c r="I118" s="66"/>
      <c r="J118" s="66"/>
      <c r="K118" s="66"/>
      <c r="L118" s="66"/>
      <c r="M118" s="66"/>
      <c r="N118" s="66"/>
      <c r="O118" s="66"/>
      <c r="P118" s="66"/>
      <c r="Q118" s="66"/>
      <c r="R118" s="66"/>
      <c r="S118" s="66"/>
      <c r="T118" s="66"/>
      <c r="U118" s="66"/>
      <c r="V118" s="66"/>
    </row>
    <row r="119" spans="1:22">
      <c r="A119" s="66"/>
      <c r="B119" s="66"/>
      <c r="C119" s="66"/>
      <c r="D119" s="66"/>
      <c r="E119" s="66"/>
      <c r="F119" s="66"/>
      <c r="G119" s="66"/>
      <c r="H119" s="66"/>
      <c r="I119" s="66"/>
      <c r="J119" s="66"/>
      <c r="K119" s="66"/>
      <c r="L119" s="66"/>
      <c r="M119" s="66"/>
      <c r="N119" s="66"/>
      <c r="O119" s="66"/>
      <c r="P119" s="66"/>
      <c r="Q119" s="66"/>
      <c r="R119" s="66"/>
      <c r="S119" s="66"/>
      <c r="T119" s="66"/>
      <c r="U119" s="66"/>
      <c r="V119" s="66"/>
    </row>
    <row r="120" spans="1:22">
      <c r="A120" s="66"/>
      <c r="B120" s="66"/>
      <c r="C120" s="66"/>
      <c r="D120" s="66"/>
      <c r="E120" s="66"/>
      <c r="F120" s="66"/>
      <c r="G120" s="66"/>
      <c r="H120" s="66"/>
      <c r="I120" s="66"/>
      <c r="J120" s="66"/>
      <c r="K120" s="66"/>
      <c r="L120" s="66"/>
      <c r="M120" s="66"/>
      <c r="N120" s="66"/>
      <c r="O120" s="66"/>
      <c r="P120" s="66"/>
      <c r="Q120" s="66"/>
      <c r="R120" s="66"/>
      <c r="S120" s="66"/>
      <c r="T120" s="66"/>
      <c r="U120" s="66"/>
      <c r="V120" s="66"/>
    </row>
    <row r="121" spans="1:22">
      <c r="A121" s="66"/>
      <c r="B121" s="66"/>
      <c r="C121" s="66"/>
      <c r="D121" s="66"/>
      <c r="E121" s="66"/>
      <c r="F121" s="66"/>
      <c r="G121" s="66"/>
      <c r="H121" s="66"/>
      <c r="I121" s="66"/>
      <c r="J121" s="66"/>
      <c r="K121" s="66"/>
      <c r="L121" s="66"/>
      <c r="M121" s="66"/>
      <c r="N121" s="66"/>
      <c r="O121" s="66"/>
      <c r="P121" s="66"/>
      <c r="Q121" s="66"/>
      <c r="R121" s="66"/>
      <c r="S121" s="66"/>
      <c r="T121" s="66"/>
      <c r="U121" s="66"/>
      <c r="V121" s="66"/>
    </row>
    <row r="122" spans="1:22">
      <c r="A122" s="66"/>
      <c r="B122" s="66"/>
      <c r="C122" s="66"/>
      <c r="D122" s="66"/>
      <c r="E122" s="66"/>
      <c r="F122" s="66"/>
      <c r="G122" s="66"/>
      <c r="H122" s="66"/>
      <c r="I122" s="66"/>
      <c r="J122" s="66"/>
      <c r="K122" s="66"/>
      <c r="L122" s="66"/>
      <c r="M122" s="66"/>
      <c r="N122" s="66"/>
      <c r="O122" s="66"/>
      <c r="P122" s="66"/>
      <c r="Q122" s="66"/>
      <c r="R122" s="66"/>
      <c r="S122" s="66"/>
      <c r="T122" s="66"/>
      <c r="U122" s="66"/>
      <c r="V122" s="66"/>
    </row>
    <row r="123" spans="1:22">
      <c r="A123" s="66"/>
      <c r="B123" s="66"/>
      <c r="C123" s="66"/>
      <c r="D123" s="66"/>
      <c r="E123" s="66"/>
      <c r="F123" s="66"/>
      <c r="G123" s="66"/>
      <c r="H123" s="66"/>
      <c r="I123" s="66"/>
      <c r="J123" s="66"/>
      <c r="K123" s="66"/>
      <c r="L123" s="66"/>
      <c r="M123" s="66"/>
      <c r="N123" s="66"/>
      <c r="O123" s="66"/>
      <c r="P123" s="66"/>
      <c r="Q123" s="66"/>
      <c r="R123" s="66"/>
      <c r="S123" s="66"/>
      <c r="T123" s="66"/>
      <c r="U123" s="66"/>
      <c r="V123" s="66"/>
    </row>
    <row r="124" spans="1:22">
      <c r="A124" s="66"/>
      <c r="B124" s="66"/>
      <c r="C124" s="66"/>
      <c r="D124" s="66"/>
      <c r="E124" s="66"/>
      <c r="F124" s="66"/>
      <c r="G124" s="66"/>
      <c r="H124" s="66"/>
      <c r="I124" s="66"/>
      <c r="J124" s="66"/>
      <c r="K124" s="66"/>
      <c r="L124" s="66"/>
      <c r="M124" s="66"/>
      <c r="N124" s="66"/>
      <c r="O124" s="66"/>
      <c r="P124" s="66"/>
      <c r="Q124" s="66"/>
      <c r="R124" s="66"/>
      <c r="S124" s="66"/>
      <c r="T124" s="66"/>
      <c r="U124" s="66"/>
      <c r="V124" s="66"/>
    </row>
    <row r="125" spans="1:22">
      <c r="A125" s="66"/>
      <c r="B125" s="66"/>
      <c r="C125" s="66"/>
      <c r="D125" s="66"/>
      <c r="E125" s="66"/>
      <c r="F125" s="66"/>
      <c r="G125" s="66"/>
      <c r="H125" s="66"/>
      <c r="I125" s="66"/>
      <c r="J125" s="66"/>
      <c r="K125" s="66"/>
      <c r="L125" s="66"/>
      <c r="M125" s="66"/>
      <c r="N125" s="66"/>
      <c r="O125" s="66"/>
      <c r="P125" s="66"/>
      <c r="Q125" s="66"/>
      <c r="R125" s="66"/>
      <c r="S125" s="66"/>
      <c r="T125" s="66"/>
      <c r="U125" s="66"/>
      <c r="V125" s="66"/>
    </row>
    <row r="126" spans="1:22">
      <c r="A126" s="66"/>
      <c r="B126" s="66"/>
      <c r="C126" s="66"/>
      <c r="D126" s="66"/>
      <c r="E126" s="66"/>
      <c r="F126" s="66"/>
      <c r="G126" s="66"/>
      <c r="H126" s="66"/>
      <c r="I126" s="66"/>
      <c r="J126" s="66"/>
      <c r="K126" s="66"/>
      <c r="L126" s="66"/>
      <c r="M126" s="66"/>
      <c r="N126" s="66"/>
      <c r="O126" s="66"/>
      <c r="P126" s="66"/>
      <c r="Q126" s="66"/>
      <c r="R126" s="66"/>
      <c r="S126" s="66"/>
      <c r="T126" s="66"/>
      <c r="U126" s="66"/>
      <c r="V126" s="66"/>
    </row>
    <row r="127" spans="1:22">
      <c r="A127" s="66"/>
      <c r="B127" s="66"/>
      <c r="C127" s="66"/>
      <c r="D127" s="66"/>
      <c r="E127" s="66"/>
      <c r="F127" s="66"/>
      <c r="G127" s="66"/>
      <c r="H127" s="66"/>
      <c r="I127" s="66"/>
      <c r="J127" s="66"/>
      <c r="K127" s="66"/>
      <c r="L127" s="66"/>
      <c r="M127" s="66"/>
      <c r="N127" s="66"/>
      <c r="O127" s="66"/>
      <c r="P127" s="66"/>
      <c r="Q127" s="66"/>
      <c r="R127" s="66"/>
      <c r="S127" s="66"/>
      <c r="T127" s="66"/>
      <c r="U127" s="66"/>
      <c r="V127" s="66"/>
    </row>
    <row r="128" spans="1:22">
      <c r="A128" s="66"/>
      <c r="B128" s="66"/>
      <c r="C128" s="66"/>
      <c r="D128" s="66"/>
      <c r="E128" s="66"/>
      <c r="F128" s="66"/>
      <c r="G128" s="66"/>
      <c r="H128" s="66"/>
      <c r="I128" s="66"/>
      <c r="J128" s="66"/>
      <c r="K128" s="66"/>
      <c r="L128" s="66"/>
      <c r="M128" s="66"/>
      <c r="N128" s="66"/>
      <c r="O128" s="66"/>
      <c r="P128" s="66"/>
      <c r="Q128" s="66"/>
      <c r="R128" s="66"/>
      <c r="S128" s="66"/>
      <c r="T128" s="66"/>
      <c r="U128" s="66"/>
      <c r="V128" s="66"/>
    </row>
    <row r="129" spans="1:22">
      <c r="A129" s="66"/>
      <c r="B129" s="66"/>
      <c r="C129" s="66"/>
      <c r="D129" s="66"/>
      <c r="E129" s="66"/>
      <c r="F129" s="66"/>
      <c r="G129" s="66"/>
      <c r="H129" s="66"/>
      <c r="I129" s="66"/>
      <c r="J129" s="66"/>
      <c r="K129" s="66"/>
      <c r="L129" s="66"/>
      <c r="M129" s="66"/>
      <c r="N129" s="66"/>
      <c r="O129" s="66"/>
      <c r="P129" s="66"/>
      <c r="Q129" s="66"/>
      <c r="R129" s="66"/>
      <c r="S129" s="66"/>
      <c r="T129" s="66"/>
      <c r="U129" s="66"/>
      <c r="V129" s="66"/>
    </row>
    <row r="130" spans="1:22">
      <c r="A130" s="66"/>
      <c r="B130" s="66"/>
      <c r="C130" s="66"/>
      <c r="D130" s="66"/>
      <c r="E130" s="66"/>
      <c r="F130" s="66"/>
      <c r="G130" s="66"/>
      <c r="H130" s="66"/>
      <c r="I130" s="66"/>
      <c r="J130" s="66"/>
      <c r="K130" s="66"/>
      <c r="L130" s="66"/>
      <c r="M130" s="66"/>
      <c r="N130" s="66"/>
      <c r="O130" s="66"/>
      <c r="P130" s="66"/>
      <c r="Q130" s="66"/>
      <c r="R130" s="66"/>
      <c r="S130" s="66"/>
      <c r="T130" s="66"/>
      <c r="U130" s="66"/>
      <c r="V130" s="66"/>
    </row>
    <row r="131" spans="1:22">
      <c r="A131" s="66"/>
      <c r="B131" s="66"/>
      <c r="C131" s="66"/>
      <c r="D131" s="66"/>
      <c r="E131" s="66"/>
      <c r="F131" s="66"/>
      <c r="G131" s="66"/>
      <c r="H131" s="66"/>
      <c r="I131" s="66"/>
      <c r="J131" s="66"/>
      <c r="K131" s="66"/>
      <c r="L131" s="66"/>
      <c r="M131" s="66"/>
      <c r="N131" s="66"/>
      <c r="O131" s="66"/>
      <c r="P131" s="66"/>
      <c r="Q131" s="66"/>
      <c r="R131" s="66"/>
      <c r="S131" s="66"/>
      <c r="T131" s="66"/>
      <c r="U131" s="66"/>
      <c r="V131" s="66"/>
    </row>
    <row r="132" spans="1:22">
      <c r="A132" s="66"/>
      <c r="B132" s="66"/>
      <c r="C132" s="66"/>
      <c r="D132" s="66"/>
      <c r="E132" s="66"/>
      <c r="F132" s="66"/>
      <c r="G132" s="66"/>
      <c r="H132" s="66"/>
      <c r="I132" s="66"/>
      <c r="J132" s="66"/>
      <c r="K132" s="66"/>
      <c r="L132" s="66"/>
      <c r="M132" s="66"/>
      <c r="N132" s="66"/>
      <c r="O132" s="66"/>
      <c r="P132" s="66"/>
      <c r="Q132" s="66"/>
      <c r="R132" s="66"/>
      <c r="S132" s="66"/>
      <c r="T132" s="66"/>
      <c r="U132" s="66"/>
      <c r="V132" s="66"/>
    </row>
    <row r="133" spans="1:22">
      <c r="A133" s="66"/>
      <c r="B133" s="66"/>
      <c r="C133" s="66"/>
      <c r="D133" s="66"/>
      <c r="E133" s="66"/>
      <c r="F133" s="66"/>
      <c r="G133" s="66"/>
      <c r="H133" s="66"/>
      <c r="I133" s="66"/>
      <c r="J133" s="66"/>
      <c r="K133" s="66"/>
      <c r="L133" s="66"/>
      <c r="M133" s="66"/>
      <c r="N133" s="66"/>
      <c r="O133" s="66"/>
      <c r="P133" s="66"/>
      <c r="Q133" s="66"/>
      <c r="R133" s="66"/>
      <c r="S133" s="66"/>
      <c r="T133" s="66"/>
      <c r="U133" s="66"/>
      <c r="V133" s="66"/>
    </row>
    <row r="134" spans="1:22">
      <c r="A134" s="66"/>
      <c r="B134" s="66"/>
      <c r="C134" s="66"/>
      <c r="D134" s="66"/>
      <c r="E134" s="66"/>
      <c r="F134" s="66"/>
      <c r="G134" s="66"/>
      <c r="H134" s="66"/>
      <c r="I134" s="66"/>
      <c r="J134" s="66"/>
      <c r="K134" s="66"/>
      <c r="L134" s="66"/>
      <c r="M134" s="66"/>
      <c r="N134" s="66"/>
      <c r="O134" s="66"/>
      <c r="P134" s="66"/>
      <c r="Q134" s="66"/>
      <c r="R134" s="66"/>
      <c r="S134" s="66"/>
      <c r="T134" s="66"/>
      <c r="U134" s="66"/>
      <c r="V134" s="66"/>
    </row>
    <row r="135" spans="1:22">
      <c r="A135" s="66"/>
      <c r="B135" s="66"/>
      <c r="C135" s="66"/>
      <c r="D135" s="66"/>
      <c r="E135" s="66"/>
      <c r="F135" s="66"/>
      <c r="G135" s="66"/>
      <c r="H135" s="66"/>
      <c r="I135" s="66"/>
      <c r="J135" s="66"/>
      <c r="K135" s="66"/>
      <c r="L135" s="66"/>
      <c r="M135" s="66"/>
      <c r="N135" s="66"/>
      <c r="O135" s="66"/>
      <c r="P135" s="66"/>
      <c r="Q135" s="66"/>
      <c r="R135" s="66"/>
      <c r="S135" s="66"/>
      <c r="T135" s="66"/>
      <c r="U135" s="66"/>
      <c r="V135" s="66"/>
    </row>
    <row r="136" spans="1:22">
      <c r="A136" s="66"/>
      <c r="B136" s="66"/>
      <c r="C136" s="66"/>
      <c r="D136" s="66"/>
      <c r="E136" s="66"/>
      <c r="F136" s="66"/>
      <c r="G136" s="66"/>
      <c r="H136" s="66"/>
      <c r="I136" s="66"/>
      <c r="J136" s="66"/>
      <c r="K136" s="66"/>
      <c r="L136" s="66"/>
      <c r="M136" s="66"/>
      <c r="N136" s="66"/>
      <c r="O136" s="66"/>
      <c r="P136" s="66"/>
      <c r="Q136" s="66"/>
      <c r="R136" s="66"/>
      <c r="S136" s="66"/>
      <c r="T136" s="66"/>
      <c r="U136" s="66"/>
      <c r="V136" s="66"/>
    </row>
    <row r="137" spans="1:22">
      <c r="A137" s="66"/>
      <c r="B137" s="66"/>
      <c r="C137" s="66"/>
      <c r="D137" s="66"/>
      <c r="E137" s="66"/>
      <c r="F137" s="66"/>
      <c r="G137" s="66"/>
      <c r="H137" s="66"/>
      <c r="I137" s="66"/>
      <c r="J137" s="66"/>
      <c r="K137" s="66"/>
      <c r="L137" s="66"/>
      <c r="M137" s="66"/>
      <c r="N137" s="66"/>
      <c r="O137" s="66"/>
      <c r="P137" s="66"/>
      <c r="Q137" s="66"/>
      <c r="R137" s="66"/>
      <c r="S137" s="66"/>
      <c r="T137" s="66"/>
      <c r="U137" s="66"/>
      <c r="V137" s="66"/>
    </row>
    <row r="138" spans="1:22">
      <c r="A138" s="66"/>
      <c r="B138" s="66"/>
      <c r="C138" s="66"/>
      <c r="D138" s="66"/>
      <c r="E138" s="66"/>
      <c r="F138" s="66"/>
      <c r="G138" s="66"/>
      <c r="H138" s="66"/>
      <c r="I138" s="66"/>
      <c r="J138" s="66"/>
      <c r="K138" s="66"/>
      <c r="L138" s="66"/>
      <c r="M138" s="66"/>
      <c r="N138" s="66"/>
      <c r="O138" s="66"/>
      <c r="P138" s="66"/>
      <c r="Q138" s="66"/>
      <c r="R138" s="66"/>
      <c r="S138" s="66"/>
      <c r="T138" s="66"/>
      <c r="U138" s="66"/>
      <c r="V138" s="66"/>
    </row>
    <row r="139" spans="1:22">
      <c r="A139" s="66"/>
      <c r="B139" s="66"/>
      <c r="C139" s="66"/>
      <c r="D139" s="66"/>
      <c r="E139" s="66"/>
      <c r="F139" s="66"/>
      <c r="G139" s="66"/>
      <c r="H139" s="66"/>
      <c r="I139" s="66"/>
      <c r="J139" s="66"/>
      <c r="K139" s="66"/>
      <c r="L139" s="66"/>
      <c r="M139" s="66"/>
      <c r="N139" s="66"/>
      <c r="O139" s="66"/>
      <c r="P139" s="66"/>
      <c r="Q139" s="66"/>
      <c r="R139" s="66"/>
      <c r="S139" s="66"/>
      <c r="T139" s="66"/>
      <c r="U139" s="66"/>
      <c r="V139" s="66"/>
    </row>
    <row r="140" spans="1:22">
      <c r="A140" s="66"/>
      <c r="B140" s="66"/>
      <c r="C140" s="66"/>
      <c r="D140" s="66"/>
      <c r="E140" s="66"/>
      <c r="F140" s="66"/>
      <c r="G140" s="66"/>
      <c r="H140" s="66"/>
      <c r="I140" s="66"/>
      <c r="J140" s="66"/>
      <c r="K140" s="66"/>
      <c r="L140" s="66"/>
      <c r="M140" s="66"/>
      <c r="N140" s="66"/>
      <c r="O140" s="66"/>
      <c r="P140" s="66"/>
      <c r="Q140" s="66"/>
      <c r="R140" s="66"/>
      <c r="S140" s="66"/>
      <c r="T140" s="66"/>
      <c r="U140" s="66"/>
      <c r="V140" s="66"/>
    </row>
    <row r="141" spans="1:22">
      <c r="A141" s="66"/>
      <c r="B141" s="66"/>
      <c r="C141" s="66"/>
      <c r="D141" s="66"/>
      <c r="E141" s="66"/>
      <c r="F141" s="66"/>
      <c r="G141" s="66"/>
      <c r="H141" s="66"/>
      <c r="I141" s="66"/>
      <c r="J141" s="66"/>
      <c r="K141" s="66"/>
      <c r="L141" s="66"/>
      <c r="M141" s="66"/>
      <c r="N141" s="66"/>
      <c r="O141" s="66"/>
      <c r="P141" s="66"/>
      <c r="Q141" s="66"/>
      <c r="R141" s="66"/>
      <c r="S141" s="66"/>
      <c r="T141" s="66"/>
      <c r="U141" s="66"/>
      <c r="V141" s="66"/>
    </row>
    <row r="142" spans="1:22">
      <c r="A142" s="66"/>
      <c r="B142" s="66"/>
      <c r="C142" s="66"/>
      <c r="D142" s="66"/>
      <c r="E142" s="66"/>
      <c r="F142" s="66"/>
      <c r="G142" s="66"/>
      <c r="H142" s="66"/>
      <c r="I142" s="66"/>
      <c r="J142" s="66"/>
      <c r="K142" s="66"/>
      <c r="L142" s="66"/>
      <c r="M142" s="66"/>
      <c r="N142" s="66"/>
      <c r="O142" s="66"/>
      <c r="P142" s="66"/>
      <c r="Q142" s="66"/>
      <c r="R142" s="66"/>
      <c r="S142" s="66"/>
      <c r="T142" s="66"/>
      <c r="U142" s="66"/>
      <c r="V142" s="66"/>
    </row>
    <row r="143" spans="1:22">
      <c r="A143" s="66"/>
      <c r="B143" s="66"/>
      <c r="C143" s="66"/>
      <c r="D143" s="66"/>
      <c r="E143" s="66"/>
      <c r="F143" s="66"/>
      <c r="G143" s="66"/>
      <c r="H143" s="66"/>
      <c r="I143" s="66"/>
      <c r="J143" s="66"/>
      <c r="K143" s="66"/>
      <c r="L143" s="66"/>
      <c r="M143" s="66"/>
      <c r="N143" s="66"/>
      <c r="O143" s="66"/>
      <c r="P143" s="66"/>
      <c r="Q143" s="66"/>
      <c r="R143" s="66"/>
      <c r="S143" s="66"/>
      <c r="T143" s="66"/>
      <c r="U143" s="66"/>
      <c r="V143" s="66"/>
    </row>
    <row r="144" spans="1:22">
      <c r="A144" s="66"/>
      <c r="B144" s="66"/>
      <c r="C144" s="66"/>
      <c r="D144" s="66"/>
      <c r="E144" s="66"/>
      <c r="F144" s="66"/>
      <c r="G144" s="66"/>
      <c r="H144" s="66"/>
      <c r="I144" s="66"/>
      <c r="J144" s="66"/>
      <c r="K144" s="66"/>
      <c r="L144" s="66"/>
      <c r="M144" s="66"/>
      <c r="N144" s="66"/>
      <c r="O144" s="66"/>
      <c r="P144" s="66"/>
      <c r="Q144" s="66"/>
      <c r="R144" s="66"/>
      <c r="S144" s="66"/>
      <c r="T144" s="66"/>
      <c r="U144" s="66"/>
      <c r="V144" s="66"/>
    </row>
    <row r="145" spans="1:22">
      <c r="A145" s="66"/>
      <c r="B145" s="66"/>
      <c r="C145" s="66"/>
      <c r="D145" s="66"/>
      <c r="E145" s="66"/>
      <c r="F145" s="66"/>
      <c r="G145" s="66"/>
      <c r="H145" s="66"/>
      <c r="I145" s="66"/>
      <c r="J145" s="66"/>
      <c r="K145" s="66"/>
      <c r="L145" s="66"/>
      <c r="M145" s="66"/>
      <c r="N145" s="66"/>
      <c r="O145" s="66"/>
      <c r="P145" s="66"/>
      <c r="Q145" s="66"/>
      <c r="R145" s="66"/>
      <c r="S145" s="66"/>
      <c r="T145" s="66"/>
      <c r="U145" s="66"/>
      <c r="V145" s="66"/>
    </row>
    <row r="146" spans="1:22">
      <c r="A146" s="66"/>
      <c r="B146" s="66"/>
      <c r="C146" s="66"/>
      <c r="D146" s="66"/>
      <c r="E146" s="66"/>
      <c r="F146" s="66"/>
      <c r="G146" s="66"/>
      <c r="H146" s="66"/>
      <c r="I146" s="66"/>
      <c r="J146" s="66"/>
      <c r="K146" s="66"/>
      <c r="L146" s="66"/>
      <c r="M146" s="66"/>
      <c r="N146" s="66"/>
      <c r="O146" s="66"/>
      <c r="P146" s="66"/>
      <c r="Q146" s="66"/>
      <c r="R146" s="66"/>
      <c r="S146" s="66"/>
      <c r="T146" s="66"/>
      <c r="U146" s="66"/>
      <c r="V146" s="66"/>
    </row>
    <row r="147" spans="1:22">
      <c r="A147" s="66"/>
      <c r="B147" s="66"/>
      <c r="C147" s="66"/>
      <c r="D147" s="66"/>
      <c r="E147" s="66"/>
      <c r="F147" s="66"/>
      <c r="G147" s="66"/>
      <c r="H147" s="66"/>
      <c r="I147" s="66"/>
      <c r="J147" s="66"/>
      <c r="K147" s="66"/>
      <c r="L147" s="66"/>
      <c r="M147" s="66"/>
      <c r="N147" s="66"/>
      <c r="O147" s="66"/>
      <c r="P147" s="66"/>
      <c r="Q147" s="66"/>
      <c r="R147" s="66"/>
      <c r="S147" s="66"/>
      <c r="T147" s="66"/>
      <c r="U147" s="66"/>
      <c r="V147" s="66"/>
    </row>
    <row r="148" spans="1:22">
      <c r="A148" s="66"/>
      <c r="B148" s="66"/>
      <c r="C148" s="66"/>
      <c r="D148" s="66"/>
      <c r="E148" s="66"/>
      <c r="F148" s="66"/>
      <c r="G148" s="66"/>
      <c r="H148" s="66"/>
      <c r="I148" s="66"/>
      <c r="J148" s="66"/>
      <c r="K148" s="66"/>
      <c r="L148" s="66"/>
      <c r="M148" s="66"/>
      <c r="N148" s="66"/>
      <c r="O148" s="66"/>
      <c r="P148" s="66"/>
      <c r="Q148" s="66"/>
      <c r="R148" s="66"/>
      <c r="S148" s="66"/>
      <c r="T148" s="66"/>
      <c r="U148" s="66"/>
      <c r="V148" s="66"/>
    </row>
    <row r="149" spans="1:22">
      <c r="A149" s="66"/>
      <c r="B149" s="66"/>
      <c r="C149" s="66"/>
      <c r="D149" s="66"/>
      <c r="E149" s="66"/>
      <c r="F149" s="66"/>
      <c r="G149" s="66"/>
      <c r="H149" s="66"/>
      <c r="I149" s="66"/>
      <c r="J149" s="66"/>
      <c r="K149" s="66"/>
      <c r="L149" s="66"/>
      <c r="M149" s="66"/>
      <c r="N149" s="66"/>
      <c r="O149" s="66"/>
      <c r="P149" s="66"/>
      <c r="Q149" s="66"/>
      <c r="R149" s="66"/>
      <c r="S149" s="66"/>
      <c r="T149" s="66"/>
      <c r="U149" s="66"/>
      <c r="V149" s="66"/>
    </row>
    <row r="150" spans="1:22">
      <c r="A150" s="66"/>
      <c r="B150" s="66"/>
      <c r="C150" s="66"/>
      <c r="D150" s="66"/>
      <c r="E150" s="66"/>
      <c r="F150" s="66"/>
      <c r="G150" s="66"/>
      <c r="H150" s="66"/>
      <c r="I150" s="66"/>
      <c r="J150" s="66"/>
      <c r="K150" s="66"/>
      <c r="L150" s="66"/>
      <c r="M150" s="66"/>
      <c r="N150" s="66"/>
      <c r="O150" s="66"/>
      <c r="P150" s="66"/>
      <c r="Q150" s="66"/>
      <c r="R150" s="66"/>
      <c r="S150" s="66"/>
      <c r="T150" s="66"/>
      <c r="U150" s="66"/>
      <c r="V150" s="66"/>
    </row>
    <row r="151" spans="1:22">
      <c r="A151" s="66"/>
      <c r="B151" s="66"/>
      <c r="C151" s="66"/>
      <c r="D151" s="66"/>
      <c r="E151" s="66"/>
      <c r="F151" s="66"/>
      <c r="G151" s="66"/>
      <c r="H151" s="66"/>
      <c r="I151" s="66"/>
      <c r="J151" s="66"/>
      <c r="K151" s="66"/>
      <c r="L151" s="66"/>
      <c r="M151" s="66"/>
      <c r="N151" s="66"/>
      <c r="O151" s="66"/>
      <c r="P151" s="66"/>
      <c r="Q151" s="66"/>
      <c r="R151" s="66"/>
      <c r="S151" s="66"/>
      <c r="T151" s="66"/>
      <c r="U151" s="66"/>
      <c r="V151" s="66"/>
    </row>
    <row r="152" spans="1:22">
      <c r="A152" s="66"/>
      <c r="B152" s="66"/>
      <c r="C152" s="66"/>
      <c r="D152" s="66"/>
      <c r="E152" s="66"/>
      <c r="F152" s="66"/>
      <c r="G152" s="66"/>
      <c r="H152" s="66"/>
      <c r="I152" s="66"/>
      <c r="J152" s="66"/>
      <c r="K152" s="66"/>
      <c r="L152" s="66"/>
      <c r="M152" s="66"/>
      <c r="N152" s="66"/>
      <c r="O152" s="66"/>
      <c r="P152" s="66"/>
      <c r="Q152" s="66"/>
      <c r="R152" s="66"/>
      <c r="S152" s="66"/>
      <c r="T152" s="66"/>
      <c r="U152" s="66"/>
      <c r="V152" s="66"/>
    </row>
    <row r="153" spans="1:22">
      <c r="A153" s="66"/>
      <c r="B153" s="66"/>
      <c r="C153" s="66"/>
      <c r="D153" s="66"/>
      <c r="E153" s="66"/>
      <c r="F153" s="66"/>
      <c r="G153" s="66"/>
      <c r="H153" s="66"/>
      <c r="I153" s="66"/>
      <c r="J153" s="66"/>
      <c r="K153" s="66"/>
      <c r="L153" s="66"/>
      <c r="M153" s="66"/>
      <c r="N153" s="66"/>
      <c r="O153" s="66"/>
      <c r="P153" s="66"/>
      <c r="Q153" s="66"/>
      <c r="R153" s="66"/>
      <c r="S153" s="66"/>
      <c r="T153" s="66"/>
      <c r="U153" s="66"/>
      <c r="V153" s="66"/>
    </row>
    <row r="154" spans="1:22">
      <c r="A154" s="66"/>
      <c r="B154" s="66"/>
      <c r="C154" s="66"/>
      <c r="D154" s="66"/>
      <c r="E154" s="66"/>
      <c r="F154" s="66"/>
      <c r="G154" s="66"/>
      <c r="H154" s="66"/>
      <c r="I154" s="66"/>
      <c r="J154" s="66"/>
      <c r="K154" s="66"/>
      <c r="L154" s="66"/>
      <c r="M154" s="66"/>
      <c r="N154" s="66"/>
      <c r="O154" s="66"/>
      <c r="P154" s="66"/>
      <c r="Q154" s="66"/>
      <c r="R154" s="66"/>
      <c r="S154" s="66"/>
      <c r="T154" s="66"/>
      <c r="U154" s="66"/>
      <c r="V154" s="66"/>
    </row>
    <row r="155" spans="1:22">
      <c r="A155" s="66"/>
      <c r="B155" s="66"/>
      <c r="C155" s="66"/>
      <c r="D155" s="66"/>
      <c r="E155" s="66"/>
      <c r="F155" s="66"/>
      <c r="G155" s="66"/>
      <c r="H155" s="66"/>
      <c r="I155" s="66"/>
      <c r="J155" s="66"/>
      <c r="K155" s="66"/>
      <c r="L155" s="66"/>
      <c r="M155" s="66"/>
      <c r="N155" s="66"/>
      <c r="O155" s="66"/>
      <c r="P155" s="66"/>
      <c r="Q155" s="66"/>
      <c r="R155" s="66"/>
      <c r="S155" s="66"/>
      <c r="T155" s="66"/>
      <c r="U155" s="66"/>
      <c r="V155" s="66"/>
    </row>
    <row r="156" spans="1:22">
      <c r="A156" s="66"/>
      <c r="B156" s="66"/>
      <c r="C156" s="66"/>
      <c r="D156" s="66"/>
      <c r="E156" s="66"/>
      <c r="F156" s="66"/>
      <c r="G156" s="66"/>
      <c r="H156" s="66"/>
      <c r="I156" s="66"/>
      <c r="J156" s="66"/>
      <c r="K156" s="66"/>
      <c r="L156" s="66"/>
      <c r="M156" s="66"/>
      <c r="N156" s="66"/>
      <c r="O156" s="66"/>
      <c r="P156" s="66"/>
      <c r="Q156" s="66"/>
      <c r="R156" s="66"/>
      <c r="S156" s="66"/>
      <c r="T156" s="66"/>
      <c r="U156" s="66"/>
      <c r="V156" s="66"/>
    </row>
    <row r="157" spans="1:22">
      <c r="A157" s="66"/>
      <c r="B157" s="66"/>
      <c r="C157" s="66"/>
      <c r="D157" s="66"/>
      <c r="E157" s="66"/>
      <c r="F157" s="66"/>
      <c r="G157" s="66"/>
      <c r="H157" s="66"/>
      <c r="I157" s="66"/>
      <c r="J157" s="66"/>
      <c r="K157" s="66"/>
      <c r="L157" s="66"/>
      <c r="M157" s="66"/>
      <c r="N157" s="66"/>
      <c r="O157" s="66"/>
      <c r="P157" s="66"/>
      <c r="Q157" s="66"/>
      <c r="R157" s="66"/>
      <c r="S157" s="66"/>
      <c r="T157" s="66"/>
      <c r="U157" s="66"/>
      <c r="V157" s="66"/>
    </row>
    <row r="158" spans="1:22">
      <c r="A158" s="66"/>
      <c r="B158" s="66"/>
      <c r="C158" s="66"/>
      <c r="D158" s="66"/>
      <c r="E158" s="66"/>
      <c r="F158" s="66"/>
      <c r="G158" s="66"/>
      <c r="H158" s="66"/>
      <c r="I158" s="66"/>
      <c r="J158" s="66"/>
      <c r="K158" s="66"/>
      <c r="L158" s="66"/>
      <c r="M158" s="66"/>
      <c r="N158" s="66"/>
      <c r="O158" s="66"/>
      <c r="P158" s="66"/>
      <c r="Q158" s="66"/>
      <c r="R158" s="66"/>
      <c r="S158" s="66"/>
      <c r="T158" s="66"/>
      <c r="U158" s="66"/>
      <c r="V158" s="66"/>
    </row>
    <row r="159" spans="1:22">
      <c r="A159" s="66"/>
      <c r="B159" s="66"/>
      <c r="C159" s="66"/>
      <c r="D159" s="66"/>
      <c r="E159" s="66"/>
      <c r="F159" s="66"/>
      <c r="G159" s="66"/>
      <c r="H159" s="66"/>
      <c r="I159" s="66"/>
      <c r="J159" s="66"/>
      <c r="K159" s="66"/>
      <c r="L159" s="66"/>
      <c r="M159" s="66"/>
      <c r="N159" s="66"/>
      <c r="O159" s="66"/>
      <c r="P159" s="66"/>
      <c r="Q159" s="66"/>
      <c r="R159" s="66"/>
      <c r="S159" s="66"/>
      <c r="T159" s="66"/>
      <c r="U159" s="66"/>
      <c r="V159" s="66"/>
    </row>
    <row r="160" spans="1:22">
      <c r="A160" s="66"/>
      <c r="B160" s="66"/>
      <c r="C160" s="66"/>
      <c r="D160" s="66"/>
      <c r="E160" s="66"/>
      <c r="F160" s="66"/>
      <c r="G160" s="66"/>
      <c r="H160" s="66"/>
      <c r="I160" s="66"/>
      <c r="J160" s="66"/>
      <c r="K160" s="66"/>
      <c r="L160" s="66"/>
      <c r="M160" s="66"/>
      <c r="N160" s="66"/>
      <c r="O160" s="66"/>
      <c r="P160" s="66"/>
      <c r="Q160" s="66"/>
      <c r="R160" s="66"/>
      <c r="S160" s="66"/>
      <c r="T160" s="66"/>
      <c r="U160" s="66"/>
      <c r="V160" s="66"/>
    </row>
    <row r="161" spans="1:22">
      <c r="A161" s="66"/>
      <c r="B161" s="66"/>
      <c r="C161" s="66"/>
      <c r="D161" s="66"/>
      <c r="E161" s="66"/>
      <c r="F161" s="66"/>
      <c r="G161" s="66"/>
      <c r="H161" s="66"/>
      <c r="I161" s="66"/>
      <c r="J161" s="66"/>
      <c r="K161" s="66"/>
      <c r="L161" s="66"/>
      <c r="M161" s="66"/>
      <c r="N161" s="66"/>
      <c r="O161" s="66"/>
      <c r="P161" s="66"/>
      <c r="Q161" s="66"/>
      <c r="R161" s="66"/>
      <c r="S161" s="66"/>
      <c r="T161" s="66"/>
      <c r="U161" s="66"/>
      <c r="V161" s="66"/>
    </row>
    <row r="162" spans="1:22">
      <c r="A162" s="66"/>
      <c r="B162" s="66"/>
      <c r="C162" s="66"/>
      <c r="D162" s="66"/>
      <c r="E162" s="66"/>
      <c r="F162" s="66"/>
      <c r="G162" s="66"/>
      <c r="H162" s="66"/>
      <c r="I162" s="66"/>
      <c r="J162" s="66"/>
      <c r="K162" s="66"/>
      <c r="L162" s="66"/>
      <c r="M162" s="66"/>
      <c r="N162" s="66"/>
      <c r="O162" s="66"/>
      <c r="P162" s="66"/>
      <c r="Q162" s="66"/>
      <c r="R162" s="66"/>
      <c r="S162" s="66"/>
      <c r="T162" s="66"/>
      <c r="U162" s="66"/>
      <c r="V162" s="66"/>
    </row>
    <row r="163" spans="1:22">
      <c r="A163" s="66"/>
      <c r="B163" s="66"/>
      <c r="C163" s="66"/>
      <c r="D163" s="66"/>
      <c r="E163" s="66"/>
      <c r="F163" s="66"/>
      <c r="G163" s="66"/>
      <c r="H163" s="66"/>
      <c r="I163" s="66"/>
      <c r="J163" s="66"/>
      <c r="K163" s="66"/>
      <c r="L163" s="66"/>
      <c r="M163" s="66"/>
      <c r="N163" s="66"/>
      <c r="O163" s="66"/>
      <c r="P163" s="66"/>
      <c r="Q163" s="66"/>
      <c r="R163" s="66"/>
      <c r="S163" s="66"/>
      <c r="T163" s="66"/>
      <c r="U163" s="66"/>
      <c r="V163" s="66"/>
    </row>
    <row r="164" spans="1:22">
      <c r="A164" s="66"/>
      <c r="B164" s="66"/>
      <c r="C164" s="66"/>
      <c r="D164" s="66"/>
      <c r="E164" s="66"/>
      <c r="F164" s="66"/>
      <c r="G164" s="66"/>
      <c r="H164" s="66"/>
      <c r="I164" s="66"/>
      <c r="J164" s="66"/>
      <c r="K164" s="66"/>
      <c r="L164" s="66"/>
      <c r="M164" s="66"/>
      <c r="N164" s="66"/>
      <c r="O164" s="66"/>
      <c r="P164" s="66"/>
      <c r="Q164" s="66"/>
      <c r="R164" s="66"/>
      <c r="S164" s="66"/>
      <c r="T164" s="66"/>
      <c r="U164" s="66"/>
      <c r="V164" s="66"/>
    </row>
    <row r="165" spans="1:22">
      <c r="A165" s="66"/>
      <c r="B165" s="66"/>
      <c r="C165" s="66"/>
      <c r="D165" s="66"/>
      <c r="E165" s="66"/>
      <c r="F165" s="66"/>
      <c r="G165" s="66"/>
      <c r="H165" s="66"/>
      <c r="I165" s="66"/>
      <c r="J165" s="66"/>
      <c r="K165" s="66"/>
      <c r="L165" s="66"/>
      <c r="M165" s="66"/>
      <c r="N165" s="66"/>
      <c r="O165" s="66"/>
      <c r="P165" s="66"/>
      <c r="Q165" s="66"/>
      <c r="R165" s="66"/>
      <c r="S165" s="66"/>
      <c r="T165" s="66"/>
      <c r="U165" s="66"/>
      <c r="V165" s="66"/>
    </row>
    <row r="166" spans="1:22">
      <c r="A166" s="66"/>
      <c r="B166" s="66"/>
      <c r="C166" s="66"/>
      <c r="D166" s="66"/>
      <c r="E166" s="66"/>
      <c r="F166" s="66"/>
      <c r="G166" s="66"/>
      <c r="H166" s="66"/>
      <c r="I166" s="66"/>
      <c r="J166" s="66"/>
      <c r="K166" s="66"/>
      <c r="L166" s="66"/>
      <c r="M166" s="66"/>
      <c r="N166" s="66"/>
      <c r="O166" s="66"/>
      <c r="P166" s="66"/>
      <c r="Q166" s="66"/>
      <c r="R166" s="66"/>
      <c r="S166" s="66"/>
      <c r="T166" s="66"/>
      <c r="U166" s="66"/>
      <c r="V166" s="66"/>
    </row>
    <row r="167" spans="1:22">
      <c r="A167" s="66"/>
      <c r="B167" s="66"/>
      <c r="C167" s="66"/>
      <c r="D167" s="66"/>
      <c r="E167" s="66"/>
      <c r="F167" s="66"/>
      <c r="G167" s="66"/>
      <c r="H167" s="66"/>
      <c r="I167" s="66"/>
      <c r="J167" s="66"/>
      <c r="K167" s="66"/>
      <c r="L167" s="66"/>
      <c r="M167" s="66"/>
      <c r="N167" s="66"/>
      <c r="O167" s="66"/>
      <c r="P167" s="66"/>
      <c r="Q167" s="66"/>
      <c r="R167" s="66"/>
      <c r="S167" s="66"/>
      <c r="T167" s="66"/>
      <c r="U167" s="66"/>
      <c r="V167" s="66"/>
    </row>
    <row r="168" spans="1:22">
      <c r="A168" s="66"/>
      <c r="B168" s="66"/>
      <c r="C168" s="66"/>
      <c r="D168" s="66"/>
      <c r="E168" s="66"/>
      <c r="F168" s="66"/>
      <c r="G168" s="66"/>
      <c r="H168" s="66"/>
      <c r="I168" s="66"/>
      <c r="J168" s="66"/>
      <c r="K168" s="66"/>
      <c r="L168" s="66"/>
      <c r="M168" s="66"/>
      <c r="N168" s="66"/>
      <c r="O168" s="66"/>
      <c r="P168" s="66"/>
      <c r="Q168" s="66"/>
      <c r="R168" s="66"/>
      <c r="S168" s="66"/>
      <c r="T168" s="66"/>
      <c r="U168" s="66"/>
      <c r="V168" s="66"/>
    </row>
    <row r="169" spans="1:22">
      <c r="A169" s="66"/>
      <c r="B169" s="66"/>
      <c r="C169" s="66"/>
      <c r="D169" s="66"/>
      <c r="E169" s="66"/>
      <c r="F169" s="66"/>
      <c r="G169" s="66"/>
      <c r="H169" s="66"/>
      <c r="I169" s="66"/>
      <c r="J169" s="66"/>
      <c r="K169" s="66"/>
      <c r="L169" s="66"/>
      <c r="M169" s="66"/>
      <c r="N169" s="66"/>
      <c r="O169" s="66"/>
      <c r="P169" s="66"/>
      <c r="Q169" s="66"/>
      <c r="R169" s="66"/>
      <c r="S169" s="66"/>
      <c r="T169" s="66"/>
      <c r="U169" s="66"/>
      <c r="V169" s="66"/>
    </row>
    <row r="170" spans="1:22">
      <c r="A170" s="66"/>
      <c r="B170" s="66"/>
      <c r="C170" s="66"/>
      <c r="D170" s="66"/>
      <c r="E170" s="66"/>
      <c r="F170" s="66"/>
      <c r="G170" s="66"/>
      <c r="H170" s="66"/>
      <c r="I170" s="66"/>
      <c r="J170" s="66"/>
      <c r="K170" s="66"/>
      <c r="L170" s="66"/>
      <c r="M170" s="66"/>
      <c r="N170" s="66"/>
      <c r="O170" s="66"/>
      <c r="P170" s="66"/>
      <c r="Q170" s="66"/>
      <c r="R170" s="66"/>
      <c r="S170" s="66"/>
      <c r="T170" s="66"/>
      <c r="U170" s="66"/>
      <c r="V170" s="66"/>
    </row>
    <row r="171" spans="1:22">
      <c r="A171" s="66"/>
      <c r="B171" s="66"/>
      <c r="C171" s="66"/>
      <c r="D171" s="66"/>
      <c r="E171" s="66"/>
      <c r="F171" s="66"/>
      <c r="G171" s="66"/>
      <c r="H171" s="66"/>
      <c r="I171" s="66"/>
      <c r="J171" s="66"/>
      <c r="K171" s="66"/>
      <c r="L171" s="66"/>
      <c r="M171" s="66"/>
      <c r="N171" s="66"/>
      <c r="O171" s="66"/>
      <c r="P171" s="66"/>
      <c r="Q171" s="66"/>
      <c r="R171" s="66"/>
      <c r="S171" s="66"/>
      <c r="T171" s="66"/>
      <c r="U171" s="66"/>
      <c r="V171" s="66"/>
    </row>
    <row r="172" spans="1:22">
      <c r="A172" s="66"/>
      <c r="B172" s="66"/>
      <c r="C172" s="66"/>
      <c r="D172" s="66"/>
      <c r="E172" s="66"/>
      <c r="F172" s="66"/>
      <c r="G172" s="66"/>
      <c r="H172" s="66"/>
      <c r="I172" s="66"/>
      <c r="J172" s="66"/>
      <c r="K172" s="66"/>
      <c r="L172" s="66"/>
      <c r="M172" s="66"/>
      <c r="N172" s="66"/>
      <c r="O172" s="66"/>
      <c r="P172" s="66"/>
      <c r="Q172" s="66"/>
      <c r="R172" s="66"/>
      <c r="S172" s="66"/>
      <c r="T172" s="66"/>
      <c r="U172" s="66"/>
      <c r="V172" s="66"/>
    </row>
    <row r="173" spans="1:22">
      <c r="A173" s="66"/>
      <c r="B173" s="66"/>
      <c r="C173" s="66"/>
      <c r="D173" s="66"/>
      <c r="E173" s="66"/>
      <c r="F173" s="66"/>
      <c r="G173" s="66"/>
      <c r="H173" s="66"/>
      <c r="I173" s="66"/>
      <c r="J173" s="66"/>
      <c r="K173" s="66"/>
      <c r="L173" s="66"/>
      <c r="M173" s="66"/>
      <c r="N173" s="66"/>
      <c r="O173" s="66"/>
      <c r="P173" s="66"/>
      <c r="Q173" s="66"/>
      <c r="R173" s="66"/>
      <c r="S173" s="66"/>
      <c r="T173" s="66"/>
      <c r="U173" s="66"/>
      <c r="V173" s="66"/>
    </row>
    <row r="174" spans="1:22">
      <c r="A174" s="66"/>
      <c r="B174" s="66"/>
      <c r="C174" s="66"/>
      <c r="D174" s="66"/>
      <c r="E174" s="66"/>
      <c r="F174" s="66"/>
      <c r="G174" s="66"/>
      <c r="H174" s="66"/>
      <c r="I174" s="66"/>
      <c r="J174" s="66"/>
      <c r="K174" s="66"/>
      <c r="L174" s="66"/>
      <c r="M174" s="66"/>
      <c r="N174" s="66"/>
      <c r="O174" s="66"/>
      <c r="P174" s="66"/>
      <c r="Q174" s="66"/>
      <c r="R174" s="66"/>
      <c r="S174" s="66"/>
      <c r="T174" s="66"/>
      <c r="U174" s="66"/>
      <c r="V174" s="66"/>
    </row>
    <row r="175" spans="1:22">
      <c r="A175" s="66"/>
      <c r="B175" s="66"/>
      <c r="C175" s="66"/>
      <c r="D175" s="66"/>
      <c r="E175" s="66"/>
      <c r="F175" s="66"/>
      <c r="G175" s="66"/>
      <c r="H175" s="66"/>
      <c r="I175" s="66"/>
      <c r="J175" s="66"/>
      <c r="K175" s="66"/>
      <c r="L175" s="66"/>
      <c r="M175" s="66"/>
      <c r="N175" s="66"/>
      <c r="O175" s="66"/>
      <c r="P175" s="66"/>
      <c r="Q175" s="66"/>
      <c r="R175" s="66"/>
      <c r="S175" s="66"/>
      <c r="T175" s="66"/>
      <c r="U175" s="66"/>
      <c r="V175" s="66"/>
    </row>
    <row r="176" spans="1:22">
      <c r="A176" s="66"/>
      <c r="B176" s="66"/>
      <c r="C176" s="66"/>
      <c r="D176" s="66"/>
      <c r="E176" s="66"/>
      <c r="F176" s="66"/>
      <c r="G176" s="66"/>
      <c r="H176" s="66"/>
      <c r="I176" s="66"/>
      <c r="J176" s="66"/>
      <c r="K176" s="66"/>
      <c r="L176" s="66"/>
      <c r="M176" s="66"/>
      <c r="N176" s="66"/>
      <c r="O176" s="66"/>
      <c r="P176" s="66"/>
      <c r="Q176" s="66"/>
      <c r="R176" s="66"/>
      <c r="S176" s="66"/>
      <c r="T176" s="66"/>
      <c r="U176" s="66"/>
      <c r="V176" s="66"/>
    </row>
    <row r="177" spans="1:22">
      <c r="A177" s="66"/>
      <c r="B177" s="66"/>
      <c r="C177" s="66"/>
      <c r="D177" s="66"/>
      <c r="E177" s="66"/>
      <c r="F177" s="66"/>
      <c r="G177" s="66"/>
      <c r="H177" s="66"/>
      <c r="I177" s="66"/>
      <c r="J177" s="66"/>
      <c r="K177" s="66"/>
      <c r="L177" s="66"/>
      <c r="M177" s="66"/>
      <c r="N177" s="66"/>
      <c r="O177" s="66"/>
      <c r="P177" s="66"/>
      <c r="Q177" s="66"/>
      <c r="R177" s="66"/>
      <c r="S177" s="66"/>
      <c r="T177" s="66"/>
      <c r="U177" s="66"/>
      <c r="V177" s="66"/>
    </row>
    <row r="178" spans="1:22">
      <c r="A178" s="66"/>
      <c r="B178" s="66"/>
      <c r="C178" s="66"/>
      <c r="D178" s="66"/>
      <c r="E178" s="66"/>
      <c r="F178" s="66"/>
      <c r="G178" s="66"/>
      <c r="H178" s="66"/>
      <c r="I178" s="66"/>
      <c r="J178" s="66"/>
      <c r="K178" s="66"/>
      <c r="L178" s="66"/>
      <c r="M178" s="66"/>
      <c r="N178" s="66"/>
      <c r="O178" s="66"/>
      <c r="P178" s="66"/>
      <c r="Q178" s="66"/>
      <c r="R178" s="66"/>
      <c r="S178" s="66"/>
      <c r="T178" s="66"/>
      <c r="U178" s="66"/>
      <c r="V178" s="66"/>
    </row>
    <row r="179" spans="1:22">
      <c r="A179" s="66"/>
      <c r="B179" s="66"/>
      <c r="C179" s="66"/>
      <c r="D179" s="66"/>
      <c r="E179" s="66"/>
      <c r="F179" s="66"/>
      <c r="G179" s="66"/>
      <c r="H179" s="66"/>
      <c r="I179" s="66"/>
      <c r="J179" s="66"/>
      <c r="K179" s="66"/>
      <c r="L179" s="66"/>
      <c r="M179" s="66"/>
      <c r="N179" s="66"/>
      <c r="O179" s="66"/>
      <c r="P179" s="66"/>
      <c r="Q179" s="66"/>
      <c r="R179" s="66"/>
      <c r="S179" s="66"/>
      <c r="T179" s="66"/>
      <c r="U179" s="66"/>
      <c r="V179" s="66"/>
    </row>
    <row r="180" spans="1:22">
      <c r="A180" s="66"/>
      <c r="B180" s="66"/>
      <c r="C180" s="66"/>
      <c r="D180" s="66"/>
      <c r="E180" s="66"/>
      <c r="F180" s="66"/>
      <c r="G180" s="66"/>
      <c r="H180" s="66"/>
      <c r="I180" s="66"/>
      <c r="J180" s="66"/>
      <c r="K180" s="66"/>
      <c r="L180" s="66"/>
      <c r="M180" s="66"/>
      <c r="N180" s="66"/>
      <c r="O180" s="66"/>
      <c r="P180" s="66"/>
      <c r="Q180" s="66"/>
      <c r="R180" s="66"/>
      <c r="S180" s="66"/>
      <c r="T180" s="66"/>
      <c r="U180" s="66"/>
      <c r="V180" s="66"/>
    </row>
    <row r="181" spans="1:22">
      <c r="A181" s="66"/>
      <c r="B181" s="66"/>
      <c r="C181" s="66"/>
      <c r="D181" s="66"/>
      <c r="E181" s="66"/>
      <c r="F181" s="66"/>
      <c r="G181" s="66"/>
      <c r="H181" s="66"/>
      <c r="I181" s="66"/>
      <c r="J181" s="66"/>
      <c r="K181" s="66"/>
      <c r="L181" s="66"/>
      <c r="M181" s="66"/>
      <c r="N181" s="66"/>
      <c r="O181" s="66"/>
      <c r="P181" s="66"/>
      <c r="Q181" s="66"/>
      <c r="R181" s="66"/>
      <c r="S181" s="66"/>
      <c r="T181" s="66"/>
      <c r="U181" s="66"/>
      <c r="V181" s="66"/>
    </row>
    <row r="182" spans="1:22">
      <c r="A182" s="66"/>
      <c r="B182" s="66"/>
      <c r="C182" s="66"/>
      <c r="D182" s="66"/>
      <c r="E182" s="66"/>
      <c r="F182" s="66"/>
      <c r="G182" s="66"/>
      <c r="H182" s="66"/>
      <c r="I182" s="66"/>
      <c r="J182" s="66"/>
      <c r="K182" s="66"/>
      <c r="L182" s="66"/>
      <c r="M182" s="66"/>
      <c r="N182" s="66"/>
      <c r="O182" s="66"/>
      <c r="P182" s="66"/>
      <c r="Q182" s="66"/>
      <c r="R182" s="66"/>
      <c r="S182" s="66"/>
      <c r="T182" s="66"/>
      <c r="U182" s="66"/>
      <c r="V182" s="66"/>
    </row>
    <row r="183" spans="1:22">
      <c r="A183" s="66"/>
      <c r="B183" s="66"/>
      <c r="C183" s="66"/>
      <c r="D183" s="66"/>
      <c r="E183" s="66"/>
      <c r="F183" s="66"/>
      <c r="G183" s="66"/>
      <c r="H183" s="66"/>
      <c r="I183" s="66"/>
      <c r="J183" s="66"/>
      <c r="K183" s="66"/>
      <c r="L183" s="66"/>
      <c r="M183" s="66"/>
      <c r="N183" s="66"/>
      <c r="O183" s="66"/>
      <c r="P183" s="66"/>
      <c r="Q183" s="66"/>
      <c r="R183" s="66"/>
      <c r="S183" s="66"/>
      <c r="T183" s="66"/>
      <c r="U183" s="66"/>
      <c r="V183" s="66"/>
    </row>
    <row r="184" spans="1:22">
      <c r="A184" s="66"/>
      <c r="B184" s="66"/>
      <c r="C184" s="66"/>
      <c r="D184" s="66"/>
      <c r="E184" s="66"/>
      <c r="F184" s="66"/>
      <c r="G184" s="66"/>
      <c r="H184" s="66"/>
      <c r="I184" s="66"/>
      <c r="J184" s="66"/>
      <c r="K184" s="66"/>
      <c r="L184" s="66"/>
      <c r="M184" s="66"/>
      <c r="N184" s="66"/>
      <c r="O184" s="66"/>
      <c r="P184" s="66"/>
      <c r="Q184" s="66"/>
      <c r="R184" s="66"/>
      <c r="S184" s="66"/>
      <c r="T184" s="66"/>
      <c r="U184" s="66"/>
      <c r="V184" s="66"/>
    </row>
    <row r="185" spans="1:22">
      <c r="A185" s="66"/>
      <c r="B185" s="66"/>
      <c r="C185" s="66"/>
      <c r="D185" s="66"/>
      <c r="E185" s="66"/>
      <c r="F185" s="66"/>
      <c r="G185" s="66"/>
      <c r="H185" s="66"/>
      <c r="I185" s="66"/>
      <c r="J185" s="66"/>
      <c r="K185" s="66"/>
      <c r="L185" s="66"/>
      <c r="M185" s="66"/>
      <c r="N185" s="66"/>
      <c r="O185" s="66"/>
      <c r="P185" s="66"/>
      <c r="Q185" s="66"/>
      <c r="R185" s="66"/>
      <c r="S185" s="66"/>
      <c r="T185" s="66"/>
      <c r="U185" s="66"/>
      <c r="V185" s="66"/>
    </row>
    <row r="186" spans="1:22">
      <c r="A186" s="66"/>
      <c r="B186" s="66"/>
      <c r="C186" s="66"/>
      <c r="D186" s="66"/>
      <c r="E186" s="66"/>
      <c r="F186" s="66"/>
      <c r="G186" s="66"/>
      <c r="H186" s="66"/>
      <c r="I186" s="66"/>
      <c r="J186" s="66"/>
      <c r="K186" s="66"/>
      <c r="L186" s="66"/>
      <c r="M186" s="66"/>
      <c r="N186" s="66"/>
      <c r="O186" s="66"/>
      <c r="P186" s="66"/>
      <c r="Q186" s="66"/>
      <c r="R186" s="66"/>
      <c r="S186" s="66"/>
      <c r="T186" s="66"/>
      <c r="U186" s="66"/>
      <c r="V186" s="66"/>
    </row>
    <row r="187" spans="1:22">
      <c r="A187" s="66"/>
      <c r="B187" s="66"/>
      <c r="C187" s="66"/>
      <c r="D187" s="66"/>
      <c r="E187" s="66"/>
      <c r="F187" s="66"/>
      <c r="G187" s="66"/>
      <c r="H187" s="66"/>
      <c r="I187" s="66"/>
      <c r="J187" s="66"/>
      <c r="K187" s="66"/>
      <c r="L187" s="66"/>
      <c r="M187" s="66"/>
      <c r="N187" s="66"/>
      <c r="O187" s="66"/>
      <c r="P187" s="66"/>
      <c r="Q187" s="66"/>
      <c r="R187" s="66"/>
      <c r="S187" s="66"/>
      <c r="T187" s="66"/>
      <c r="U187" s="66"/>
      <c r="V187" s="66"/>
    </row>
    <row r="188" spans="1:22">
      <c r="A188" s="66"/>
      <c r="B188" s="66"/>
      <c r="C188" s="66"/>
      <c r="D188" s="66"/>
      <c r="E188" s="66"/>
      <c r="F188" s="66"/>
      <c r="G188" s="66"/>
      <c r="H188" s="66"/>
      <c r="I188" s="66"/>
      <c r="J188" s="66"/>
      <c r="K188" s="66"/>
      <c r="L188" s="66"/>
      <c r="M188" s="66"/>
      <c r="N188" s="66"/>
      <c r="O188" s="66"/>
      <c r="P188" s="66"/>
      <c r="Q188" s="66"/>
      <c r="R188" s="66"/>
      <c r="S188" s="66"/>
      <c r="T188" s="66"/>
      <c r="U188" s="66"/>
      <c r="V188" s="66"/>
    </row>
    <row r="189" spans="1:22">
      <c r="A189" s="66"/>
      <c r="B189" s="66"/>
      <c r="C189" s="66"/>
      <c r="D189" s="66"/>
      <c r="E189" s="66"/>
      <c r="F189" s="66"/>
      <c r="G189" s="66"/>
      <c r="H189" s="66"/>
      <c r="I189" s="66"/>
      <c r="J189" s="66"/>
      <c r="K189" s="66"/>
      <c r="L189" s="66"/>
      <c r="M189" s="66"/>
      <c r="N189" s="66"/>
      <c r="O189" s="66"/>
      <c r="P189" s="66"/>
      <c r="Q189" s="66"/>
      <c r="R189" s="66"/>
      <c r="S189" s="66"/>
      <c r="T189" s="66"/>
      <c r="U189" s="66"/>
      <c r="V189" s="66"/>
    </row>
    <row r="190" spans="1:22">
      <c r="A190" s="66"/>
      <c r="B190" s="66"/>
      <c r="C190" s="66"/>
      <c r="D190" s="66"/>
      <c r="E190" s="66"/>
      <c r="F190" s="66"/>
      <c r="G190" s="66"/>
      <c r="H190" s="66"/>
      <c r="I190" s="66"/>
      <c r="J190" s="66"/>
      <c r="K190" s="66"/>
      <c r="L190" s="66"/>
      <c r="M190" s="66"/>
      <c r="N190" s="66"/>
      <c r="O190" s="66"/>
      <c r="P190" s="66"/>
      <c r="Q190" s="66"/>
      <c r="R190" s="66"/>
      <c r="S190" s="66"/>
      <c r="T190" s="66"/>
      <c r="U190" s="66"/>
      <c r="V190" s="66"/>
    </row>
    <row r="191" spans="1:22">
      <c r="A191" s="66"/>
      <c r="B191" s="66"/>
      <c r="C191" s="66"/>
      <c r="D191" s="66"/>
      <c r="E191" s="66"/>
      <c r="F191" s="66"/>
      <c r="G191" s="66"/>
      <c r="H191" s="66"/>
      <c r="I191" s="66"/>
      <c r="J191" s="66"/>
      <c r="K191" s="66"/>
      <c r="L191" s="66"/>
      <c r="M191" s="66"/>
      <c r="N191" s="66"/>
      <c r="O191" s="66"/>
      <c r="P191" s="66"/>
      <c r="Q191" s="66"/>
      <c r="R191" s="66"/>
      <c r="S191" s="66"/>
      <c r="T191" s="66"/>
      <c r="U191" s="66"/>
      <c r="V191" s="66"/>
    </row>
    <row r="192" spans="1:22">
      <c r="A192" s="66"/>
      <c r="B192" s="66"/>
      <c r="C192" s="66"/>
      <c r="D192" s="66"/>
      <c r="E192" s="66"/>
      <c r="F192" s="66"/>
      <c r="G192" s="66"/>
      <c r="H192" s="66"/>
      <c r="I192" s="66"/>
      <c r="J192" s="66"/>
      <c r="K192" s="66"/>
      <c r="L192" s="66"/>
      <c r="M192" s="66"/>
      <c r="N192" s="66"/>
      <c r="O192" s="66"/>
      <c r="P192" s="66"/>
      <c r="Q192" s="66"/>
      <c r="R192" s="66"/>
      <c r="S192" s="66"/>
      <c r="T192" s="66"/>
      <c r="U192" s="66"/>
      <c r="V192" s="66"/>
    </row>
    <row r="193" spans="1:22">
      <c r="A193" s="66"/>
      <c r="B193" s="66"/>
      <c r="C193" s="66"/>
      <c r="D193" s="66"/>
      <c r="E193" s="66"/>
      <c r="F193" s="66"/>
      <c r="G193" s="66"/>
      <c r="H193" s="66"/>
      <c r="I193" s="66"/>
      <c r="J193" s="66"/>
      <c r="K193" s="66"/>
      <c r="L193" s="66"/>
      <c r="M193" s="66"/>
      <c r="N193" s="66"/>
      <c r="O193" s="66"/>
      <c r="P193" s="66"/>
      <c r="Q193" s="66"/>
      <c r="R193" s="66"/>
      <c r="S193" s="66"/>
      <c r="T193" s="66"/>
      <c r="U193" s="66"/>
      <c r="V193" s="66"/>
    </row>
    <row r="194" spans="1:22">
      <c r="A194" s="66"/>
      <c r="B194" s="66"/>
      <c r="C194" s="66"/>
      <c r="D194" s="66"/>
      <c r="E194" s="66"/>
      <c r="F194" s="66"/>
      <c r="G194" s="66"/>
      <c r="H194" s="66"/>
      <c r="I194" s="66"/>
      <c r="J194" s="66"/>
      <c r="K194" s="66"/>
      <c r="L194" s="66"/>
      <c r="M194" s="66"/>
      <c r="N194" s="66"/>
      <c r="O194" s="66"/>
      <c r="P194" s="66"/>
      <c r="Q194" s="66"/>
      <c r="R194" s="66"/>
      <c r="S194" s="66"/>
      <c r="T194" s="66"/>
      <c r="U194" s="66"/>
      <c r="V194" s="66"/>
    </row>
    <row r="195" spans="1:22">
      <c r="A195" s="66"/>
      <c r="B195" s="66"/>
      <c r="C195" s="66"/>
      <c r="D195" s="66"/>
      <c r="E195" s="66"/>
      <c r="F195" s="66"/>
      <c r="G195" s="66"/>
      <c r="H195" s="66"/>
      <c r="I195" s="66"/>
      <c r="J195" s="66"/>
      <c r="K195" s="66"/>
      <c r="L195" s="66"/>
      <c r="M195" s="66"/>
      <c r="N195" s="66"/>
      <c r="O195" s="66"/>
      <c r="P195" s="66"/>
      <c r="Q195" s="66"/>
      <c r="R195" s="66"/>
      <c r="S195" s="66"/>
      <c r="T195" s="66"/>
      <c r="U195" s="66"/>
      <c r="V195" s="66"/>
    </row>
    <row r="196" spans="1:22">
      <c r="A196" s="66"/>
      <c r="B196" s="66"/>
      <c r="C196" s="66"/>
      <c r="D196" s="66"/>
      <c r="E196" s="66"/>
      <c r="F196" s="66"/>
      <c r="G196" s="66"/>
      <c r="H196" s="66"/>
      <c r="I196" s="66"/>
      <c r="J196" s="66"/>
      <c r="K196" s="66"/>
      <c r="L196" s="66"/>
      <c r="M196" s="66"/>
      <c r="N196" s="66"/>
      <c r="O196" s="66"/>
      <c r="P196" s="66"/>
      <c r="Q196" s="66"/>
      <c r="R196" s="66"/>
      <c r="S196" s="66"/>
      <c r="T196" s="66"/>
      <c r="U196" s="66"/>
      <c r="V196" s="66"/>
    </row>
    <row r="197" spans="1:22">
      <c r="A197" s="66"/>
      <c r="B197" s="66"/>
      <c r="C197" s="66"/>
      <c r="D197" s="66"/>
      <c r="E197" s="66"/>
      <c r="F197" s="66"/>
      <c r="G197" s="66"/>
      <c r="H197" s="66"/>
      <c r="I197" s="66"/>
      <c r="J197" s="66"/>
      <c r="K197" s="66"/>
      <c r="L197" s="66"/>
      <c r="M197" s="66"/>
      <c r="N197" s="66"/>
      <c r="O197" s="66"/>
      <c r="P197" s="66"/>
      <c r="Q197" s="66"/>
      <c r="R197" s="66"/>
      <c r="S197" s="66"/>
      <c r="T197" s="66"/>
      <c r="U197" s="66"/>
      <c r="V197" s="66"/>
    </row>
    <row r="198" spans="1:22">
      <c r="A198" s="66"/>
      <c r="B198" s="66"/>
      <c r="C198" s="66"/>
      <c r="D198" s="66"/>
      <c r="E198" s="66"/>
      <c r="F198" s="66"/>
      <c r="G198" s="66"/>
      <c r="H198" s="66"/>
      <c r="I198" s="66"/>
      <c r="J198" s="66"/>
      <c r="K198" s="66"/>
      <c r="L198" s="66"/>
      <c r="M198" s="66"/>
      <c r="N198" s="66"/>
      <c r="O198" s="66"/>
      <c r="P198" s="66"/>
      <c r="Q198" s="66"/>
      <c r="R198" s="66"/>
      <c r="S198" s="66"/>
      <c r="T198" s="66"/>
      <c r="U198" s="66"/>
      <c r="V198" s="66"/>
    </row>
    <row r="199" spans="1:22">
      <c r="A199" s="66"/>
      <c r="B199" s="66"/>
      <c r="C199" s="66"/>
      <c r="D199" s="66"/>
      <c r="E199" s="66"/>
      <c r="F199" s="66"/>
      <c r="G199" s="66"/>
      <c r="H199" s="66"/>
      <c r="I199" s="66"/>
      <c r="J199" s="66"/>
      <c r="K199" s="66"/>
      <c r="L199" s="66"/>
      <c r="M199" s="66"/>
      <c r="N199" s="66"/>
      <c r="O199" s="66"/>
      <c r="P199" s="66"/>
      <c r="Q199" s="66"/>
      <c r="R199" s="66"/>
      <c r="S199" s="66"/>
      <c r="T199" s="66"/>
      <c r="U199" s="66"/>
      <c r="V199" s="66"/>
    </row>
    <row r="200" spans="1:22">
      <c r="A200" s="66"/>
      <c r="B200" s="66"/>
      <c r="C200" s="66"/>
      <c r="D200" s="66"/>
      <c r="E200" s="66"/>
      <c r="F200" s="66"/>
      <c r="G200" s="66"/>
      <c r="H200" s="66"/>
      <c r="I200" s="66"/>
      <c r="J200" s="66"/>
      <c r="K200" s="66"/>
      <c r="L200" s="66"/>
      <c r="M200" s="66"/>
      <c r="N200" s="66"/>
      <c r="O200" s="66"/>
      <c r="P200" s="66"/>
      <c r="Q200" s="66"/>
      <c r="R200" s="66"/>
      <c r="S200" s="66"/>
      <c r="T200" s="66"/>
      <c r="U200" s="66"/>
      <c r="V200" s="66"/>
    </row>
    <row r="201" spans="1:22">
      <c r="A201" s="66"/>
      <c r="B201" s="66"/>
      <c r="C201" s="66"/>
      <c r="D201" s="66"/>
      <c r="E201" s="66"/>
      <c r="F201" s="66"/>
      <c r="G201" s="66"/>
      <c r="H201" s="66"/>
      <c r="I201" s="66"/>
      <c r="J201" s="66"/>
      <c r="K201" s="66"/>
      <c r="L201" s="66"/>
      <c r="M201" s="66"/>
      <c r="N201" s="66"/>
      <c r="O201" s="66"/>
      <c r="P201" s="66"/>
      <c r="Q201" s="66"/>
      <c r="R201" s="66"/>
      <c r="S201" s="66"/>
      <c r="T201" s="66"/>
      <c r="U201" s="66"/>
      <c r="V201" s="66"/>
    </row>
    <row r="202" spans="1:22">
      <c r="A202" s="66"/>
      <c r="B202" s="66"/>
      <c r="C202" s="66"/>
      <c r="D202" s="66"/>
      <c r="E202" s="66"/>
      <c r="F202" s="66"/>
      <c r="G202" s="66"/>
      <c r="H202" s="66"/>
      <c r="I202" s="66"/>
      <c r="J202" s="66"/>
      <c r="K202" s="66"/>
      <c r="L202" s="66"/>
      <c r="M202" s="66"/>
      <c r="N202" s="66"/>
      <c r="O202" s="66"/>
      <c r="P202" s="66"/>
      <c r="Q202" s="66"/>
      <c r="R202" s="66"/>
      <c r="S202" s="66"/>
      <c r="T202" s="66"/>
      <c r="U202" s="66"/>
      <c r="V202" s="66"/>
    </row>
    <row r="203" spans="1:22">
      <c r="A203" s="66"/>
      <c r="B203" s="66"/>
      <c r="C203" s="66"/>
      <c r="D203" s="66"/>
      <c r="E203" s="66"/>
      <c r="F203" s="66"/>
      <c r="G203" s="66"/>
      <c r="H203" s="66"/>
      <c r="I203" s="66"/>
      <c r="J203" s="66"/>
      <c r="K203" s="66"/>
      <c r="L203" s="66"/>
      <c r="M203" s="66"/>
      <c r="N203" s="66"/>
      <c r="O203" s="66"/>
      <c r="P203" s="66"/>
      <c r="Q203" s="66"/>
      <c r="R203" s="66"/>
      <c r="S203" s="66"/>
      <c r="T203" s="66"/>
      <c r="U203" s="66"/>
      <c r="V203" s="66"/>
    </row>
    <row r="204" spans="1:22">
      <c r="A204" s="66"/>
      <c r="B204" s="66"/>
      <c r="C204" s="66"/>
      <c r="D204" s="66"/>
      <c r="E204" s="66"/>
      <c r="F204" s="66"/>
      <c r="G204" s="66"/>
      <c r="H204" s="66"/>
      <c r="I204" s="66"/>
      <c r="J204" s="66"/>
      <c r="K204" s="66"/>
      <c r="L204" s="66"/>
      <c r="M204" s="66"/>
      <c r="N204" s="66"/>
      <c r="O204" s="66"/>
      <c r="P204" s="66"/>
      <c r="Q204" s="66"/>
      <c r="R204" s="66"/>
      <c r="S204" s="66"/>
      <c r="T204" s="66"/>
      <c r="U204" s="66"/>
      <c r="V204" s="66"/>
    </row>
  </sheetData>
  <mergeCells count="1">
    <mergeCell ref="A1:V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A2C5-1B46-4A22-8929-052032F55C77}">
  <dimension ref="A1:X206"/>
  <sheetViews>
    <sheetView zoomScale="70" zoomScaleNormal="70" workbookViewId="0">
      <pane xSplit="1" ySplit="3" topLeftCell="B4" activePane="bottomRight" state="frozen"/>
      <selection pane="topRight" activeCell="B1" sqref="B1"/>
      <selection pane="bottomLeft" activeCell="A4" sqref="A4"/>
      <selection pane="bottomRight" activeCell="I26" sqref="I26"/>
    </sheetView>
  </sheetViews>
  <sheetFormatPr defaultRowHeight="13.8"/>
  <cols>
    <col min="1" max="1" width="24" customWidth="1"/>
    <col min="2" max="21" width="11" customWidth="1"/>
  </cols>
  <sheetData>
    <row r="1" spans="1:24" ht="17.55" customHeight="1">
      <c r="A1" s="135" t="s">
        <v>159</v>
      </c>
      <c r="B1" s="135"/>
      <c r="C1" s="135"/>
      <c r="D1" s="135"/>
      <c r="E1" s="135"/>
      <c r="F1" s="135"/>
      <c r="G1" s="135"/>
      <c r="H1" s="135"/>
      <c r="I1" s="135"/>
      <c r="J1" s="135"/>
      <c r="K1" s="135"/>
      <c r="L1" s="135"/>
      <c r="M1" s="135"/>
      <c r="N1" s="135"/>
      <c r="O1" s="135"/>
      <c r="P1" s="135"/>
      <c r="Q1" s="135"/>
      <c r="R1" s="135"/>
      <c r="S1" s="135"/>
      <c r="T1" s="135"/>
      <c r="U1" s="135"/>
      <c r="X1" s="24" t="s">
        <v>166</v>
      </c>
    </row>
    <row r="2" spans="1:24">
      <c r="X2" t="s">
        <v>174</v>
      </c>
    </row>
    <row r="3" spans="1:24">
      <c r="A3" s="55" t="s">
        <v>160</v>
      </c>
      <c r="B3" s="12">
        <v>2006</v>
      </c>
      <c r="C3" s="12">
        <v>2007</v>
      </c>
      <c r="D3" s="12">
        <v>2008</v>
      </c>
      <c r="E3" s="12">
        <v>2009</v>
      </c>
      <c r="F3" s="12">
        <v>2010</v>
      </c>
      <c r="G3" s="12">
        <v>2011</v>
      </c>
      <c r="H3" s="12">
        <v>2012</v>
      </c>
      <c r="I3" s="12">
        <v>2013</v>
      </c>
      <c r="J3" s="13">
        <v>2014</v>
      </c>
      <c r="K3" s="13">
        <v>2015</v>
      </c>
      <c r="L3" s="13">
        <v>2016</v>
      </c>
      <c r="M3" s="13">
        <v>2017</v>
      </c>
      <c r="N3" s="13">
        <v>2018</v>
      </c>
      <c r="O3" s="13">
        <v>2019</v>
      </c>
      <c r="P3" s="13">
        <v>2020</v>
      </c>
      <c r="Q3" s="13">
        <v>2021</v>
      </c>
      <c r="R3" s="13">
        <v>2022</v>
      </c>
      <c r="S3" s="13">
        <v>2023</v>
      </c>
      <c r="T3" s="13">
        <v>2024</v>
      </c>
      <c r="U3" s="13">
        <v>2025</v>
      </c>
    </row>
    <row r="4" spans="1:24" ht="17.850000000000001" customHeight="1">
      <c r="A4" s="58" t="s">
        <v>161</v>
      </c>
      <c r="B4" s="59">
        <v>11486</v>
      </c>
      <c r="C4" s="59">
        <v>14128</v>
      </c>
      <c r="D4" s="59">
        <v>18469</v>
      </c>
      <c r="E4" s="59">
        <v>22325</v>
      </c>
      <c r="F4" s="59">
        <v>28633</v>
      </c>
      <c r="G4" s="59">
        <v>41812</v>
      </c>
      <c r="H4" s="59">
        <v>60949</v>
      </c>
      <c r="I4" s="59">
        <v>66197</v>
      </c>
      <c r="J4" s="59">
        <v>68909</v>
      </c>
      <c r="K4" s="59">
        <v>81732</v>
      </c>
      <c r="L4" s="59">
        <v>75667</v>
      </c>
      <c r="M4" s="59">
        <v>84339</v>
      </c>
      <c r="N4" s="59">
        <v>98061</v>
      </c>
      <c r="O4" s="59">
        <v>102266</v>
      </c>
      <c r="P4" s="59">
        <v>109197</v>
      </c>
      <c r="Q4" s="59">
        <v>133803</v>
      </c>
      <c r="R4" s="59">
        <v>147859</v>
      </c>
      <c r="S4" s="59">
        <v>138573</v>
      </c>
      <c r="T4" s="59">
        <v>142196</v>
      </c>
      <c r="U4" s="59">
        <v>151790</v>
      </c>
    </row>
    <row r="5" spans="1:24" ht="17.850000000000001" customHeight="1">
      <c r="A5" s="44" t="s">
        <v>144</v>
      </c>
      <c r="B5" s="59"/>
      <c r="C5" s="51">
        <f>IFERROR(C4/B4-1,"")</f>
        <v>0.23001915375239412</v>
      </c>
      <c r="D5" s="51">
        <f t="shared" ref="D5:U5" si="0">IFERROR(D4/C4-1,"")</f>
        <v>0.30726217440543602</v>
      </c>
      <c r="E5" s="51">
        <f t="shared" si="0"/>
        <v>0.2087822838269533</v>
      </c>
      <c r="F5" s="51">
        <f t="shared" si="0"/>
        <v>0.28255319148936175</v>
      </c>
      <c r="G5" s="51">
        <f t="shared" si="0"/>
        <v>0.4602731114448364</v>
      </c>
      <c r="H5" s="51">
        <f t="shared" si="0"/>
        <v>0.45769157179757003</v>
      </c>
      <c r="I5" s="51">
        <f t="shared" si="0"/>
        <v>8.6104776124300564E-2</v>
      </c>
      <c r="J5" s="51">
        <f t="shared" si="0"/>
        <v>4.096862395576828E-2</v>
      </c>
      <c r="K5" s="51">
        <f t="shared" si="0"/>
        <v>0.18608599747493071</v>
      </c>
      <c r="L5" s="51">
        <f t="shared" si="0"/>
        <v>-7.4205941369353545E-2</v>
      </c>
      <c r="M5" s="51">
        <f t="shared" si="0"/>
        <v>0.11460742463689577</v>
      </c>
      <c r="N5" s="51">
        <f t="shared" si="0"/>
        <v>0.16270053000391282</v>
      </c>
      <c r="O5" s="51">
        <f t="shared" si="0"/>
        <v>4.2881471736980092E-2</v>
      </c>
      <c r="P5" s="51">
        <f t="shared" si="0"/>
        <v>6.7774235816400408E-2</v>
      </c>
      <c r="Q5" s="51">
        <f t="shared" si="0"/>
        <v>0.22533586087529867</v>
      </c>
      <c r="R5" s="51">
        <f t="shared" si="0"/>
        <v>0.10504996151057888</v>
      </c>
      <c r="S5" s="51">
        <f t="shared" si="0"/>
        <v>-6.2803075903394401E-2</v>
      </c>
      <c r="T5" s="51">
        <f t="shared" si="0"/>
        <v>2.6145064334321955E-2</v>
      </c>
      <c r="U5" s="51">
        <f t="shared" si="0"/>
        <v>6.7470252327773039E-2</v>
      </c>
    </row>
    <row r="6" spans="1:24" ht="17.850000000000001" customHeight="1">
      <c r="A6" s="58" t="s">
        <v>162</v>
      </c>
      <c r="B6" s="59"/>
      <c r="C6" s="59"/>
      <c r="D6" s="59"/>
      <c r="E6" s="59">
        <v>769</v>
      </c>
      <c r="F6" s="59">
        <v>2764</v>
      </c>
      <c r="G6" s="59">
        <v>12472</v>
      </c>
      <c r="H6" s="59">
        <v>22797</v>
      </c>
      <c r="I6" s="59">
        <v>25946</v>
      </c>
      <c r="J6" s="59">
        <v>30638</v>
      </c>
      <c r="K6" s="59">
        <v>56547</v>
      </c>
      <c r="L6" s="59">
        <v>46349</v>
      </c>
      <c r="M6" s="59">
        <v>44764</v>
      </c>
      <c r="N6" s="59">
        <v>51942</v>
      </c>
      <c r="O6" s="59">
        <v>43678</v>
      </c>
      <c r="P6" s="59">
        <v>40308</v>
      </c>
      <c r="Q6" s="59">
        <v>68366</v>
      </c>
      <c r="R6" s="59">
        <v>74200</v>
      </c>
      <c r="S6" s="59">
        <v>72559</v>
      </c>
      <c r="T6" s="59">
        <v>66952</v>
      </c>
      <c r="U6" s="59">
        <v>64377</v>
      </c>
    </row>
    <row r="7" spans="1:24" ht="17.850000000000001" customHeight="1">
      <c r="A7" s="44" t="s">
        <v>144</v>
      </c>
      <c r="B7" s="59"/>
      <c r="C7" s="59"/>
      <c r="D7" s="59"/>
      <c r="E7" s="59"/>
      <c r="F7" s="51">
        <f>IFERROR(F6/E6-1,"")</f>
        <v>2.5942782834850453</v>
      </c>
      <c r="G7" s="51">
        <f t="shared" ref="G7:U7" si="1">IFERROR(G6/F6-1,"")</f>
        <v>3.5123010130246017</v>
      </c>
      <c r="H7" s="51">
        <f t="shared" si="1"/>
        <v>0.82785439384220649</v>
      </c>
      <c r="I7" s="51">
        <f t="shared" si="1"/>
        <v>0.1381322103785585</v>
      </c>
      <c r="J7" s="51">
        <f t="shared" si="1"/>
        <v>0.18083712325599333</v>
      </c>
      <c r="K7" s="51">
        <f t="shared" si="1"/>
        <v>0.84564919381160641</v>
      </c>
      <c r="L7" s="51">
        <f t="shared" si="1"/>
        <v>-0.18034555325658297</v>
      </c>
      <c r="M7" s="51">
        <f t="shared" si="1"/>
        <v>-3.4197070055448919E-2</v>
      </c>
      <c r="N7" s="51">
        <f t="shared" si="1"/>
        <v>0.16035206862657492</v>
      </c>
      <c r="O7" s="51">
        <f t="shared" si="1"/>
        <v>-0.15910053521235223</v>
      </c>
      <c r="P7" s="51">
        <f t="shared" si="1"/>
        <v>-7.7155547415174719E-2</v>
      </c>
      <c r="Q7" s="51">
        <f t="shared" si="1"/>
        <v>0.69609010618239564</v>
      </c>
      <c r="R7" s="119">
        <f t="shared" si="1"/>
        <v>8.533481555159006E-2</v>
      </c>
      <c r="S7" s="106">
        <f t="shared" si="1"/>
        <v>-2.2115902964959577E-2</v>
      </c>
      <c r="T7" s="106">
        <f t="shared" si="1"/>
        <v>-7.7275045135682729E-2</v>
      </c>
      <c r="U7" s="106">
        <f t="shared" si="1"/>
        <v>-3.8460389532799621E-2</v>
      </c>
    </row>
    <row r="8" spans="1:24" ht="17.850000000000001" customHeight="1">
      <c r="A8" s="58" t="s">
        <v>163</v>
      </c>
      <c r="B8" s="59">
        <v>7829</v>
      </c>
      <c r="C8" s="59">
        <v>9878</v>
      </c>
      <c r="D8" s="59">
        <v>14010</v>
      </c>
      <c r="E8" s="59">
        <v>19811</v>
      </c>
      <c r="F8" s="59">
        <v>33828</v>
      </c>
      <c r="G8" s="59">
        <v>53965</v>
      </c>
      <c r="H8" s="59">
        <v>72762</v>
      </c>
      <c r="I8" s="59">
        <v>78767</v>
      </c>
      <c r="J8" s="59">
        <v>83248</v>
      </c>
      <c r="K8" s="59">
        <v>95436</v>
      </c>
      <c r="L8" s="59">
        <v>93623</v>
      </c>
      <c r="M8" s="59">
        <v>100131</v>
      </c>
      <c r="N8" s="59">
        <v>115592</v>
      </c>
      <c r="O8" s="59">
        <v>114230</v>
      </c>
      <c r="P8" s="59">
        <v>125010</v>
      </c>
      <c r="Q8" s="59">
        <v>163648</v>
      </c>
      <c r="R8" s="59">
        <v>172269</v>
      </c>
      <c r="S8" s="59">
        <v>172153</v>
      </c>
      <c r="T8" s="59">
        <v>181887</v>
      </c>
      <c r="U8" s="59">
        <v>199994</v>
      </c>
    </row>
    <row r="9" spans="1:24" ht="17.850000000000001" customHeight="1">
      <c r="A9" s="44" t="s">
        <v>144</v>
      </c>
      <c r="B9" s="59"/>
      <c r="C9" s="51">
        <f>IFERROR(C8/B8-1,"")</f>
        <v>0.26171924894622567</v>
      </c>
      <c r="D9" s="51">
        <f t="shared" ref="D9:U9" si="2">IFERROR(D8/C8-1,"")</f>
        <v>0.41830330026321128</v>
      </c>
      <c r="E9" s="51">
        <f t="shared" si="2"/>
        <v>0.41406138472519638</v>
      </c>
      <c r="F9" s="51">
        <f t="shared" si="2"/>
        <v>0.70753621725304128</v>
      </c>
      <c r="G9" s="51">
        <f t="shared" si="2"/>
        <v>0.59527610263686892</v>
      </c>
      <c r="H9" s="51">
        <f t="shared" si="2"/>
        <v>0.34831835448902071</v>
      </c>
      <c r="I9" s="51">
        <f t="shared" si="2"/>
        <v>8.2529342239080927E-2</v>
      </c>
      <c r="J9" s="51">
        <f t="shared" si="2"/>
        <v>5.6889306435436104E-2</v>
      </c>
      <c r="K9" s="51">
        <f t="shared" si="2"/>
        <v>0.14640591966173355</v>
      </c>
      <c r="L9" s="51">
        <f t="shared" si="2"/>
        <v>-1.8997024183746158E-2</v>
      </c>
      <c r="M9" s="51">
        <f t="shared" si="2"/>
        <v>6.9512833384958839E-2</v>
      </c>
      <c r="N9" s="51">
        <f t="shared" si="2"/>
        <v>0.15440772587909835</v>
      </c>
      <c r="O9" s="51">
        <f t="shared" si="2"/>
        <v>-1.1782822340646426E-2</v>
      </c>
      <c r="P9" s="51">
        <f t="shared" si="2"/>
        <v>9.4371005865359292E-2</v>
      </c>
      <c r="Q9" s="51">
        <f t="shared" si="2"/>
        <v>0.30907927365810739</v>
      </c>
      <c r="R9" s="51">
        <f t="shared" si="2"/>
        <v>5.2680142745404668E-2</v>
      </c>
      <c r="S9" s="51">
        <f t="shared" si="2"/>
        <v>-6.7336549234042753E-4</v>
      </c>
      <c r="T9" s="51">
        <f t="shared" si="2"/>
        <v>5.6542726528146403E-2</v>
      </c>
      <c r="U9" s="51">
        <f t="shared" si="2"/>
        <v>9.9550820014624453E-2</v>
      </c>
    </row>
    <row r="10" spans="1:24" ht="17.850000000000001" customHeight="1" thickBot="1">
      <c r="A10" s="60" t="s">
        <v>164</v>
      </c>
      <c r="B10" s="61">
        <f>B4+B6+B8</f>
        <v>19315</v>
      </c>
      <c r="C10" s="84">
        <f t="shared" ref="C10:U10" si="3">C4+C6+C8</f>
        <v>24006</v>
      </c>
      <c r="D10" s="84">
        <f t="shared" si="3"/>
        <v>32479</v>
      </c>
      <c r="E10" s="61">
        <f t="shared" si="3"/>
        <v>42905</v>
      </c>
      <c r="F10" s="61">
        <f t="shared" si="3"/>
        <v>65225</v>
      </c>
      <c r="G10" s="61">
        <f t="shared" si="3"/>
        <v>108249</v>
      </c>
      <c r="H10" s="61">
        <f t="shared" si="3"/>
        <v>156508</v>
      </c>
      <c r="I10" s="61">
        <f t="shared" si="3"/>
        <v>170910</v>
      </c>
      <c r="J10" s="61">
        <f t="shared" si="3"/>
        <v>182795</v>
      </c>
      <c r="K10" s="61">
        <f t="shared" si="3"/>
        <v>233715</v>
      </c>
      <c r="L10" s="61">
        <f t="shared" si="3"/>
        <v>215639</v>
      </c>
      <c r="M10" s="61">
        <f t="shared" si="3"/>
        <v>229234</v>
      </c>
      <c r="N10" s="61">
        <f t="shared" si="3"/>
        <v>265595</v>
      </c>
      <c r="O10" s="61">
        <f t="shared" si="3"/>
        <v>260174</v>
      </c>
      <c r="P10" s="61">
        <f t="shared" si="3"/>
        <v>274515</v>
      </c>
      <c r="Q10" s="61">
        <f t="shared" si="3"/>
        <v>365817</v>
      </c>
      <c r="R10" s="61">
        <f t="shared" si="3"/>
        <v>394328</v>
      </c>
      <c r="S10" s="61">
        <f t="shared" si="3"/>
        <v>383285</v>
      </c>
      <c r="T10" s="61">
        <f t="shared" si="3"/>
        <v>391035</v>
      </c>
      <c r="U10" s="61">
        <f t="shared" si="3"/>
        <v>416161</v>
      </c>
    </row>
    <row r="11" spans="1:24" ht="17.850000000000001" customHeight="1" thickTop="1">
      <c r="A11" s="44" t="s">
        <v>144</v>
      </c>
      <c r="C11" s="51">
        <f>IFERROR(C10/B10-1,"")</f>
        <v>0.24286823712140815</v>
      </c>
      <c r="D11" s="51">
        <f t="shared" ref="D11:U11" si="4">IFERROR(D10/C10-1,"")</f>
        <v>0.3529534283095892</v>
      </c>
      <c r="E11" s="51">
        <f t="shared" si="4"/>
        <v>0.32100742017919282</v>
      </c>
      <c r="F11" s="51">
        <f t="shared" si="4"/>
        <v>0.52021908868430256</v>
      </c>
      <c r="G11" s="51">
        <f t="shared" si="4"/>
        <v>0.65962437715599842</v>
      </c>
      <c r="H11" s="51">
        <f t="shared" si="4"/>
        <v>0.44581474193756976</v>
      </c>
      <c r="I11" s="51">
        <f t="shared" si="4"/>
        <v>9.2020855163953197E-2</v>
      </c>
      <c r="J11" s="51">
        <f t="shared" si="4"/>
        <v>6.9539523725937524E-2</v>
      </c>
      <c r="K11" s="51">
        <f t="shared" si="4"/>
        <v>0.27856341803659834</v>
      </c>
      <c r="L11" s="51">
        <f t="shared" si="4"/>
        <v>-7.7342061913013738E-2</v>
      </c>
      <c r="M11" s="51">
        <f t="shared" si="4"/>
        <v>6.304518199398057E-2</v>
      </c>
      <c r="N11" s="51">
        <f t="shared" si="4"/>
        <v>0.15861957650261305</v>
      </c>
      <c r="O11" s="51">
        <f t="shared" si="4"/>
        <v>-2.04107758052674E-2</v>
      </c>
      <c r="P11" s="51">
        <f t="shared" si="4"/>
        <v>5.5120803769784787E-2</v>
      </c>
      <c r="Q11" s="51">
        <f t="shared" si="4"/>
        <v>0.33259384733074704</v>
      </c>
      <c r="R11" s="51">
        <f t="shared" si="4"/>
        <v>7.7937876041846099E-2</v>
      </c>
      <c r="S11" s="51">
        <f t="shared" si="4"/>
        <v>-2.800460530319937E-2</v>
      </c>
      <c r="T11" s="51">
        <f t="shared" si="4"/>
        <v>2.021994077514111E-2</v>
      </c>
      <c r="U11" s="51">
        <f t="shared" si="4"/>
        <v>6.425511782832749E-2</v>
      </c>
    </row>
    <row r="12" spans="1:24" ht="17.850000000000001" customHeight="1">
      <c r="B12" s="64"/>
      <c r="C12" s="64"/>
      <c r="D12" s="64"/>
      <c r="E12" s="64"/>
      <c r="F12" s="64"/>
      <c r="G12" s="64"/>
      <c r="H12" s="64"/>
      <c r="I12" s="64"/>
      <c r="J12" s="64"/>
      <c r="K12" s="64"/>
      <c r="L12" s="64"/>
      <c r="M12" s="64"/>
      <c r="N12" s="64"/>
      <c r="O12" s="64"/>
      <c r="P12" s="64"/>
      <c r="Q12" s="64"/>
      <c r="R12" s="64"/>
      <c r="S12" s="64"/>
      <c r="T12" s="64"/>
      <c r="U12" s="64"/>
    </row>
    <row r="13" spans="1:24" ht="17.850000000000001" customHeight="1"/>
    <row r="14" spans="1:24" ht="17.850000000000001" customHeight="1"/>
    <row r="15" spans="1:24" ht="17.850000000000001" customHeight="1"/>
    <row r="16" spans="1:24" ht="17.850000000000001" customHeight="1">
      <c r="A16" t="s">
        <v>169</v>
      </c>
      <c r="K16" s="59">
        <v>93800</v>
      </c>
      <c r="L16" s="59">
        <v>86600</v>
      </c>
      <c r="M16" s="59">
        <v>96600</v>
      </c>
      <c r="N16" s="59">
        <v>112000</v>
      </c>
      <c r="O16" s="59">
        <v>116900</v>
      </c>
      <c r="P16" s="59">
        <v>124500</v>
      </c>
      <c r="Q16" s="59">
        <v>153300</v>
      </c>
      <c r="R16" s="59">
        <v>169600</v>
      </c>
      <c r="S16" s="59">
        <v>162500</v>
      </c>
      <c r="T16" s="59">
        <v>167000</v>
      </c>
      <c r="U16" s="59">
        <v>178300</v>
      </c>
      <c r="X16" s="24" t="s">
        <v>166</v>
      </c>
    </row>
    <row r="17" spans="1:24" ht="17.850000000000001" customHeight="1">
      <c r="A17" s="44" t="s">
        <v>144</v>
      </c>
      <c r="K17" s="80"/>
      <c r="L17" s="51">
        <f>IFERROR(L16/K16-1,"")</f>
        <v>-7.6759061833688746E-2</v>
      </c>
      <c r="M17" s="51">
        <f t="shared" ref="M17:U17" si="5">IFERROR(M16/L16-1,"")</f>
        <v>0.11547344110854496</v>
      </c>
      <c r="N17" s="51">
        <f t="shared" si="5"/>
        <v>0.15942028985507251</v>
      </c>
      <c r="O17" s="51">
        <f t="shared" si="5"/>
        <v>4.3749999999999956E-2</v>
      </c>
      <c r="P17" s="51">
        <f t="shared" si="5"/>
        <v>6.5012831479897448E-2</v>
      </c>
      <c r="Q17" s="51">
        <f t="shared" si="5"/>
        <v>0.23132530120481931</v>
      </c>
      <c r="R17" s="51">
        <f t="shared" si="5"/>
        <v>0.10632746249184599</v>
      </c>
      <c r="S17" s="51">
        <f t="shared" si="5"/>
        <v>-4.1863207547169767E-2</v>
      </c>
      <c r="T17" s="51">
        <f t="shared" si="5"/>
        <v>2.7692307692307683E-2</v>
      </c>
      <c r="U17" s="51">
        <f t="shared" si="5"/>
        <v>6.7664670658682535E-2</v>
      </c>
      <c r="X17" s="77" t="s">
        <v>168</v>
      </c>
    </row>
    <row r="18" spans="1:24" ht="17.850000000000001" customHeight="1">
      <c r="A18" t="s">
        <v>170</v>
      </c>
      <c r="K18" s="59">
        <v>50300</v>
      </c>
      <c r="L18" s="59">
        <v>49800</v>
      </c>
      <c r="M18" s="59">
        <v>54900</v>
      </c>
      <c r="N18" s="59">
        <v>62400</v>
      </c>
      <c r="O18" s="59">
        <v>60200</v>
      </c>
      <c r="P18" s="59">
        <v>68600</v>
      </c>
      <c r="Q18" s="59">
        <v>89300</v>
      </c>
      <c r="R18" s="59">
        <v>95100</v>
      </c>
      <c r="S18" s="59">
        <v>94200</v>
      </c>
      <c r="T18" s="59">
        <v>101300</v>
      </c>
      <c r="U18" s="59">
        <v>111000</v>
      </c>
    </row>
    <row r="19" spans="1:24" ht="17.850000000000001" customHeight="1">
      <c r="A19" s="44" t="s">
        <v>144</v>
      </c>
      <c r="K19" s="80"/>
      <c r="L19" s="51">
        <f t="shared" ref="L19:U19" si="6">IFERROR(L18/K18-1,"")</f>
        <v>-9.9403578528827197E-3</v>
      </c>
      <c r="M19" s="51">
        <f t="shared" si="6"/>
        <v>0.10240963855421681</v>
      </c>
      <c r="N19" s="51">
        <f t="shared" si="6"/>
        <v>0.13661202185792343</v>
      </c>
      <c r="O19" s="51">
        <f t="shared" si="6"/>
        <v>-3.5256410256410242E-2</v>
      </c>
      <c r="P19" s="51">
        <f t="shared" si="6"/>
        <v>0.13953488372093026</v>
      </c>
      <c r="Q19" s="51">
        <f t="shared" si="6"/>
        <v>0.30174927113702621</v>
      </c>
      <c r="R19" s="51">
        <f t="shared" si="6"/>
        <v>6.4949608062709885E-2</v>
      </c>
      <c r="S19" s="51">
        <f t="shared" si="6"/>
        <v>-9.4637223974763929E-3</v>
      </c>
      <c r="T19" s="51">
        <f t="shared" si="6"/>
        <v>7.5371549893842982E-2</v>
      </c>
      <c r="U19" s="51">
        <f t="shared" si="6"/>
        <v>9.5755182625863799E-2</v>
      </c>
    </row>
    <row r="20" spans="1:24" ht="17.850000000000001" customHeight="1">
      <c r="A20" t="s">
        <v>162</v>
      </c>
      <c r="K20" s="59">
        <v>58700</v>
      </c>
      <c r="L20" s="59">
        <v>48500</v>
      </c>
      <c r="M20" s="59">
        <v>51600</v>
      </c>
      <c r="N20" s="59">
        <v>51900</v>
      </c>
      <c r="O20" s="59">
        <v>43600</v>
      </c>
      <c r="P20" s="59">
        <v>40300</v>
      </c>
      <c r="Q20" s="59">
        <v>68300</v>
      </c>
      <c r="R20" s="59">
        <v>74200</v>
      </c>
      <c r="S20" s="59">
        <v>72500</v>
      </c>
      <c r="T20" s="59">
        <v>66900</v>
      </c>
      <c r="U20" s="59">
        <v>64300</v>
      </c>
    </row>
    <row r="21" spans="1:24" ht="17.850000000000001" customHeight="1">
      <c r="A21" s="44" t="s">
        <v>144</v>
      </c>
      <c r="K21" s="80"/>
      <c r="L21" s="51">
        <f t="shared" ref="L21:U21" si="7">IFERROR(L20/K20-1,"")</f>
        <v>-0.17376490630323682</v>
      </c>
      <c r="M21" s="51">
        <f t="shared" si="7"/>
        <v>6.3917525773195871E-2</v>
      </c>
      <c r="N21" s="51">
        <f t="shared" si="7"/>
        <v>5.8139534883721034E-3</v>
      </c>
      <c r="O21" s="51">
        <f t="shared" si="7"/>
        <v>-0.15992292870905589</v>
      </c>
      <c r="P21" s="51">
        <f t="shared" si="7"/>
        <v>-7.5688073394495459E-2</v>
      </c>
      <c r="Q21" s="51">
        <f t="shared" si="7"/>
        <v>0.69478908188585597</v>
      </c>
      <c r="R21" s="51">
        <f t="shared" si="7"/>
        <v>8.6383601756954587E-2</v>
      </c>
      <c r="S21" s="106">
        <f t="shared" si="7"/>
        <v>-2.2911051212938016E-2</v>
      </c>
      <c r="T21" s="106">
        <f t="shared" si="7"/>
        <v>-7.7241379310344804E-2</v>
      </c>
      <c r="U21" s="106">
        <f t="shared" si="7"/>
        <v>-3.8863976083707064E-2</v>
      </c>
    </row>
    <row r="22" spans="1:24" ht="17.850000000000001" customHeight="1">
      <c r="A22" t="s">
        <v>171</v>
      </c>
      <c r="K22" s="59">
        <v>15700</v>
      </c>
      <c r="L22" s="59">
        <v>16900</v>
      </c>
      <c r="M22" s="59">
        <v>15300</v>
      </c>
      <c r="N22" s="59">
        <v>21700</v>
      </c>
      <c r="O22" s="59">
        <v>21500</v>
      </c>
      <c r="P22" s="59">
        <v>21400</v>
      </c>
      <c r="Q22" s="59">
        <v>28400</v>
      </c>
      <c r="R22" s="59">
        <v>25900</v>
      </c>
      <c r="S22" s="59">
        <v>24200</v>
      </c>
      <c r="T22" s="59">
        <v>25000</v>
      </c>
      <c r="U22" s="59">
        <v>28700</v>
      </c>
    </row>
    <row r="23" spans="1:24" ht="17.850000000000001" customHeight="1">
      <c r="A23" s="44" t="s">
        <v>144</v>
      </c>
      <c r="K23" s="80"/>
      <c r="L23" s="51">
        <f t="shared" ref="L23:U23" si="8">IFERROR(L22/K22-1,"")</f>
        <v>7.6433121019108263E-2</v>
      </c>
      <c r="M23" s="51">
        <f t="shared" si="8"/>
        <v>-9.4674556213017791E-2</v>
      </c>
      <c r="N23" s="51">
        <f t="shared" si="8"/>
        <v>0.41830065359477131</v>
      </c>
      <c r="O23" s="51">
        <f t="shared" si="8"/>
        <v>-9.2165898617511122E-3</v>
      </c>
      <c r="P23" s="51">
        <f t="shared" si="8"/>
        <v>-4.6511627906976605E-3</v>
      </c>
      <c r="Q23" s="51">
        <f t="shared" si="8"/>
        <v>0.32710280373831768</v>
      </c>
      <c r="R23" s="51">
        <f t="shared" si="8"/>
        <v>-8.8028169014084501E-2</v>
      </c>
      <c r="S23" s="51">
        <f t="shared" si="8"/>
        <v>-6.5637065637065617E-2</v>
      </c>
      <c r="T23" s="51">
        <f t="shared" si="8"/>
        <v>3.3057851239669311E-2</v>
      </c>
      <c r="U23" s="51">
        <f t="shared" si="8"/>
        <v>0.14799999999999991</v>
      </c>
    </row>
    <row r="24" spans="1:24" ht="17.850000000000001" customHeight="1">
      <c r="A24" t="s">
        <v>172</v>
      </c>
      <c r="K24" s="59">
        <v>15000</v>
      </c>
      <c r="L24" s="59">
        <v>13600</v>
      </c>
      <c r="M24" s="59">
        <v>14100</v>
      </c>
      <c r="N24" s="59">
        <v>17400</v>
      </c>
      <c r="O24" s="59">
        <v>17800</v>
      </c>
      <c r="P24" s="59">
        <v>19600</v>
      </c>
      <c r="Q24" s="59">
        <v>26300</v>
      </c>
      <c r="R24" s="59">
        <v>29300</v>
      </c>
      <c r="S24" s="59">
        <v>29600</v>
      </c>
      <c r="T24" s="59">
        <v>30600</v>
      </c>
      <c r="U24" s="59">
        <v>33600</v>
      </c>
    </row>
    <row r="25" spans="1:24" ht="17.850000000000001" customHeight="1">
      <c r="A25" s="44" t="s">
        <v>144</v>
      </c>
      <c r="K25" s="80"/>
      <c r="L25" s="51">
        <f t="shared" ref="L25:U25" si="9">IFERROR(L24/K24-1,"")</f>
        <v>-9.3333333333333379E-2</v>
      </c>
      <c r="M25" s="51">
        <f t="shared" si="9"/>
        <v>3.6764705882353033E-2</v>
      </c>
      <c r="N25" s="51">
        <f t="shared" si="9"/>
        <v>0.23404255319148937</v>
      </c>
      <c r="O25" s="51">
        <f t="shared" si="9"/>
        <v>2.2988505747126409E-2</v>
      </c>
      <c r="P25" s="51">
        <f t="shared" si="9"/>
        <v>0.101123595505618</v>
      </c>
      <c r="Q25" s="51">
        <f t="shared" si="9"/>
        <v>0.34183673469387754</v>
      </c>
      <c r="R25" s="51">
        <f t="shared" si="9"/>
        <v>0.11406844106463887</v>
      </c>
      <c r="S25" s="51">
        <f t="shared" si="9"/>
        <v>1.0238907849829282E-2</v>
      </c>
      <c r="T25" s="51">
        <f t="shared" si="9"/>
        <v>3.3783783783783772E-2</v>
      </c>
      <c r="U25" s="51">
        <f t="shared" si="9"/>
        <v>9.8039215686274606E-2</v>
      </c>
    </row>
    <row r="26" spans="1:24" ht="17.850000000000001" customHeight="1" thickBot="1">
      <c r="A26" s="78" t="s">
        <v>173</v>
      </c>
      <c r="B26" s="78"/>
      <c r="C26" s="78"/>
      <c r="D26" s="78"/>
      <c r="E26" s="78"/>
      <c r="F26" s="78"/>
      <c r="G26" s="78"/>
      <c r="H26" s="78"/>
      <c r="I26" s="78"/>
      <c r="J26" s="78"/>
      <c r="K26" s="81">
        <f>K24+K22+K20+K18+K16</f>
        <v>233500</v>
      </c>
      <c r="L26" s="81">
        <f t="shared" ref="L26:U26" si="10">L24+L22+L20+L18+L16</f>
        <v>215400</v>
      </c>
      <c r="M26" s="81">
        <f t="shared" si="10"/>
        <v>232500</v>
      </c>
      <c r="N26" s="81">
        <f t="shared" si="10"/>
        <v>265400</v>
      </c>
      <c r="O26" s="81">
        <f t="shared" si="10"/>
        <v>260000</v>
      </c>
      <c r="P26" s="81">
        <f t="shared" si="10"/>
        <v>274400</v>
      </c>
      <c r="Q26" s="81">
        <f t="shared" si="10"/>
        <v>365600</v>
      </c>
      <c r="R26" s="81">
        <f t="shared" si="10"/>
        <v>394100</v>
      </c>
      <c r="S26" s="81">
        <f t="shared" si="10"/>
        <v>383000</v>
      </c>
      <c r="T26" s="81">
        <f t="shared" si="10"/>
        <v>390800</v>
      </c>
      <c r="U26" s="81">
        <f t="shared" si="10"/>
        <v>415900</v>
      </c>
    </row>
    <row r="27" spans="1:24" ht="17.850000000000001" customHeight="1">
      <c r="A27" s="44" t="s">
        <v>144</v>
      </c>
      <c r="L27" s="51">
        <f t="shared" ref="L27" si="11">IFERROR(L26/K26-1,"")</f>
        <v>-7.7516059957173478E-2</v>
      </c>
      <c r="M27" s="51">
        <f t="shared" ref="M27" si="12">IFERROR(M26/L26-1,"")</f>
        <v>7.9387186629526374E-2</v>
      </c>
      <c r="N27" s="51">
        <f t="shared" ref="N27" si="13">IFERROR(N26/M26-1,"")</f>
        <v>0.14150537634408611</v>
      </c>
      <c r="O27" s="51">
        <f t="shared" ref="O27" si="14">IFERROR(O26/N26-1,"")</f>
        <v>-2.0346646571213212E-2</v>
      </c>
      <c r="P27" s="51">
        <f t="shared" ref="P27" si="15">IFERROR(P26/O26-1,"")</f>
        <v>5.5384615384615365E-2</v>
      </c>
      <c r="Q27" s="51">
        <f t="shared" ref="Q27" si="16">IFERROR(Q26/P26-1,"")</f>
        <v>0.33236151603498532</v>
      </c>
      <c r="R27" s="51">
        <f t="shared" ref="R27" si="17">IFERROR(R26/Q26-1,"")</f>
        <v>7.7954048140043808E-2</v>
      </c>
      <c r="S27" s="51">
        <f t="shared" ref="S27" si="18">IFERROR(S26/R26-1,"")</f>
        <v>-2.8165440243593021E-2</v>
      </c>
      <c r="T27" s="51">
        <f t="shared" ref="T27" si="19">IFERROR(T26/S26-1,"")</f>
        <v>2.0365535248041855E-2</v>
      </c>
      <c r="U27" s="51">
        <f t="shared" ref="U27" si="20">IFERROR(U26/T26-1,"")</f>
        <v>6.4227226202661303E-2</v>
      </c>
    </row>
    <row r="28" spans="1:24" ht="17.850000000000001" customHeight="1"/>
    <row r="29" spans="1:24" ht="17.850000000000001" customHeight="1"/>
    <row r="30" spans="1:24" ht="17.850000000000001" customHeight="1"/>
    <row r="31" spans="1:24" ht="17.850000000000001" customHeight="1"/>
    <row r="32" spans="1:24" ht="17.850000000000001" customHeight="1"/>
    <row r="33" ht="17.850000000000001" customHeight="1"/>
    <row r="34" ht="17.850000000000001" customHeight="1"/>
    <row r="35" ht="17.850000000000001" customHeight="1"/>
    <row r="36" ht="17.850000000000001" customHeight="1"/>
    <row r="37" ht="17.850000000000001" customHeight="1"/>
    <row r="38" ht="17.850000000000001" customHeight="1"/>
    <row r="39" ht="17.850000000000001" customHeight="1"/>
    <row r="40" ht="17.850000000000001" customHeight="1"/>
    <row r="41" ht="17.850000000000001" customHeight="1"/>
    <row r="42" ht="17.850000000000001" customHeight="1"/>
    <row r="43" ht="17.850000000000001" customHeight="1"/>
    <row r="44" ht="17.850000000000001" customHeight="1"/>
    <row r="45" ht="17.850000000000001" customHeight="1"/>
    <row r="46" ht="17.850000000000001" customHeight="1"/>
    <row r="47" ht="17.850000000000001" customHeight="1"/>
    <row r="48" ht="17.850000000000001" customHeight="1"/>
    <row r="49" ht="17.850000000000001" customHeight="1"/>
    <row r="50" ht="17.850000000000001" customHeight="1"/>
    <row r="51" ht="17.850000000000001" customHeight="1"/>
    <row r="52" ht="17.850000000000001" customHeight="1"/>
    <row r="53" ht="17.850000000000001" customHeight="1"/>
    <row r="54" ht="17.850000000000001" customHeight="1"/>
    <row r="55" ht="17.850000000000001" customHeight="1"/>
    <row r="56" ht="17.850000000000001" customHeight="1"/>
    <row r="57" ht="17.850000000000001" customHeight="1"/>
    <row r="58" ht="17.850000000000001" customHeight="1"/>
    <row r="59" ht="17.850000000000001" customHeight="1"/>
    <row r="60" ht="17.850000000000001" customHeight="1"/>
    <row r="61" ht="17.850000000000001" customHeight="1"/>
    <row r="62" ht="17.850000000000001" customHeight="1"/>
    <row r="63" ht="17.850000000000001" customHeight="1"/>
    <row r="64" ht="17.850000000000001" customHeight="1"/>
    <row r="65" ht="17.850000000000001" customHeight="1"/>
    <row r="66" ht="17.850000000000001" customHeight="1"/>
    <row r="127" spans="1:22">
      <c r="A127" s="54"/>
      <c r="B127" s="54"/>
      <c r="C127" s="54"/>
      <c r="D127" s="54"/>
      <c r="E127" s="54"/>
      <c r="F127" s="54"/>
      <c r="G127" s="54"/>
      <c r="H127" s="54"/>
      <c r="I127" s="54"/>
      <c r="J127" s="54"/>
      <c r="K127" s="54"/>
      <c r="L127" s="54"/>
      <c r="M127" s="54"/>
      <c r="N127" s="54"/>
      <c r="O127" s="54"/>
      <c r="P127" s="54"/>
      <c r="Q127" s="54"/>
      <c r="R127" s="54"/>
      <c r="S127" s="54"/>
      <c r="T127" s="54"/>
      <c r="U127" s="54"/>
      <c r="V127" s="54"/>
    </row>
    <row r="128" spans="1:22">
      <c r="A128" s="54"/>
      <c r="B128" s="54"/>
      <c r="C128" s="54"/>
      <c r="D128" s="54"/>
      <c r="E128" s="54"/>
      <c r="F128" s="54"/>
      <c r="G128" s="54"/>
      <c r="H128" s="54"/>
      <c r="I128" s="54"/>
      <c r="J128" s="54"/>
      <c r="K128" s="54"/>
      <c r="L128" s="54"/>
      <c r="M128" s="54"/>
      <c r="N128" s="54"/>
      <c r="O128" s="54"/>
      <c r="P128" s="54"/>
      <c r="Q128" s="54"/>
      <c r="R128" s="54"/>
      <c r="S128" s="54"/>
      <c r="T128" s="54"/>
      <c r="U128" s="54"/>
      <c r="V128" s="54"/>
    </row>
    <row r="129" spans="1:22">
      <c r="A129" s="54"/>
      <c r="B129" s="54"/>
      <c r="C129" s="54"/>
      <c r="D129" s="54"/>
      <c r="E129" s="54"/>
      <c r="F129" s="54"/>
      <c r="G129" s="54"/>
      <c r="H129" s="54"/>
      <c r="I129" s="54"/>
      <c r="J129" s="54"/>
      <c r="K129" s="54"/>
      <c r="L129" s="54"/>
      <c r="M129" s="54"/>
      <c r="N129" s="54"/>
      <c r="O129" s="54"/>
      <c r="P129" s="54"/>
      <c r="Q129" s="54"/>
      <c r="R129" s="54"/>
      <c r="S129" s="54"/>
      <c r="T129" s="54"/>
      <c r="U129" s="54"/>
      <c r="V129" s="54"/>
    </row>
    <row r="130" spans="1:22">
      <c r="A130" s="54"/>
      <c r="B130" s="54"/>
      <c r="C130" s="54"/>
      <c r="D130" s="54"/>
      <c r="E130" s="54"/>
      <c r="F130" s="54"/>
      <c r="G130" s="54"/>
      <c r="H130" s="54"/>
      <c r="I130" s="54"/>
      <c r="J130" s="54"/>
      <c r="K130" s="54"/>
      <c r="L130" s="54"/>
      <c r="M130" s="54"/>
      <c r="N130" s="54"/>
      <c r="O130" s="54"/>
      <c r="P130" s="54"/>
      <c r="Q130" s="54"/>
      <c r="R130" s="54"/>
      <c r="S130" s="54"/>
      <c r="T130" s="54"/>
      <c r="U130" s="54"/>
      <c r="V130" s="54"/>
    </row>
    <row r="131" spans="1:22">
      <c r="A131" s="54"/>
      <c r="B131" s="54"/>
      <c r="C131" s="54"/>
      <c r="D131" s="54"/>
      <c r="E131" s="54"/>
      <c r="F131" s="54"/>
      <c r="G131" s="54"/>
      <c r="H131" s="54"/>
      <c r="I131" s="54"/>
      <c r="J131" s="54"/>
      <c r="K131" s="54"/>
      <c r="L131" s="54"/>
      <c r="M131" s="54"/>
      <c r="N131" s="54"/>
      <c r="O131" s="54"/>
      <c r="P131" s="54"/>
      <c r="Q131" s="54"/>
      <c r="R131" s="54"/>
      <c r="S131" s="54"/>
      <c r="T131" s="54"/>
      <c r="U131" s="54"/>
      <c r="V131" s="54"/>
    </row>
    <row r="132" spans="1:22">
      <c r="A132" s="54"/>
      <c r="B132" s="54"/>
      <c r="C132" s="54"/>
      <c r="D132" s="54"/>
      <c r="E132" s="54"/>
      <c r="F132" s="54"/>
      <c r="G132" s="54"/>
      <c r="H132" s="54"/>
      <c r="I132" s="54"/>
      <c r="J132" s="54"/>
      <c r="K132" s="54"/>
      <c r="L132" s="54"/>
      <c r="M132" s="54"/>
      <c r="N132" s="54"/>
      <c r="O132" s="54"/>
      <c r="P132" s="54"/>
      <c r="Q132" s="54"/>
      <c r="R132" s="54"/>
      <c r="S132" s="54"/>
      <c r="T132" s="54"/>
      <c r="U132" s="54"/>
      <c r="V132" s="54"/>
    </row>
    <row r="133" spans="1:22">
      <c r="A133" s="54"/>
      <c r="B133" s="54"/>
      <c r="C133" s="54"/>
      <c r="D133" s="54"/>
      <c r="E133" s="54"/>
      <c r="F133" s="54"/>
      <c r="G133" s="54"/>
      <c r="H133" s="54"/>
      <c r="I133" s="54"/>
      <c r="J133" s="54"/>
      <c r="K133" s="54"/>
      <c r="L133" s="54"/>
      <c r="M133" s="54"/>
      <c r="N133" s="54"/>
      <c r="O133" s="54"/>
      <c r="P133" s="54"/>
      <c r="Q133" s="54"/>
      <c r="R133" s="54"/>
      <c r="S133" s="54"/>
      <c r="T133" s="54"/>
      <c r="U133" s="54"/>
      <c r="V133" s="54"/>
    </row>
    <row r="134" spans="1:22">
      <c r="A134" s="54"/>
      <c r="B134" s="54"/>
      <c r="C134" s="54"/>
      <c r="D134" s="54"/>
      <c r="E134" s="54"/>
      <c r="F134" s="54"/>
      <c r="G134" s="54"/>
      <c r="H134" s="54"/>
      <c r="I134" s="54"/>
      <c r="J134" s="54"/>
      <c r="K134" s="54"/>
      <c r="L134" s="54"/>
      <c r="M134" s="54"/>
      <c r="N134" s="54"/>
      <c r="O134" s="54"/>
      <c r="P134" s="54"/>
      <c r="Q134" s="54"/>
      <c r="R134" s="54"/>
      <c r="S134" s="54"/>
      <c r="T134" s="54"/>
      <c r="U134" s="54"/>
      <c r="V134" s="54"/>
    </row>
    <row r="135" spans="1:22">
      <c r="A135" s="54"/>
      <c r="B135" s="54"/>
      <c r="C135" s="54"/>
      <c r="D135" s="54"/>
      <c r="E135" s="54"/>
      <c r="F135" s="54"/>
      <c r="G135" s="54"/>
      <c r="H135" s="54"/>
      <c r="I135" s="54"/>
      <c r="J135" s="54"/>
      <c r="K135" s="54"/>
      <c r="L135" s="54"/>
      <c r="M135" s="54"/>
      <c r="N135" s="54"/>
      <c r="O135" s="54"/>
      <c r="P135" s="54"/>
      <c r="Q135" s="54"/>
      <c r="R135" s="54"/>
      <c r="S135" s="54"/>
      <c r="T135" s="54"/>
      <c r="U135" s="54"/>
      <c r="V135" s="54"/>
    </row>
    <row r="136" spans="1:22">
      <c r="A136" s="54"/>
      <c r="B136" s="54"/>
      <c r="C136" s="54"/>
      <c r="D136" s="54"/>
      <c r="E136" s="54"/>
      <c r="F136" s="54"/>
      <c r="G136" s="54"/>
      <c r="H136" s="54"/>
      <c r="I136" s="54"/>
      <c r="J136" s="54"/>
      <c r="K136" s="54"/>
      <c r="L136" s="54"/>
      <c r="M136" s="54"/>
      <c r="N136" s="54"/>
      <c r="O136" s="54"/>
      <c r="P136" s="54"/>
      <c r="Q136" s="54"/>
      <c r="R136" s="54"/>
      <c r="S136" s="54"/>
      <c r="T136" s="54"/>
      <c r="U136" s="54"/>
      <c r="V136" s="54"/>
    </row>
    <row r="137" spans="1:22">
      <c r="A137" s="54"/>
      <c r="B137" s="54"/>
      <c r="C137" s="54"/>
      <c r="D137" s="54"/>
      <c r="E137" s="54"/>
      <c r="F137" s="54"/>
      <c r="G137" s="54"/>
      <c r="H137" s="54"/>
      <c r="I137" s="54"/>
      <c r="J137" s="54"/>
      <c r="K137" s="54"/>
      <c r="L137" s="54"/>
      <c r="M137" s="54"/>
      <c r="N137" s="54"/>
      <c r="O137" s="54"/>
      <c r="P137" s="54"/>
      <c r="Q137" s="54"/>
      <c r="R137" s="54"/>
      <c r="S137" s="54"/>
      <c r="T137" s="54"/>
      <c r="U137" s="54"/>
      <c r="V137" s="54"/>
    </row>
    <row r="138" spans="1:22">
      <c r="A138" s="54"/>
      <c r="B138" s="54"/>
      <c r="C138" s="54"/>
      <c r="D138" s="54"/>
      <c r="E138" s="54"/>
      <c r="F138" s="54"/>
      <c r="G138" s="54"/>
      <c r="H138" s="54"/>
      <c r="I138" s="54"/>
      <c r="J138" s="54"/>
      <c r="K138" s="54"/>
      <c r="L138" s="54"/>
      <c r="M138" s="54"/>
      <c r="N138" s="54"/>
      <c r="O138" s="54"/>
      <c r="P138" s="54"/>
      <c r="Q138" s="54"/>
      <c r="R138" s="54"/>
      <c r="S138" s="54"/>
      <c r="T138" s="54"/>
      <c r="U138" s="54"/>
      <c r="V138" s="54"/>
    </row>
    <row r="139" spans="1:22">
      <c r="A139" s="54"/>
      <c r="B139" s="54"/>
      <c r="C139" s="54"/>
      <c r="D139" s="54"/>
      <c r="E139" s="54"/>
      <c r="F139" s="54"/>
      <c r="G139" s="54"/>
      <c r="H139" s="54"/>
      <c r="I139" s="54"/>
      <c r="J139" s="54"/>
      <c r="K139" s="54"/>
      <c r="L139" s="54"/>
      <c r="M139" s="54"/>
      <c r="N139" s="54"/>
      <c r="O139" s="54"/>
      <c r="P139" s="54"/>
      <c r="Q139" s="54"/>
      <c r="R139" s="54"/>
      <c r="S139" s="54"/>
      <c r="T139" s="54"/>
      <c r="U139" s="54"/>
      <c r="V139" s="54"/>
    </row>
    <row r="140" spans="1:22">
      <c r="A140" s="54"/>
      <c r="B140" s="54"/>
      <c r="C140" s="54"/>
      <c r="D140" s="54"/>
      <c r="E140" s="54"/>
      <c r="F140" s="54"/>
      <c r="G140" s="54"/>
      <c r="H140" s="54"/>
      <c r="I140" s="54"/>
      <c r="J140" s="54"/>
      <c r="K140" s="54"/>
      <c r="L140" s="54"/>
      <c r="M140" s="54"/>
      <c r="N140" s="54"/>
      <c r="O140" s="54"/>
      <c r="P140" s="54"/>
      <c r="Q140" s="54"/>
      <c r="R140" s="54"/>
      <c r="S140" s="54"/>
      <c r="T140" s="54"/>
      <c r="U140" s="54"/>
      <c r="V140" s="54"/>
    </row>
    <row r="141" spans="1:22">
      <c r="A141" s="54"/>
      <c r="B141" s="54"/>
      <c r="C141" s="54"/>
      <c r="D141" s="54"/>
      <c r="E141" s="54"/>
      <c r="F141" s="54"/>
      <c r="G141" s="54"/>
      <c r="H141" s="54"/>
      <c r="I141" s="54"/>
      <c r="J141" s="54"/>
      <c r="K141" s="54"/>
      <c r="L141" s="54"/>
      <c r="M141" s="54"/>
      <c r="N141" s="54"/>
      <c r="O141" s="54"/>
      <c r="P141" s="54"/>
      <c r="Q141" s="54"/>
      <c r="R141" s="54"/>
      <c r="S141" s="54"/>
      <c r="T141" s="54"/>
      <c r="U141" s="54"/>
      <c r="V141" s="54"/>
    </row>
    <row r="142" spans="1:22">
      <c r="A142" s="54"/>
      <c r="B142" s="54"/>
      <c r="C142" s="54"/>
      <c r="D142" s="54"/>
      <c r="E142" s="54"/>
      <c r="F142" s="54"/>
      <c r="G142" s="54"/>
      <c r="H142" s="54"/>
      <c r="I142" s="54"/>
      <c r="J142" s="54"/>
      <c r="K142" s="54"/>
      <c r="L142" s="54"/>
      <c r="M142" s="54"/>
      <c r="N142" s="54"/>
      <c r="O142" s="54"/>
      <c r="P142" s="54"/>
      <c r="Q142" s="54"/>
      <c r="R142" s="54"/>
      <c r="S142" s="54"/>
      <c r="T142" s="54"/>
      <c r="U142" s="54"/>
      <c r="V142" s="54"/>
    </row>
    <row r="143" spans="1:22">
      <c r="A143" s="54"/>
      <c r="B143" s="54"/>
      <c r="C143" s="54"/>
      <c r="D143" s="54"/>
      <c r="E143" s="54"/>
      <c r="F143" s="54"/>
      <c r="G143" s="54"/>
      <c r="H143" s="54"/>
      <c r="I143" s="54"/>
      <c r="J143" s="54"/>
      <c r="K143" s="54"/>
      <c r="L143" s="54"/>
      <c r="M143" s="54"/>
      <c r="N143" s="54"/>
      <c r="O143" s="54"/>
      <c r="P143" s="54"/>
      <c r="Q143" s="54"/>
      <c r="R143" s="54"/>
      <c r="S143" s="54"/>
      <c r="T143" s="54"/>
      <c r="U143" s="54"/>
      <c r="V143" s="54"/>
    </row>
    <row r="144" spans="1:22">
      <c r="A144" s="54"/>
      <c r="B144" s="54"/>
      <c r="C144" s="54"/>
      <c r="D144" s="54"/>
      <c r="E144" s="54"/>
      <c r="F144" s="54"/>
      <c r="G144" s="54"/>
      <c r="H144" s="54"/>
      <c r="I144" s="54"/>
      <c r="J144" s="54"/>
      <c r="K144" s="54"/>
      <c r="L144" s="54"/>
      <c r="M144" s="54"/>
      <c r="N144" s="54"/>
      <c r="O144" s="54"/>
      <c r="P144" s="54"/>
      <c r="Q144" s="54"/>
      <c r="R144" s="54"/>
      <c r="S144" s="54"/>
      <c r="T144" s="54"/>
      <c r="U144" s="54"/>
      <c r="V144" s="54"/>
    </row>
    <row r="145" spans="1:22">
      <c r="A145" s="54"/>
      <c r="B145" s="54"/>
      <c r="C145" s="54"/>
      <c r="D145" s="54"/>
      <c r="E145" s="54"/>
      <c r="F145" s="54"/>
      <c r="G145" s="54"/>
      <c r="H145" s="54"/>
      <c r="I145" s="54"/>
      <c r="J145" s="54"/>
      <c r="K145" s="54"/>
      <c r="L145" s="54"/>
      <c r="M145" s="54"/>
      <c r="N145" s="54"/>
      <c r="O145" s="54"/>
      <c r="P145" s="54"/>
      <c r="Q145" s="54"/>
      <c r="R145" s="54"/>
      <c r="S145" s="54"/>
      <c r="T145" s="54"/>
      <c r="U145" s="54"/>
      <c r="V145" s="54"/>
    </row>
    <row r="146" spans="1:22">
      <c r="A146" s="54"/>
      <c r="B146" s="54"/>
      <c r="C146" s="54"/>
      <c r="D146" s="54"/>
      <c r="E146" s="54"/>
      <c r="F146" s="54"/>
      <c r="G146" s="54"/>
      <c r="H146" s="54"/>
      <c r="I146" s="54"/>
      <c r="J146" s="54"/>
      <c r="K146" s="54"/>
      <c r="L146" s="54"/>
      <c r="M146" s="54"/>
      <c r="N146" s="54"/>
      <c r="O146" s="54"/>
      <c r="P146" s="54"/>
      <c r="Q146" s="54"/>
      <c r="R146" s="54"/>
      <c r="S146" s="54"/>
      <c r="T146" s="54"/>
      <c r="U146" s="54"/>
      <c r="V146" s="54"/>
    </row>
    <row r="147" spans="1:22">
      <c r="A147" s="54"/>
      <c r="B147" s="54"/>
      <c r="C147" s="54"/>
      <c r="D147" s="54"/>
      <c r="E147" s="54"/>
      <c r="F147" s="54"/>
      <c r="G147" s="54"/>
      <c r="H147" s="54"/>
      <c r="I147" s="54"/>
      <c r="J147" s="54"/>
      <c r="K147" s="54"/>
      <c r="L147" s="54"/>
      <c r="M147" s="54"/>
      <c r="N147" s="54"/>
      <c r="O147" s="54"/>
      <c r="P147" s="54"/>
      <c r="Q147" s="54"/>
      <c r="R147" s="54"/>
      <c r="S147" s="54"/>
      <c r="T147" s="54"/>
      <c r="U147" s="54"/>
      <c r="V147" s="54"/>
    </row>
    <row r="148" spans="1:22">
      <c r="A148" s="54"/>
      <c r="B148" s="54"/>
      <c r="C148" s="54"/>
      <c r="D148" s="54"/>
      <c r="E148" s="54"/>
      <c r="F148" s="54"/>
      <c r="G148" s="54"/>
      <c r="H148" s="54"/>
      <c r="I148" s="54"/>
      <c r="J148" s="54"/>
      <c r="K148" s="54"/>
      <c r="L148" s="54"/>
      <c r="M148" s="54"/>
      <c r="N148" s="54"/>
      <c r="O148" s="54"/>
      <c r="P148" s="54"/>
      <c r="Q148" s="54"/>
      <c r="R148" s="54"/>
      <c r="S148" s="54"/>
      <c r="T148" s="54"/>
      <c r="U148" s="54"/>
      <c r="V148" s="54"/>
    </row>
    <row r="149" spans="1:22">
      <c r="A149" s="54"/>
      <c r="B149" s="54"/>
      <c r="C149" s="54"/>
      <c r="D149" s="54"/>
      <c r="E149" s="54"/>
      <c r="F149" s="54"/>
      <c r="G149" s="54"/>
      <c r="H149" s="54"/>
      <c r="I149" s="54"/>
      <c r="J149" s="54"/>
      <c r="K149" s="54"/>
      <c r="L149" s="54"/>
      <c r="M149" s="54"/>
      <c r="N149" s="54"/>
      <c r="O149" s="54"/>
      <c r="P149" s="54"/>
      <c r="Q149" s="54"/>
      <c r="R149" s="54"/>
      <c r="S149" s="54"/>
      <c r="T149" s="54"/>
      <c r="U149" s="54"/>
      <c r="V149" s="54"/>
    </row>
    <row r="150" spans="1:22">
      <c r="A150" s="54"/>
      <c r="B150" s="54"/>
      <c r="C150" s="54"/>
      <c r="D150" s="54"/>
      <c r="E150" s="54"/>
      <c r="F150" s="54"/>
      <c r="G150" s="54"/>
      <c r="H150" s="54"/>
      <c r="I150" s="54"/>
      <c r="J150" s="54"/>
      <c r="K150" s="54"/>
      <c r="L150" s="54"/>
      <c r="M150" s="54"/>
      <c r="N150" s="54"/>
      <c r="O150" s="54"/>
      <c r="P150" s="54"/>
      <c r="Q150" s="54"/>
      <c r="R150" s="54"/>
      <c r="S150" s="54"/>
      <c r="T150" s="54"/>
      <c r="U150" s="54"/>
      <c r="V150" s="54"/>
    </row>
    <row r="151" spans="1:22">
      <c r="A151" s="54"/>
      <c r="B151" s="54"/>
      <c r="C151" s="54"/>
      <c r="D151" s="54"/>
      <c r="E151" s="54"/>
      <c r="F151" s="54"/>
      <c r="G151" s="54"/>
      <c r="H151" s="54"/>
      <c r="I151" s="54"/>
      <c r="J151" s="54"/>
      <c r="K151" s="54"/>
      <c r="L151" s="54"/>
      <c r="M151" s="54"/>
      <c r="N151" s="54"/>
      <c r="O151" s="54"/>
      <c r="P151" s="54"/>
      <c r="Q151" s="54"/>
      <c r="R151" s="54"/>
      <c r="S151" s="54"/>
      <c r="T151" s="54"/>
      <c r="U151" s="54"/>
      <c r="V151" s="54"/>
    </row>
    <row r="152" spans="1:22">
      <c r="A152" s="54"/>
      <c r="B152" s="54"/>
      <c r="C152" s="54"/>
      <c r="D152" s="54"/>
      <c r="E152" s="54"/>
      <c r="F152" s="54"/>
      <c r="G152" s="54"/>
      <c r="H152" s="54"/>
      <c r="I152" s="54"/>
      <c r="J152" s="54"/>
      <c r="K152" s="54"/>
      <c r="L152" s="54"/>
      <c r="M152" s="54"/>
      <c r="N152" s="54"/>
      <c r="O152" s="54"/>
      <c r="P152" s="54"/>
      <c r="Q152" s="54"/>
      <c r="R152" s="54"/>
      <c r="S152" s="54"/>
      <c r="T152" s="54"/>
      <c r="U152" s="54"/>
      <c r="V152" s="54"/>
    </row>
    <row r="153" spans="1:22">
      <c r="A153" s="54"/>
      <c r="B153" s="54"/>
      <c r="C153" s="54"/>
      <c r="D153" s="54"/>
      <c r="E153" s="54"/>
      <c r="F153" s="54"/>
      <c r="G153" s="54"/>
      <c r="H153" s="54"/>
      <c r="I153" s="54"/>
      <c r="J153" s="54"/>
      <c r="K153" s="54"/>
      <c r="L153" s="54"/>
      <c r="M153" s="54"/>
      <c r="N153" s="54"/>
      <c r="O153" s="54"/>
      <c r="P153" s="54"/>
      <c r="Q153" s="54"/>
      <c r="R153" s="54"/>
      <c r="S153" s="54"/>
      <c r="T153" s="54"/>
      <c r="U153" s="54"/>
      <c r="V153" s="54"/>
    </row>
    <row r="154" spans="1:22">
      <c r="A154" s="54"/>
      <c r="B154" s="54"/>
      <c r="C154" s="54"/>
      <c r="D154" s="54"/>
      <c r="E154" s="54"/>
      <c r="F154" s="54"/>
      <c r="G154" s="54"/>
      <c r="H154" s="54"/>
      <c r="I154" s="54"/>
      <c r="J154" s="54"/>
      <c r="K154" s="54"/>
      <c r="L154" s="54"/>
      <c r="M154" s="54"/>
      <c r="N154" s="54"/>
      <c r="O154" s="54"/>
      <c r="P154" s="54"/>
      <c r="Q154" s="54"/>
      <c r="R154" s="54"/>
      <c r="S154" s="54"/>
      <c r="T154" s="54"/>
      <c r="U154" s="54"/>
      <c r="V154" s="54"/>
    </row>
    <row r="155" spans="1:22">
      <c r="A155" s="54"/>
      <c r="B155" s="54"/>
      <c r="C155" s="54"/>
      <c r="D155" s="54"/>
      <c r="E155" s="54"/>
      <c r="F155" s="54"/>
      <c r="G155" s="54"/>
      <c r="H155" s="54"/>
      <c r="I155" s="54"/>
      <c r="J155" s="54"/>
      <c r="K155" s="54"/>
      <c r="L155" s="54"/>
      <c r="M155" s="54"/>
      <c r="N155" s="54"/>
      <c r="O155" s="54"/>
      <c r="P155" s="54"/>
      <c r="Q155" s="54"/>
      <c r="R155" s="54"/>
      <c r="S155" s="54"/>
      <c r="T155" s="54"/>
      <c r="U155" s="54"/>
      <c r="V155" s="54"/>
    </row>
    <row r="156" spans="1:22">
      <c r="A156" s="54"/>
      <c r="B156" s="54"/>
      <c r="C156" s="54"/>
      <c r="D156" s="54"/>
      <c r="E156" s="54"/>
      <c r="F156" s="54"/>
      <c r="G156" s="54"/>
      <c r="H156" s="54"/>
      <c r="I156" s="54"/>
      <c r="J156" s="54"/>
      <c r="K156" s="54"/>
      <c r="L156" s="54"/>
      <c r="M156" s="54"/>
      <c r="N156" s="54"/>
      <c r="O156" s="54"/>
      <c r="P156" s="54"/>
      <c r="Q156" s="54"/>
      <c r="R156" s="54"/>
      <c r="S156" s="54"/>
      <c r="T156" s="54"/>
      <c r="U156" s="54"/>
      <c r="V156" s="54"/>
    </row>
    <row r="157" spans="1:22">
      <c r="A157" s="54"/>
      <c r="B157" s="54"/>
      <c r="C157" s="54"/>
      <c r="D157" s="54"/>
      <c r="E157" s="54"/>
      <c r="F157" s="54"/>
      <c r="G157" s="54"/>
      <c r="H157" s="54"/>
      <c r="I157" s="54"/>
      <c r="J157" s="54"/>
      <c r="K157" s="54"/>
      <c r="L157" s="54"/>
      <c r="M157" s="54"/>
      <c r="N157" s="54"/>
      <c r="O157" s="54"/>
      <c r="P157" s="54"/>
      <c r="Q157" s="54"/>
      <c r="R157" s="54"/>
      <c r="S157" s="54"/>
      <c r="T157" s="54"/>
      <c r="U157" s="54"/>
      <c r="V157" s="54"/>
    </row>
    <row r="158" spans="1:22">
      <c r="A158" s="54"/>
      <c r="B158" s="54"/>
      <c r="C158" s="54"/>
      <c r="D158" s="54"/>
      <c r="E158" s="54"/>
      <c r="F158" s="54"/>
      <c r="G158" s="54"/>
      <c r="H158" s="54"/>
      <c r="I158" s="54"/>
      <c r="J158" s="54"/>
      <c r="K158" s="54"/>
      <c r="L158" s="54"/>
      <c r="M158" s="54"/>
      <c r="N158" s="54"/>
      <c r="O158" s="54"/>
      <c r="P158" s="54"/>
      <c r="Q158" s="54"/>
      <c r="R158" s="54"/>
      <c r="S158" s="54"/>
      <c r="T158" s="54"/>
      <c r="U158" s="54"/>
      <c r="V158" s="54"/>
    </row>
    <row r="159" spans="1:22">
      <c r="A159" s="54"/>
      <c r="B159" s="54"/>
      <c r="C159" s="54"/>
      <c r="D159" s="54"/>
      <c r="E159" s="54"/>
      <c r="F159" s="54"/>
      <c r="G159" s="54"/>
      <c r="H159" s="54"/>
      <c r="I159" s="54"/>
      <c r="J159" s="54"/>
      <c r="K159" s="54"/>
      <c r="L159" s="54"/>
      <c r="M159" s="54"/>
      <c r="N159" s="54"/>
      <c r="O159" s="54"/>
      <c r="P159" s="54"/>
      <c r="Q159" s="54"/>
      <c r="R159" s="54"/>
      <c r="S159" s="54"/>
      <c r="T159" s="54"/>
      <c r="U159" s="54"/>
      <c r="V159" s="54"/>
    </row>
    <row r="160" spans="1:22">
      <c r="A160" s="54"/>
      <c r="B160" s="54"/>
      <c r="C160" s="54"/>
      <c r="D160" s="54"/>
      <c r="E160" s="54"/>
      <c r="F160" s="54"/>
      <c r="G160" s="54"/>
      <c r="H160" s="54"/>
      <c r="I160" s="54"/>
      <c r="J160" s="54"/>
      <c r="K160" s="54"/>
      <c r="L160" s="54"/>
      <c r="M160" s="54"/>
      <c r="N160" s="54"/>
      <c r="O160" s="54"/>
      <c r="P160" s="54"/>
      <c r="Q160" s="54"/>
      <c r="R160" s="54"/>
      <c r="S160" s="54"/>
      <c r="T160" s="54"/>
      <c r="U160" s="54"/>
      <c r="V160" s="54"/>
    </row>
    <row r="161" spans="1:22">
      <c r="A161" s="54"/>
      <c r="B161" s="54"/>
      <c r="C161" s="54"/>
      <c r="D161" s="54"/>
      <c r="E161" s="54"/>
      <c r="F161" s="54"/>
      <c r="G161" s="54"/>
      <c r="H161" s="54"/>
      <c r="I161" s="54"/>
      <c r="J161" s="54"/>
      <c r="K161" s="54"/>
      <c r="L161" s="54"/>
      <c r="M161" s="54"/>
      <c r="N161" s="54"/>
      <c r="O161" s="54"/>
      <c r="P161" s="54"/>
      <c r="Q161" s="54"/>
      <c r="R161" s="54"/>
      <c r="S161" s="54"/>
      <c r="T161" s="54"/>
      <c r="U161" s="54"/>
      <c r="V161" s="54"/>
    </row>
    <row r="162" spans="1:22">
      <c r="A162" s="54"/>
      <c r="B162" s="54"/>
      <c r="C162" s="54"/>
      <c r="D162" s="54"/>
      <c r="E162" s="54"/>
      <c r="F162" s="54"/>
      <c r="G162" s="54"/>
      <c r="H162" s="54"/>
      <c r="I162" s="54"/>
      <c r="J162" s="54"/>
      <c r="K162" s="54"/>
      <c r="L162" s="54"/>
      <c r="M162" s="54"/>
      <c r="N162" s="54"/>
      <c r="O162" s="54"/>
      <c r="P162" s="54"/>
      <c r="Q162" s="54"/>
      <c r="R162" s="54"/>
      <c r="S162" s="54"/>
      <c r="T162" s="54"/>
      <c r="U162" s="54"/>
      <c r="V162" s="54"/>
    </row>
    <row r="163" spans="1:22">
      <c r="A163" s="54"/>
      <c r="B163" s="54"/>
      <c r="C163" s="54"/>
      <c r="D163" s="54"/>
      <c r="E163" s="54"/>
      <c r="F163" s="54"/>
      <c r="G163" s="54"/>
      <c r="H163" s="54"/>
      <c r="I163" s="54"/>
      <c r="J163" s="54"/>
      <c r="K163" s="54"/>
      <c r="L163" s="54"/>
      <c r="M163" s="54"/>
      <c r="N163" s="54"/>
      <c r="O163" s="54"/>
      <c r="P163" s="54"/>
      <c r="Q163" s="54"/>
      <c r="R163" s="54"/>
      <c r="S163" s="54"/>
      <c r="T163" s="54"/>
      <c r="U163" s="54"/>
      <c r="V163" s="54"/>
    </row>
    <row r="164" spans="1:22">
      <c r="A164" s="54"/>
      <c r="B164" s="54"/>
      <c r="C164" s="54"/>
      <c r="D164" s="54"/>
      <c r="E164" s="54"/>
      <c r="F164" s="54"/>
      <c r="G164" s="54"/>
      <c r="H164" s="54"/>
      <c r="I164" s="54"/>
      <c r="J164" s="54"/>
      <c r="K164" s="54"/>
      <c r="L164" s="54"/>
      <c r="M164" s="54"/>
      <c r="N164" s="54"/>
      <c r="O164" s="54"/>
      <c r="P164" s="54"/>
      <c r="Q164" s="54"/>
      <c r="R164" s="54"/>
      <c r="S164" s="54"/>
      <c r="T164" s="54"/>
      <c r="U164" s="54"/>
      <c r="V164" s="54"/>
    </row>
    <row r="165" spans="1:22">
      <c r="A165" s="54"/>
      <c r="B165" s="54"/>
      <c r="C165" s="54"/>
      <c r="D165" s="54"/>
      <c r="E165" s="54"/>
      <c r="F165" s="54"/>
      <c r="G165" s="54"/>
      <c r="H165" s="54"/>
      <c r="I165" s="54"/>
      <c r="J165" s="54"/>
      <c r="K165" s="54"/>
      <c r="L165" s="54"/>
      <c r="M165" s="54"/>
      <c r="N165" s="54"/>
      <c r="O165" s="54"/>
      <c r="P165" s="54"/>
      <c r="Q165" s="54"/>
      <c r="R165" s="54"/>
      <c r="S165" s="54"/>
      <c r="T165" s="54"/>
      <c r="U165" s="54"/>
      <c r="V165" s="54"/>
    </row>
    <row r="166" spans="1:22">
      <c r="A166" s="54"/>
      <c r="B166" s="54"/>
      <c r="C166" s="54"/>
      <c r="D166" s="54"/>
      <c r="E166" s="54"/>
      <c r="F166" s="54"/>
      <c r="G166" s="54"/>
      <c r="H166" s="54"/>
      <c r="I166" s="54"/>
      <c r="J166" s="54"/>
      <c r="K166" s="54"/>
      <c r="L166" s="54"/>
      <c r="M166" s="54"/>
      <c r="N166" s="54"/>
      <c r="O166" s="54"/>
      <c r="P166" s="54"/>
      <c r="Q166" s="54"/>
      <c r="R166" s="54"/>
      <c r="S166" s="54"/>
      <c r="T166" s="54"/>
      <c r="U166" s="54"/>
      <c r="V166" s="54"/>
    </row>
    <row r="167" spans="1:22">
      <c r="A167" s="54"/>
      <c r="B167" s="54"/>
      <c r="C167" s="54"/>
      <c r="D167" s="54"/>
      <c r="E167" s="54"/>
      <c r="F167" s="54"/>
      <c r="G167" s="54"/>
      <c r="H167" s="54"/>
      <c r="I167" s="54"/>
      <c r="J167" s="54"/>
      <c r="K167" s="54"/>
      <c r="L167" s="54"/>
      <c r="M167" s="54"/>
      <c r="N167" s="54"/>
      <c r="O167" s="54"/>
      <c r="P167" s="54"/>
      <c r="Q167" s="54"/>
      <c r="R167" s="54"/>
      <c r="S167" s="54"/>
      <c r="T167" s="54"/>
      <c r="U167" s="54"/>
      <c r="V167" s="54"/>
    </row>
    <row r="168" spans="1:22">
      <c r="A168" s="54"/>
      <c r="B168" s="54"/>
      <c r="C168" s="54"/>
      <c r="D168" s="54"/>
      <c r="E168" s="54"/>
      <c r="F168" s="54"/>
      <c r="G168" s="54"/>
      <c r="H168" s="54"/>
      <c r="I168" s="54"/>
      <c r="J168" s="54"/>
      <c r="K168" s="54"/>
      <c r="L168" s="54"/>
      <c r="M168" s="54"/>
      <c r="N168" s="54"/>
      <c r="O168" s="54"/>
      <c r="P168" s="54"/>
      <c r="Q168" s="54"/>
      <c r="R168" s="54"/>
      <c r="S168" s="54"/>
      <c r="T168" s="54"/>
      <c r="U168" s="54"/>
      <c r="V168" s="54"/>
    </row>
    <row r="169" spans="1:22">
      <c r="A169" s="54"/>
      <c r="B169" s="54"/>
      <c r="C169" s="54"/>
      <c r="D169" s="54"/>
      <c r="E169" s="54"/>
      <c r="F169" s="54"/>
      <c r="G169" s="54"/>
      <c r="H169" s="54"/>
      <c r="I169" s="54"/>
      <c r="J169" s="54"/>
      <c r="K169" s="54"/>
      <c r="L169" s="54"/>
      <c r="M169" s="54"/>
      <c r="N169" s="54"/>
      <c r="O169" s="54"/>
      <c r="P169" s="54"/>
      <c r="Q169" s="54"/>
      <c r="R169" s="54"/>
      <c r="S169" s="54"/>
      <c r="T169" s="54"/>
      <c r="U169" s="54"/>
      <c r="V169" s="54"/>
    </row>
    <row r="170" spans="1:22">
      <c r="A170" s="54"/>
      <c r="B170" s="54"/>
      <c r="C170" s="54"/>
      <c r="D170" s="54"/>
      <c r="E170" s="54"/>
      <c r="F170" s="54"/>
      <c r="G170" s="54"/>
      <c r="H170" s="54"/>
      <c r="I170" s="54"/>
      <c r="J170" s="54"/>
      <c r="K170" s="54"/>
      <c r="L170" s="54"/>
      <c r="M170" s="54"/>
      <c r="N170" s="54"/>
      <c r="O170" s="54"/>
      <c r="P170" s="54"/>
      <c r="Q170" s="54"/>
      <c r="R170" s="54"/>
      <c r="S170" s="54"/>
      <c r="T170" s="54"/>
      <c r="U170" s="54"/>
      <c r="V170" s="54"/>
    </row>
    <row r="171" spans="1:22">
      <c r="A171" s="54"/>
      <c r="B171" s="54"/>
      <c r="C171" s="54"/>
      <c r="D171" s="54"/>
      <c r="E171" s="54"/>
      <c r="F171" s="54"/>
      <c r="G171" s="54"/>
      <c r="H171" s="54"/>
      <c r="I171" s="54"/>
      <c r="J171" s="54"/>
      <c r="K171" s="54"/>
      <c r="L171" s="54"/>
      <c r="M171" s="54"/>
      <c r="N171" s="54"/>
      <c r="O171" s="54"/>
      <c r="P171" s="54"/>
      <c r="Q171" s="54"/>
      <c r="R171" s="54"/>
      <c r="S171" s="54"/>
      <c r="T171" s="54"/>
      <c r="U171" s="54"/>
      <c r="V171" s="54"/>
    </row>
    <row r="172" spans="1:22">
      <c r="A172" s="54"/>
      <c r="B172" s="54"/>
      <c r="C172" s="54"/>
      <c r="D172" s="54"/>
      <c r="E172" s="54"/>
      <c r="F172" s="54"/>
      <c r="G172" s="54"/>
      <c r="H172" s="54"/>
      <c r="I172" s="54"/>
      <c r="J172" s="54"/>
      <c r="K172" s="54"/>
      <c r="L172" s="54"/>
      <c r="M172" s="54"/>
      <c r="N172" s="54"/>
      <c r="O172" s="54"/>
      <c r="P172" s="54"/>
      <c r="Q172" s="54"/>
      <c r="R172" s="54"/>
      <c r="S172" s="54"/>
      <c r="T172" s="54"/>
      <c r="U172" s="54"/>
      <c r="V172" s="54"/>
    </row>
    <row r="173" spans="1:22">
      <c r="A173" s="54"/>
      <c r="B173" s="54"/>
      <c r="C173" s="54"/>
      <c r="D173" s="54"/>
      <c r="E173" s="54"/>
      <c r="F173" s="54"/>
      <c r="G173" s="54"/>
      <c r="H173" s="54"/>
      <c r="I173" s="54"/>
      <c r="J173" s="54"/>
      <c r="K173" s="54"/>
      <c r="L173" s="54"/>
      <c r="M173" s="54"/>
      <c r="N173" s="54"/>
      <c r="O173" s="54"/>
      <c r="P173" s="54"/>
      <c r="Q173" s="54"/>
      <c r="R173" s="54"/>
      <c r="S173" s="54"/>
      <c r="T173" s="54"/>
      <c r="U173" s="54"/>
      <c r="V173" s="54"/>
    </row>
    <row r="174" spans="1:22">
      <c r="A174" s="54"/>
      <c r="B174" s="54"/>
      <c r="C174" s="54"/>
      <c r="D174" s="54"/>
      <c r="E174" s="54"/>
      <c r="F174" s="54"/>
      <c r="G174" s="54"/>
      <c r="H174" s="54"/>
      <c r="I174" s="54"/>
      <c r="J174" s="54"/>
      <c r="K174" s="54"/>
      <c r="L174" s="54"/>
      <c r="M174" s="54"/>
      <c r="N174" s="54"/>
      <c r="O174" s="54"/>
      <c r="P174" s="54"/>
      <c r="Q174" s="54"/>
      <c r="R174" s="54"/>
      <c r="S174" s="54"/>
      <c r="T174" s="54"/>
      <c r="U174" s="54"/>
      <c r="V174" s="54"/>
    </row>
    <row r="175" spans="1:22">
      <c r="A175" s="54"/>
      <c r="B175" s="54"/>
      <c r="C175" s="54"/>
      <c r="D175" s="54"/>
      <c r="E175" s="54"/>
      <c r="F175" s="54"/>
      <c r="G175" s="54"/>
      <c r="H175" s="54"/>
      <c r="I175" s="54"/>
      <c r="J175" s="54"/>
      <c r="K175" s="54"/>
      <c r="L175" s="54"/>
      <c r="M175" s="54"/>
      <c r="N175" s="54"/>
      <c r="O175" s="54"/>
      <c r="P175" s="54"/>
      <c r="Q175" s="54"/>
      <c r="R175" s="54"/>
      <c r="S175" s="54"/>
      <c r="T175" s="54"/>
      <c r="U175" s="54"/>
      <c r="V175" s="54"/>
    </row>
    <row r="176" spans="1:22">
      <c r="A176" s="54"/>
      <c r="B176" s="54"/>
      <c r="C176" s="54"/>
      <c r="D176" s="54"/>
      <c r="E176" s="54"/>
      <c r="F176" s="54"/>
      <c r="G176" s="54"/>
      <c r="H176" s="54"/>
      <c r="I176" s="54"/>
      <c r="J176" s="54"/>
      <c r="K176" s="54"/>
      <c r="L176" s="54"/>
      <c r="M176" s="54"/>
      <c r="N176" s="54"/>
      <c r="O176" s="54"/>
      <c r="P176" s="54"/>
      <c r="Q176" s="54"/>
      <c r="R176" s="54"/>
      <c r="S176" s="54"/>
      <c r="T176" s="54"/>
      <c r="U176" s="54"/>
      <c r="V176" s="54"/>
    </row>
    <row r="177" spans="1:22">
      <c r="A177" s="54"/>
      <c r="B177" s="54"/>
      <c r="C177" s="54"/>
      <c r="D177" s="54"/>
      <c r="E177" s="54"/>
      <c r="F177" s="54"/>
      <c r="G177" s="54"/>
      <c r="H177" s="54"/>
      <c r="I177" s="54"/>
      <c r="J177" s="54"/>
      <c r="K177" s="54"/>
      <c r="L177" s="54"/>
      <c r="M177" s="54"/>
      <c r="N177" s="54"/>
      <c r="O177" s="54"/>
      <c r="P177" s="54"/>
      <c r="Q177" s="54"/>
      <c r="R177" s="54"/>
      <c r="S177" s="54"/>
      <c r="T177" s="54"/>
      <c r="U177" s="54"/>
      <c r="V177" s="54"/>
    </row>
    <row r="178" spans="1:22">
      <c r="A178" s="54"/>
      <c r="B178" s="54"/>
      <c r="C178" s="54"/>
      <c r="D178" s="54"/>
      <c r="E178" s="54"/>
      <c r="F178" s="54"/>
      <c r="G178" s="54"/>
      <c r="H178" s="54"/>
      <c r="I178" s="54"/>
      <c r="J178" s="54"/>
      <c r="K178" s="54"/>
      <c r="L178" s="54"/>
      <c r="M178" s="54"/>
      <c r="N178" s="54"/>
      <c r="O178" s="54"/>
      <c r="P178" s="54"/>
      <c r="Q178" s="54"/>
      <c r="R178" s="54"/>
      <c r="S178" s="54"/>
      <c r="T178" s="54"/>
      <c r="U178" s="54"/>
      <c r="V178" s="54"/>
    </row>
    <row r="179" spans="1:22">
      <c r="A179" s="54"/>
      <c r="B179" s="54"/>
      <c r="C179" s="54"/>
      <c r="D179" s="54"/>
      <c r="E179" s="54"/>
      <c r="F179" s="54"/>
      <c r="G179" s="54"/>
      <c r="H179" s="54"/>
      <c r="I179" s="54"/>
      <c r="J179" s="54"/>
      <c r="K179" s="54"/>
      <c r="L179" s="54"/>
      <c r="M179" s="54"/>
      <c r="N179" s="54"/>
      <c r="O179" s="54"/>
      <c r="P179" s="54"/>
      <c r="Q179" s="54"/>
      <c r="R179" s="54"/>
      <c r="S179" s="54"/>
      <c r="T179" s="54"/>
      <c r="U179" s="54"/>
      <c r="V179" s="54"/>
    </row>
    <row r="180" spans="1:22">
      <c r="A180" s="54"/>
      <c r="B180" s="54"/>
      <c r="C180" s="54"/>
      <c r="D180" s="54"/>
      <c r="E180" s="54"/>
      <c r="F180" s="54"/>
      <c r="G180" s="54"/>
      <c r="H180" s="54"/>
      <c r="I180" s="54"/>
      <c r="J180" s="54"/>
      <c r="K180" s="54"/>
      <c r="L180" s="54"/>
      <c r="M180" s="54"/>
      <c r="N180" s="54"/>
      <c r="O180" s="54"/>
      <c r="P180" s="54"/>
      <c r="Q180" s="54"/>
      <c r="R180" s="54"/>
      <c r="S180" s="54"/>
      <c r="T180" s="54"/>
      <c r="U180" s="54"/>
      <c r="V180" s="54"/>
    </row>
    <row r="181" spans="1:22">
      <c r="A181" s="54"/>
      <c r="B181" s="54"/>
      <c r="C181" s="54"/>
      <c r="D181" s="54"/>
      <c r="E181" s="54"/>
      <c r="F181" s="54"/>
      <c r="G181" s="54"/>
      <c r="H181" s="54"/>
      <c r="I181" s="54"/>
      <c r="J181" s="54"/>
      <c r="K181" s="54"/>
      <c r="L181" s="54"/>
      <c r="M181" s="54"/>
      <c r="N181" s="54"/>
      <c r="O181" s="54"/>
      <c r="P181" s="54"/>
      <c r="Q181" s="54"/>
      <c r="R181" s="54"/>
      <c r="S181" s="54"/>
      <c r="T181" s="54"/>
      <c r="U181" s="54"/>
      <c r="V181" s="54"/>
    </row>
    <row r="182" spans="1:22">
      <c r="A182" s="54"/>
      <c r="B182" s="54"/>
      <c r="C182" s="54"/>
      <c r="D182" s="54"/>
      <c r="E182" s="54"/>
      <c r="F182" s="54"/>
      <c r="G182" s="54"/>
      <c r="H182" s="54"/>
      <c r="I182" s="54"/>
      <c r="J182" s="54"/>
      <c r="K182" s="54"/>
      <c r="L182" s="54"/>
      <c r="M182" s="54"/>
      <c r="N182" s="54"/>
      <c r="O182" s="54"/>
      <c r="P182" s="54"/>
      <c r="Q182" s="54"/>
      <c r="R182" s="54"/>
      <c r="S182" s="54"/>
      <c r="T182" s="54"/>
      <c r="U182" s="54"/>
      <c r="V182" s="54"/>
    </row>
    <row r="183" spans="1:22">
      <c r="A183" s="54"/>
      <c r="B183" s="54"/>
      <c r="C183" s="54"/>
      <c r="D183" s="54"/>
      <c r="E183" s="54"/>
      <c r="F183" s="54"/>
      <c r="G183" s="54"/>
      <c r="H183" s="54"/>
      <c r="I183" s="54"/>
      <c r="J183" s="54"/>
      <c r="K183" s="54"/>
      <c r="L183" s="54"/>
      <c r="M183" s="54"/>
      <c r="N183" s="54"/>
      <c r="O183" s="54"/>
      <c r="P183" s="54"/>
      <c r="Q183" s="54"/>
      <c r="R183" s="54"/>
      <c r="S183" s="54"/>
      <c r="T183" s="54"/>
      <c r="U183" s="54"/>
      <c r="V183" s="54"/>
    </row>
    <row r="184" spans="1:22">
      <c r="A184" s="54"/>
      <c r="B184" s="54"/>
      <c r="C184" s="54"/>
      <c r="D184" s="54"/>
      <c r="E184" s="54"/>
      <c r="F184" s="54"/>
      <c r="G184" s="54"/>
      <c r="H184" s="54"/>
      <c r="I184" s="54"/>
      <c r="J184" s="54"/>
      <c r="K184" s="54"/>
      <c r="L184" s="54"/>
      <c r="M184" s="54"/>
      <c r="N184" s="54"/>
      <c r="O184" s="54"/>
      <c r="P184" s="54"/>
      <c r="Q184" s="54"/>
      <c r="R184" s="54"/>
      <c r="S184" s="54"/>
      <c r="T184" s="54"/>
      <c r="U184" s="54"/>
      <c r="V184" s="54"/>
    </row>
    <row r="185" spans="1:22">
      <c r="A185" s="54"/>
      <c r="B185" s="54"/>
      <c r="C185" s="54"/>
      <c r="D185" s="54"/>
      <c r="E185" s="54"/>
      <c r="F185" s="54"/>
      <c r="G185" s="54"/>
      <c r="H185" s="54"/>
      <c r="I185" s="54"/>
      <c r="J185" s="54"/>
      <c r="K185" s="54"/>
      <c r="L185" s="54"/>
      <c r="M185" s="54"/>
      <c r="N185" s="54"/>
      <c r="O185" s="54"/>
      <c r="P185" s="54"/>
      <c r="Q185" s="54"/>
      <c r="R185" s="54"/>
      <c r="S185" s="54"/>
      <c r="T185" s="54"/>
      <c r="U185" s="54"/>
      <c r="V185" s="54"/>
    </row>
    <row r="186" spans="1:22">
      <c r="A186" s="54"/>
      <c r="B186" s="54"/>
      <c r="C186" s="54"/>
      <c r="D186" s="54"/>
      <c r="E186" s="54"/>
      <c r="F186" s="54"/>
      <c r="G186" s="54"/>
      <c r="H186" s="54"/>
      <c r="I186" s="54"/>
      <c r="J186" s="54"/>
      <c r="K186" s="54"/>
      <c r="L186" s="54"/>
      <c r="M186" s="54"/>
      <c r="N186" s="54"/>
      <c r="O186" s="54"/>
      <c r="P186" s="54"/>
      <c r="Q186" s="54"/>
      <c r="R186" s="54"/>
      <c r="S186" s="54"/>
      <c r="T186" s="54"/>
      <c r="U186" s="54"/>
      <c r="V186" s="54"/>
    </row>
    <row r="187" spans="1:22">
      <c r="A187" s="54"/>
      <c r="B187" s="54"/>
      <c r="C187" s="54"/>
      <c r="D187" s="54"/>
      <c r="E187" s="54"/>
      <c r="F187" s="54"/>
      <c r="G187" s="54"/>
      <c r="H187" s="54"/>
      <c r="I187" s="54"/>
      <c r="J187" s="54"/>
      <c r="K187" s="54"/>
      <c r="L187" s="54"/>
      <c r="M187" s="54"/>
      <c r="N187" s="54"/>
      <c r="O187" s="54"/>
      <c r="P187" s="54"/>
      <c r="Q187" s="54"/>
      <c r="R187" s="54"/>
      <c r="S187" s="54"/>
      <c r="T187" s="54"/>
      <c r="U187" s="54"/>
      <c r="V187" s="54"/>
    </row>
    <row r="188" spans="1:22">
      <c r="A188" s="54"/>
      <c r="B188" s="54"/>
      <c r="C188" s="54"/>
      <c r="D188" s="54"/>
      <c r="E188" s="54"/>
      <c r="F188" s="54"/>
      <c r="G188" s="54"/>
      <c r="H188" s="54"/>
      <c r="I188" s="54"/>
      <c r="J188" s="54"/>
      <c r="K188" s="54"/>
      <c r="L188" s="54"/>
      <c r="M188" s="54"/>
      <c r="N188" s="54"/>
      <c r="O188" s="54"/>
      <c r="P188" s="54"/>
      <c r="Q188" s="54"/>
      <c r="R188" s="54"/>
      <c r="S188" s="54"/>
      <c r="T188" s="54"/>
      <c r="U188" s="54"/>
      <c r="V188" s="54"/>
    </row>
    <row r="189" spans="1:22">
      <c r="A189" s="54"/>
      <c r="B189" s="54"/>
      <c r="C189" s="54"/>
      <c r="D189" s="54"/>
      <c r="E189" s="54"/>
      <c r="F189" s="54"/>
      <c r="G189" s="54"/>
      <c r="H189" s="54"/>
      <c r="I189" s="54"/>
      <c r="J189" s="54"/>
      <c r="K189" s="54"/>
      <c r="L189" s="54"/>
      <c r="M189" s="54"/>
      <c r="N189" s="54"/>
      <c r="O189" s="54"/>
      <c r="P189" s="54"/>
      <c r="Q189" s="54"/>
      <c r="R189" s="54"/>
      <c r="S189" s="54"/>
      <c r="T189" s="54"/>
      <c r="U189" s="54"/>
      <c r="V189" s="54"/>
    </row>
    <row r="190" spans="1:22">
      <c r="A190" s="54"/>
      <c r="B190" s="54"/>
      <c r="C190" s="54"/>
      <c r="D190" s="54"/>
      <c r="E190" s="54"/>
      <c r="F190" s="54"/>
      <c r="G190" s="54"/>
      <c r="H190" s="54"/>
      <c r="I190" s="54"/>
      <c r="J190" s="54"/>
      <c r="K190" s="54"/>
      <c r="L190" s="54"/>
      <c r="M190" s="54"/>
      <c r="N190" s="54"/>
      <c r="O190" s="54"/>
      <c r="P190" s="54"/>
      <c r="Q190" s="54"/>
      <c r="R190" s="54"/>
      <c r="S190" s="54"/>
      <c r="T190" s="54"/>
      <c r="U190" s="54"/>
      <c r="V190" s="54"/>
    </row>
    <row r="191" spans="1:22">
      <c r="A191" s="54"/>
      <c r="B191" s="54"/>
      <c r="C191" s="54"/>
      <c r="D191" s="54"/>
      <c r="E191" s="54"/>
      <c r="F191" s="54"/>
      <c r="G191" s="54"/>
      <c r="H191" s="54"/>
      <c r="I191" s="54"/>
      <c r="J191" s="54"/>
      <c r="K191" s="54"/>
      <c r="L191" s="54"/>
      <c r="M191" s="54"/>
      <c r="N191" s="54"/>
      <c r="O191" s="54"/>
      <c r="P191" s="54"/>
      <c r="Q191" s="54"/>
      <c r="R191" s="54"/>
      <c r="S191" s="54"/>
      <c r="T191" s="54"/>
      <c r="U191" s="54"/>
      <c r="V191" s="54"/>
    </row>
    <row r="192" spans="1:22">
      <c r="A192" s="54"/>
      <c r="B192" s="54"/>
      <c r="C192" s="54"/>
      <c r="D192" s="54"/>
      <c r="E192" s="54"/>
      <c r="F192" s="54"/>
      <c r="G192" s="54"/>
      <c r="H192" s="54"/>
      <c r="I192" s="54"/>
      <c r="J192" s="54"/>
      <c r="K192" s="54"/>
      <c r="L192" s="54"/>
      <c r="M192" s="54"/>
      <c r="N192" s="54"/>
      <c r="O192" s="54"/>
      <c r="P192" s="54"/>
      <c r="Q192" s="54"/>
      <c r="R192" s="54"/>
      <c r="S192" s="54"/>
      <c r="T192" s="54"/>
      <c r="U192" s="54"/>
      <c r="V192" s="54"/>
    </row>
    <row r="193" spans="1:22">
      <c r="A193" s="54"/>
      <c r="B193" s="54"/>
      <c r="C193" s="54"/>
      <c r="D193" s="54"/>
      <c r="E193" s="54"/>
      <c r="F193" s="54"/>
      <c r="G193" s="54"/>
      <c r="H193" s="54"/>
      <c r="I193" s="54"/>
      <c r="J193" s="54"/>
      <c r="K193" s="54"/>
      <c r="L193" s="54"/>
      <c r="M193" s="54"/>
      <c r="N193" s="54"/>
      <c r="O193" s="54"/>
      <c r="P193" s="54"/>
      <c r="Q193" s="54"/>
      <c r="R193" s="54"/>
      <c r="S193" s="54"/>
      <c r="T193" s="54"/>
      <c r="U193" s="54"/>
      <c r="V193" s="54"/>
    </row>
    <row r="194" spans="1:22">
      <c r="A194" s="54"/>
      <c r="B194" s="54"/>
      <c r="C194" s="54"/>
      <c r="D194" s="54"/>
      <c r="E194" s="54"/>
      <c r="F194" s="54"/>
      <c r="G194" s="54"/>
      <c r="H194" s="54"/>
      <c r="I194" s="54"/>
      <c r="J194" s="54"/>
      <c r="K194" s="54"/>
      <c r="L194" s="54"/>
      <c r="M194" s="54"/>
      <c r="N194" s="54"/>
      <c r="O194" s="54"/>
      <c r="P194" s="54"/>
      <c r="Q194" s="54"/>
      <c r="R194" s="54"/>
      <c r="S194" s="54"/>
      <c r="T194" s="54"/>
      <c r="U194" s="54"/>
      <c r="V194" s="54"/>
    </row>
    <row r="195" spans="1:22">
      <c r="A195" s="54"/>
      <c r="B195" s="54"/>
      <c r="C195" s="54"/>
      <c r="D195" s="54"/>
      <c r="E195" s="54"/>
      <c r="F195" s="54"/>
      <c r="G195" s="54"/>
      <c r="H195" s="54"/>
      <c r="I195" s="54"/>
      <c r="J195" s="54"/>
      <c r="K195" s="54"/>
      <c r="L195" s="54"/>
      <c r="M195" s="54"/>
      <c r="N195" s="54"/>
      <c r="O195" s="54"/>
      <c r="P195" s="54"/>
      <c r="Q195" s="54"/>
      <c r="R195" s="54"/>
      <c r="S195" s="54"/>
      <c r="T195" s="54"/>
      <c r="U195" s="54"/>
      <c r="V195" s="54"/>
    </row>
    <row r="196" spans="1:22">
      <c r="A196" s="54"/>
      <c r="B196" s="54"/>
      <c r="C196" s="54"/>
      <c r="D196" s="54"/>
      <c r="E196" s="54"/>
      <c r="F196" s="54"/>
      <c r="G196" s="54"/>
      <c r="H196" s="54"/>
      <c r="I196" s="54"/>
      <c r="J196" s="54"/>
      <c r="K196" s="54"/>
      <c r="L196" s="54"/>
      <c r="M196" s="54"/>
      <c r="N196" s="54"/>
      <c r="O196" s="54"/>
      <c r="P196" s="54"/>
      <c r="Q196" s="54"/>
      <c r="R196" s="54"/>
      <c r="S196" s="54"/>
      <c r="T196" s="54"/>
      <c r="U196" s="54"/>
      <c r="V196" s="54"/>
    </row>
    <row r="197" spans="1:22">
      <c r="A197" s="54"/>
      <c r="B197" s="54"/>
      <c r="C197" s="54"/>
      <c r="D197" s="54"/>
      <c r="E197" s="54"/>
      <c r="F197" s="54"/>
      <c r="G197" s="54"/>
      <c r="H197" s="54"/>
      <c r="I197" s="54"/>
      <c r="J197" s="54"/>
      <c r="K197" s="54"/>
      <c r="L197" s="54"/>
      <c r="M197" s="54"/>
      <c r="N197" s="54"/>
      <c r="O197" s="54"/>
      <c r="P197" s="54"/>
      <c r="Q197" s="54"/>
      <c r="R197" s="54"/>
      <c r="S197" s="54"/>
      <c r="T197" s="54"/>
      <c r="U197" s="54"/>
      <c r="V197" s="54"/>
    </row>
    <row r="198" spans="1:22">
      <c r="A198" s="54"/>
      <c r="B198" s="54"/>
      <c r="C198" s="54"/>
      <c r="D198" s="54"/>
      <c r="E198" s="54"/>
      <c r="F198" s="54"/>
      <c r="G198" s="54"/>
      <c r="H198" s="54"/>
      <c r="I198" s="54"/>
      <c r="J198" s="54"/>
      <c r="K198" s="54"/>
      <c r="L198" s="54"/>
      <c r="M198" s="54"/>
      <c r="N198" s="54"/>
      <c r="O198" s="54"/>
      <c r="P198" s="54"/>
      <c r="Q198" s="54"/>
      <c r="R198" s="54"/>
      <c r="S198" s="54"/>
      <c r="T198" s="54"/>
      <c r="U198" s="54"/>
      <c r="V198" s="54"/>
    </row>
    <row r="199" spans="1:22">
      <c r="A199" s="54"/>
      <c r="B199" s="54"/>
      <c r="C199" s="54"/>
      <c r="D199" s="54"/>
      <c r="E199" s="54"/>
      <c r="F199" s="54"/>
      <c r="G199" s="54"/>
      <c r="H199" s="54"/>
      <c r="I199" s="54"/>
      <c r="J199" s="54"/>
      <c r="K199" s="54"/>
      <c r="L199" s="54"/>
      <c r="M199" s="54"/>
      <c r="N199" s="54"/>
      <c r="O199" s="54"/>
      <c r="P199" s="54"/>
      <c r="Q199" s="54"/>
      <c r="R199" s="54"/>
      <c r="S199" s="54"/>
      <c r="T199" s="54"/>
      <c r="U199" s="54"/>
      <c r="V199" s="54"/>
    </row>
    <row r="200" spans="1:22">
      <c r="A200" s="54"/>
      <c r="B200" s="54"/>
      <c r="C200" s="54"/>
      <c r="D200" s="54"/>
      <c r="E200" s="54"/>
      <c r="F200" s="54"/>
      <c r="G200" s="54"/>
      <c r="H200" s="54"/>
      <c r="I200" s="54"/>
      <c r="J200" s="54"/>
      <c r="K200" s="54"/>
      <c r="L200" s="54"/>
      <c r="M200" s="54"/>
      <c r="N200" s="54"/>
      <c r="O200" s="54"/>
      <c r="P200" s="54"/>
      <c r="Q200" s="54"/>
      <c r="R200" s="54"/>
      <c r="S200" s="54"/>
      <c r="T200" s="54"/>
      <c r="U200" s="54"/>
      <c r="V200" s="54"/>
    </row>
    <row r="201" spans="1:22">
      <c r="A201" s="54"/>
      <c r="B201" s="54"/>
      <c r="C201" s="54"/>
      <c r="D201" s="54"/>
      <c r="E201" s="54"/>
      <c r="F201" s="54"/>
      <c r="G201" s="54"/>
      <c r="H201" s="54"/>
      <c r="I201" s="54"/>
      <c r="J201" s="54"/>
      <c r="K201" s="54"/>
      <c r="L201" s="54"/>
      <c r="M201" s="54"/>
      <c r="N201" s="54"/>
      <c r="O201" s="54"/>
      <c r="P201" s="54"/>
      <c r="Q201" s="54"/>
      <c r="R201" s="54"/>
      <c r="S201" s="54"/>
      <c r="T201" s="54"/>
      <c r="U201" s="54"/>
      <c r="V201" s="54"/>
    </row>
    <row r="202" spans="1:22">
      <c r="A202" s="54"/>
      <c r="B202" s="54"/>
      <c r="C202" s="54"/>
      <c r="D202" s="54"/>
      <c r="E202" s="54"/>
      <c r="F202" s="54"/>
      <c r="G202" s="54"/>
      <c r="H202" s="54"/>
      <c r="I202" s="54"/>
      <c r="J202" s="54"/>
      <c r="K202" s="54"/>
      <c r="L202" s="54"/>
      <c r="M202" s="54"/>
      <c r="N202" s="54"/>
      <c r="O202" s="54"/>
      <c r="P202" s="54"/>
      <c r="Q202" s="54"/>
      <c r="R202" s="54"/>
      <c r="S202" s="54"/>
      <c r="T202" s="54"/>
      <c r="U202" s="54"/>
      <c r="V202" s="54"/>
    </row>
    <row r="203" spans="1:22">
      <c r="A203" s="54"/>
      <c r="B203" s="54"/>
      <c r="C203" s="54"/>
      <c r="D203" s="54"/>
      <c r="E203" s="54"/>
      <c r="F203" s="54"/>
      <c r="G203" s="54"/>
      <c r="H203" s="54"/>
      <c r="I203" s="54"/>
      <c r="J203" s="54"/>
      <c r="K203" s="54"/>
      <c r="L203" s="54"/>
      <c r="M203" s="54"/>
      <c r="N203" s="54"/>
      <c r="O203" s="54"/>
      <c r="P203" s="54"/>
      <c r="Q203" s="54"/>
      <c r="R203" s="54"/>
      <c r="S203" s="54"/>
      <c r="T203" s="54"/>
      <c r="U203" s="54"/>
      <c r="V203" s="54"/>
    </row>
    <row r="204" spans="1:22">
      <c r="A204" s="54"/>
      <c r="B204" s="54"/>
      <c r="C204" s="54"/>
      <c r="D204" s="54"/>
      <c r="E204" s="54"/>
      <c r="F204" s="54"/>
      <c r="G204" s="54"/>
      <c r="H204" s="54"/>
      <c r="I204" s="54"/>
      <c r="J204" s="54"/>
      <c r="K204" s="54"/>
      <c r="L204" s="54"/>
      <c r="M204" s="54"/>
      <c r="N204" s="54"/>
      <c r="O204" s="54"/>
      <c r="P204" s="54"/>
      <c r="Q204" s="54"/>
      <c r="R204" s="54"/>
      <c r="S204" s="54"/>
      <c r="T204" s="54"/>
      <c r="U204" s="54"/>
      <c r="V204" s="54"/>
    </row>
    <row r="205" spans="1:22">
      <c r="A205" s="54"/>
      <c r="B205" s="54"/>
      <c r="C205" s="54"/>
      <c r="D205" s="54"/>
      <c r="E205" s="54"/>
      <c r="F205" s="54"/>
      <c r="G205" s="54"/>
      <c r="H205" s="54"/>
      <c r="I205" s="54"/>
      <c r="J205" s="54"/>
      <c r="K205" s="54"/>
      <c r="L205" s="54"/>
      <c r="M205" s="54"/>
      <c r="N205" s="54"/>
      <c r="O205" s="54"/>
      <c r="P205" s="54"/>
      <c r="Q205" s="54"/>
      <c r="R205" s="54"/>
      <c r="S205" s="54"/>
      <c r="T205" s="54"/>
      <c r="U205" s="54"/>
      <c r="V205" s="54"/>
    </row>
    <row r="206" spans="1:22">
      <c r="A206" s="54"/>
      <c r="B206" s="54"/>
      <c r="C206" s="54"/>
      <c r="D206" s="54"/>
      <c r="E206" s="54"/>
      <c r="F206" s="54"/>
      <c r="G206" s="54"/>
      <c r="H206" s="54"/>
      <c r="I206" s="54"/>
      <c r="J206" s="54"/>
      <c r="K206" s="54"/>
      <c r="L206" s="54"/>
      <c r="M206" s="54"/>
      <c r="N206" s="54"/>
      <c r="O206" s="54"/>
      <c r="P206" s="54"/>
      <c r="Q206" s="54"/>
      <c r="R206" s="54"/>
      <c r="S206" s="54"/>
      <c r="T206" s="54"/>
      <c r="U206" s="54"/>
      <c r="V206" s="54"/>
    </row>
  </sheetData>
  <mergeCells count="1">
    <mergeCell ref="A1:U1"/>
  </mergeCells>
  <hyperlinks>
    <hyperlink ref="X17" r:id="rId1" xr:uid="{33DF279E-1749-4D30-B2E4-7E8F5A3F59A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FA23-FD23-4DBD-BB5B-010F49244523}">
  <dimension ref="A1:AK18"/>
  <sheetViews>
    <sheetView topLeftCell="J1" zoomScale="70" zoomScaleNormal="70" workbookViewId="0">
      <selection activeCell="AK13" sqref="AK13"/>
    </sheetView>
  </sheetViews>
  <sheetFormatPr defaultRowHeight="13.8"/>
  <cols>
    <col min="1" max="1" width="33.19921875" customWidth="1"/>
    <col min="3" max="22" width="8.8984375" bestFit="1" customWidth="1"/>
    <col min="23" max="30" width="10.09765625" bestFit="1" customWidth="1"/>
    <col min="31" max="31" width="11.09765625" bestFit="1" customWidth="1"/>
    <col min="32" max="35" width="10.09765625" bestFit="1" customWidth="1"/>
  </cols>
  <sheetData>
    <row r="1" spans="1:37" ht="17.399999999999999">
      <c r="A1" s="134" t="s">
        <v>191</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row>
    <row r="2" spans="1:37">
      <c r="A2" s="12"/>
      <c r="B2" s="12">
        <v>1992</v>
      </c>
      <c r="C2" s="12">
        <v>1993</v>
      </c>
      <c r="D2" s="12">
        <v>1994</v>
      </c>
      <c r="E2" s="12">
        <v>1995</v>
      </c>
      <c r="F2" s="12">
        <v>1996</v>
      </c>
      <c r="G2" s="12">
        <v>1997</v>
      </c>
      <c r="H2" s="12">
        <v>1998</v>
      </c>
      <c r="I2" s="12">
        <v>1999</v>
      </c>
      <c r="J2" s="12">
        <v>2000</v>
      </c>
      <c r="K2" s="12">
        <v>2001</v>
      </c>
      <c r="L2" s="12">
        <v>2002</v>
      </c>
      <c r="M2" s="12">
        <v>2003</v>
      </c>
      <c r="N2" s="12">
        <v>2004</v>
      </c>
      <c r="O2" s="12">
        <v>2005</v>
      </c>
      <c r="P2" s="12">
        <v>2006</v>
      </c>
      <c r="Q2" s="12">
        <v>2007</v>
      </c>
      <c r="R2" s="12">
        <v>2008</v>
      </c>
      <c r="S2" s="12">
        <v>2009</v>
      </c>
      <c r="T2" s="12">
        <v>2010</v>
      </c>
      <c r="U2" s="12">
        <v>2011</v>
      </c>
      <c r="V2" s="12">
        <v>2012</v>
      </c>
      <c r="W2" s="12">
        <v>2013</v>
      </c>
      <c r="X2" s="13">
        <v>2014</v>
      </c>
      <c r="Y2" s="13">
        <v>2015</v>
      </c>
      <c r="Z2" s="13">
        <v>2016</v>
      </c>
      <c r="AA2" s="13">
        <v>2017</v>
      </c>
      <c r="AB2" s="13">
        <v>2018</v>
      </c>
      <c r="AC2" s="13">
        <v>2019</v>
      </c>
      <c r="AD2" s="13">
        <v>2020</v>
      </c>
      <c r="AE2" s="13">
        <v>2021</v>
      </c>
      <c r="AF2" s="13">
        <v>2022</v>
      </c>
      <c r="AG2" s="13">
        <v>2023</v>
      </c>
      <c r="AH2" s="13">
        <v>2024</v>
      </c>
      <c r="AI2" s="13">
        <v>2025</v>
      </c>
    </row>
    <row r="3" spans="1:37">
      <c r="A3" t="s">
        <v>64</v>
      </c>
      <c r="B3" s="93">
        <v>0</v>
      </c>
      <c r="C3" s="93">
        <v>0</v>
      </c>
      <c r="D3" s="93">
        <v>0</v>
      </c>
      <c r="E3" s="93">
        <v>0</v>
      </c>
      <c r="F3" s="93">
        <v>0</v>
      </c>
      <c r="G3" s="93">
        <v>0</v>
      </c>
      <c r="H3" s="93">
        <v>0</v>
      </c>
      <c r="I3" s="93">
        <v>0</v>
      </c>
      <c r="J3" s="93">
        <v>0</v>
      </c>
      <c r="K3" s="93">
        <v>0</v>
      </c>
      <c r="L3" s="93">
        <v>0</v>
      </c>
      <c r="M3" s="93">
        <v>0</v>
      </c>
      <c r="N3" s="93">
        <v>0</v>
      </c>
      <c r="O3" s="93">
        <v>0</v>
      </c>
      <c r="P3" s="93">
        <v>0</v>
      </c>
      <c r="Q3" s="93">
        <v>0</v>
      </c>
      <c r="R3" s="93">
        <v>0</v>
      </c>
      <c r="S3" s="93">
        <v>0</v>
      </c>
      <c r="T3" s="93">
        <v>0</v>
      </c>
      <c r="U3" s="93">
        <v>0</v>
      </c>
      <c r="V3" s="93">
        <v>0</v>
      </c>
      <c r="W3" s="93">
        <v>0</v>
      </c>
      <c r="X3" s="93">
        <v>6308</v>
      </c>
      <c r="Y3" s="93">
        <v>8499</v>
      </c>
      <c r="Z3" s="93">
        <v>8105</v>
      </c>
      <c r="AA3" s="93">
        <v>11977</v>
      </c>
      <c r="AB3" s="93">
        <v>11964</v>
      </c>
      <c r="AC3" s="93">
        <v>5980</v>
      </c>
      <c r="AD3" s="93">
        <v>4996</v>
      </c>
      <c r="AE3" s="93">
        <v>6000</v>
      </c>
      <c r="AF3" s="93">
        <v>9982</v>
      </c>
      <c r="AG3" s="93">
        <v>5985</v>
      </c>
      <c r="AH3" s="93">
        <v>9967</v>
      </c>
      <c r="AI3" s="93">
        <v>7979</v>
      </c>
    </row>
    <row r="4" spans="1:37">
      <c r="A4" t="s">
        <v>197</v>
      </c>
      <c r="B4" s="93">
        <v>0</v>
      </c>
      <c r="C4" s="93">
        <v>0</v>
      </c>
      <c r="D4" s="93">
        <v>0</v>
      </c>
      <c r="E4" s="93">
        <v>0</v>
      </c>
      <c r="F4" s="93">
        <v>0</v>
      </c>
      <c r="G4" s="93">
        <v>0</v>
      </c>
      <c r="H4" s="93">
        <v>0</v>
      </c>
      <c r="I4" s="93">
        <v>0</v>
      </c>
      <c r="J4" s="93">
        <v>0</v>
      </c>
      <c r="K4" s="93">
        <v>0</v>
      </c>
      <c r="L4" s="93">
        <v>0</v>
      </c>
      <c r="M4" s="93">
        <v>304</v>
      </c>
      <c r="N4" s="93">
        <v>0</v>
      </c>
      <c r="O4" s="93">
        <v>0</v>
      </c>
      <c r="P4" s="93">
        <v>0</v>
      </c>
      <c r="Q4" s="93">
        <v>0</v>
      </c>
      <c r="R4" s="93">
        <v>0</v>
      </c>
      <c r="S4" s="93">
        <v>0</v>
      </c>
      <c r="T4" s="93">
        <v>0</v>
      </c>
      <c r="U4" s="93">
        <v>0</v>
      </c>
      <c r="V4" s="93">
        <v>0</v>
      </c>
      <c r="W4" s="93">
        <v>0</v>
      </c>
      <c r="X4" s="93">
        <v>0</v>
      </c>
      <c r="Y4" s="93">
        <v>2500</v>
      </c>
      <c r="Z4" s="93">
        <v>3500</v>
      </c>
      <c r="AA4" s="93">
        <v>6496</v>
      </c>
      <c r="AB4" s="93">
        <v>8784</v>
      </c>
      <c r="AC4" s="93">
        <v>10260</v>
      </c>
      <c r="AD4" s="93">
        <v>8773</v>
      </c>
      <c r="AE4" s="93">
        <v>9613</v>
      </c>
      <c r="AF4" s="93">
        <v>11128</v>
      </c>
      <c r="AG4" s="93">
        <v>9822</v>
      </c>
      <c r="AH4" s="93">
        <v>10912</v>
      </c>
      <c r="AI4" s="93">
        <v>12350</v>
      </c>
    </row>
    <row r="5" spans="1:37" ht="14.4" thickBot="1">
      <c r="A5" s="95" t="s">
        <v>198</v>
      </c>
      <c r="B5" s="96">
        <v>184.46100000000001</v>
      </c>
      <c r="C5" s="96">
        <v>823.18200000000002</v>
      </c>
      <c r="D5" s="96">
        <v>292.2</v>
      </c>
      <c r="E5" s="96">
        <v>461</v>
      </c>
      <c r="F5" s="96">
        <v>186</v>
      </c>
      <c r="G5" s="96">
        <v>25</v>
      </c>
      <c r="H5" s="96">
        <v>0</v>
      </c>
      <c r="I5" s="96">
        <v>0</v>
      </c>
      <c r="J5" s="96">
        <v>0</v>
      </c>
      <c r="K5" s="96">
        <v>0</v>
      </c>
      <c r="L5" s="96">
        <v>0</v>
      </c>
      <c r="M5" s="97">
        <f t="shared" ref="M5:AI5" si="0">M3+M4</f>
        <v>304</v>
      </c>
      <c r="N5" s="97">
        <f t="shared" si="0"/>
        <v>0</v>
      </c>
      <c r="O5" s="97">
        <f t="shared" si="0"/>
        <v>0</v>
      </c>
      <c r="P5" s="97">
        <f t="shared" si="0"/>
        <v>0</v>
      </c>
      <c r="Q5" s="97">
        <f t="shared" si="0"/>
        <v>0</v>
      </c>
      <c r="R5" s="97">
        <f t="shared" si="0"/>
        <v>0</v>
      </c>
      <c r="S5" s="97">
        <f t="shared" si="0"/>
        <v>0</v>
      </c>
      <c r="T5" s="97">
        <f t="shared" si="0"/>
        <v>0</v>
      </c>
      <c r="U5" s="97">
        <f t="shared" si="0"/>
        <v>0</v>
      </c>
      <c r="V5" s="97">
        <f t="shared" si="0"/>
        <v>0</v>
      </c>
      <c r="W5" s="97">
        <f t="shared" si="0"/>
        <v>0</v>
      </c>
      <c r="X5" s="97">
        <f t="shared" si="0"/>
        <v>6308</v>
      </c>
      <c r="Y5" s="97">
        <f t="shared" si="0"/>
        <v>10999</v>
      </c>
      <c r="Z5" s="97">
        <f t="shared" si="0"/>
        <v>11605</v>
      </c>
      <c r="AA5" s="97">
        <f t="shared" si="0"/>
        <v>18473</v>
      </c>
      <c r="AB5" s="97">
        <f t="shared" si="0"/>
        <v>20748</v>
      </c>
      <c r="AC5" s="97">
        <f t="shared" si="0"/>
        <v>16240</v>
      </c>
      <c r="AD5" s="97">
        <f t="shared" si="0"/>
        <v>13769</v>
      </c>
      <c r="AE5" s="97">
        <f t="shared" si="0"/>
        <v>15613</v>
      </c>
      <c r="AF5" s="97">
        <f t="shared" si="0"/>
        <v>21110</v>
      </c>
      <c r="AG5" s="97">
        <f t="shared" si="0"/>
        <v>15807</v>
      </c>
      <c r="AH5" s="97">
        <f t="shared" si="0"/>
        <v>20879</v>
      </c>
      <c r="AI5" s="97">
        <f t="shared" si="0"/>
        <v>20329</v>
      </c>
    </row>
    <row r="6" spans="1:37">
      <c r="B6" s="93"/>
      <c r="C6" s="93"/>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row>
    <row r="7" spans="1:37">
      <c r="A7" t="s">
        <v>196</v>
      </c>
      <c r="B7" s="94">
        <f t="shared" ref="B7:B8" si="1">B6+B3</f>
        <v>0</v>
      </c>
      <c r="C7" s="93">
        <v>7</v>
      </c>
      <c r="D7" s="93">
        <v>304</v>
      </c>
      <c r="E7" s="93">
        <v>303</v>
      </c>
      <c r="F7" s="93">
        <v>949</v>
      </c>
      <c r="G7" s="93">
        <v>951</v>
      </c>
      <c r="H7" s="93">
        <v>954</v>
      </c>
      <c r="I7" s="93">
        <v>300</v>
      </c>
      <c r="J7" s="93">
        <v>300</v>
      </c>
      <c r="K7" s="93">
        <v>317</v>
      </c>
      <c r="L7" s="93">
        <v>316</v>
      </c>
      <c r="M7" s="93">
        <v>0</v>
      </c>
      <c r="N7" s="93">
        <v>0</v>
      </c>
      <c r="O7" s="93">
        <v>0</v>
      </c>
      <c r="P7" s="93">
        <v>0</v>
      </c>
      <c r="Q7" s="93">
        <v>0</v>
      </c>
      <c r="R7" s="93">
        <v>0</v>
      </c>
      <c r="S7" s="93">
        <v>0</v>
      </c>
      <c r="T7" s="93">
        <v>0</v>
      </c>
      <c r="U7" s="93">
        <v>0</v>
      </c>
      <c r="V7" s="93">
        <v>0</v>
      </c>
      <c r="W7" s="93">
        <v>16960</v>
      </c>
      <c r="X7" s="93">
        <v>28987</v>
      </c>
      <c r="Y7" s="93">
        <v>53463</v>
      </c>
      <c r="Z7" s="93">
        <v>75427</v>
      </c>
      <c r="AA7" s="93">
        <v>97207</v>
      </c>
      <c r="AB7" s="93">
        <v>93735</v>
      </c>
      <c r="AC7" s="93">
        <v>91807</v>
      </c>
      <c r="AD7" s="93">
        <v>98667</v>
      </c>
      <c r="AE7" s="93">
        <v>109106</v>
      </c>
      <c r="AF7" s="93">
        <v>98959</v>
      </c>
      <c r="AG7" s="93">
        <v>95281</v>
      </c>
      <c r="AH7" s="93">
        <v>85750</v>
      </c>
      <c r="AI7" s="93">
        <v>78328</v>
      </c>
    </row>
    <row r="8" spans="1:37">
      <c r="A8" t="s">
        <v>194</v>
      </c>
      <c r="B8" s="94">
        <f t="shared" si="1"/>
        <v>0</v>
      </c>
      <c r="C8" s="94">
        <f t="shared" ref="C8" si="2">C7+C4</f>
        <v>7</v>
      </c>
      <c r="D8" s="94">
        <f t="shared" ref="D8" si="3">D7+D4</f>
        <v>304</v>
      </c>
      <c r="E8" s="94">
        <f t="shared" ref="E8" si="4">E7+E4</f>
        <v>303</v>
      </c>
      <c r="F8" s="94">
        <f t="shared" ref="F8" si="5">F7+F4</f>
        <v>949</v>
      </c>
      <c r="G8" s="94">
        <f t="shared" ref="G8" si="6">G7+G4</f>
        <v>951</v>
      </c>
      <c r="H8" s="94">
        <f t="shared" ref="H8" si="7">H7+H4</f>
        <v>954</v>
      </c>
      <c r="I8" s="94">
        <f t="shared" ref="I8" si="8">I7+I4</f>
        <v>300</v>
      </c>
      <c r="J8" s="94">
        <f t="shared" ref="J8" si="9">J7+J4</f>
        <v>300</v>
      </c>
      <c r="K8" s="94">
        <f t="shared" ref="K8" si="10">K7+K4</f>
        <v>317</v>
      </c>
      <c r="L8" s="94">
        <f t="shared" ref="L8" si="11">L7+L4</f>
        <v>316</v>
      </c>
      <c r="M8" s="94">
        <f t="shared" ref="M8" si="12">M7+M4</f>
        <v>304</v>
      </c>
      <c r="N8" s="94">
        <f t="shared" ref="N8" si="13">N7+N4</f>
        <v>0</v>
      </c>
      <c r="O8" s="94">
        <f t="shared" ref="O8" si="14">O7+O4</f>
        <v>0</v>
      </c>
      <c r="P8" s="94">
        <f t="shared" ref="P8" si="15">P7+P4</f>
        <v>0</v>
      </c>
      <c r="Q8" s="94">
        <f t="shared" ref="Q8" si="16">Q7+Q4</f>
        <v>0</v>
      </c>
      <c r="R8" s="94">
        <f t="shared" ref="R8" si="17">R7+R4</f>
        <v>0</v>
      </c>
      <c r="S8" s="94">
        <f t="shared" ref="S8" si="18">S7+S4</f>
        <v>0</v>
      </c>
      <c r="T8" s="94">
        <f t="shared" ref="T8" si="19">T7+T4</f>
        <v>0</v>
      </c>
      <c r="U8" s="94">
        <f t="shared" ref="U8" si="20">U7+U4</f>
        <v>0</v>
      </c>
      <c r="V8" s="94">
        <f t="shared" ref="V8" si="21">V7+V4</f>
        <v>0</v>
      </c>
      <c r="W8" s="94">
        <f t="shared" ref="W8" si="22">W7+W4</f>
        <v>16960</v>
      </c>
      <c r="X8" s="94">
        <f t="shared" ref="X8" si="23">X7+X4</f>
        <v>28987</v>
      </c>
      <c r="Y8" s="94">
        <f t="shared" ref="Y8:AH8" si="24">Y7+Y4</f>
        <v>55963</v>
      </c>
      <c r="Z8" s="94">
        <f t="shared" si="24"/>
        <v>78927</v>
      </c>
      <c r="AA8" s="94">
        <f t="shared" si="24"/>
        <v>103703</v>
      </c>
      <c r="AB8" s="94">
        <f t="shared" si="24"/>
        <v>102519</v>
      </c>
      <c r="AC8" s="94">
        <f t="shared" si="24"/>
        <v>102067</v>
      </c>
      <c r="AD8" s="94">
        <f t="shared" si="24"/>
        <v>107440</v>
      </c>
      <c r="AE8" s="94">
        <f t="shared" si="24"/>
        <v>118719</v>
      </c>
      <c r="AF8" s="94">
        <f t="shared" si="24"/>
        <v>110087</v>
      </c>
      <c r="AG8" s="94">
        <f t="shared" si="24"/>
        <v>105103</v>
      </c>
      <c r="AH8" s="94">
        <f t="shared" si="24"/>
        <v>96662</v>
      </c>
      <c r="AI8" s="94">
        <f>AI7+AI4</f>
        <v>90678</v>
      </c>
    </row>
    <row r="9" spans="1:37">
      <c r="A9" t="s">
        <v>193</v>
      </c>
      <c r="B9" s="94">
        <f>B13+B6</f>
        <v>0</v>
      </c>
      <c r="C9" s="94"/>
      <c r="D9" s="93">
        <v>300</v>
      </c>
      <c r="E9" s="93">
        <v>300</v>
      </c>
      <c r="F9" s="93">
        <v>961</v>
      </c>
      <c r="G9" s="93">
        <v>961</v>
      </c>
      <c r="H9" s="93">
        <v>961</v>
      </c>
      <c r="I9" s="93">
        <v>300</v>
      </c>
      <c r="J9" s="93">
        <v>300</v>
      </c>
      <c r="K9" s="93">
        <v>300</v>
      </c>
      <c r="L9" s="93">
        <v>300</v>
      </c>
      <c r="M9" s="93">
        <v>300</v>
      </c>
      <c r="N9" s="93">
        <v>0</v>
      </c>
      <c r="O9" s="93">
        <v>0</v>
      </c>
      <c r="P9" s="93">
        <v>0</v>
      </c>
      <c r="Q9" s="93">
        <v>0</v>
      </c>
      <c r="R9" s="93">
        <v>0</v>
      </c>
      <c r="S9" s="93">
        <v>0</v>
      </c>
      <c r="T9" s="93">
        <v>0</v>
      </c>
      <c r="U9" s="93">
        <v>0</v>
      </c>
      <c r="V9" s="93">
        <v>0</v>
      </c>
      <c r="W9" s="93">
        <v>17000</v>
      </c>
      <c r="X9" s="93">
        <v>29000</v>
      </c>
      <c r="Y9" s="93">
        <v>55700</v>
      </c>
      <c r="Z9" s="93">
        <v>78400</v>
      </c>
      <c r="AA9" s="93">
        <v>104021</v>
      </c>
      <c r="AB9" s="93">
        <v>104193</v>
      </c>
      <c r="AC9" s="93">
        <v>101679</v>
      </c>
      <c r="AD9" s="93">
        <v>106078</v>
      </c>
      <c r="AE9" s="93">
        <v>118063</v>
      </c>
      <c r="AF9" s="93">
        <v>111824</v>
      </c>
      <c r="AG9" s="93">
        <v>106572</v>
      </c>
      <c r="AH9" s="93">
        <v>97341</v>
      </c>
      <c r="AI9" s="93">
        <v>91281</v>
      </c>
      <c r="AK9" s="100"/>
    </row>
    <row r="10" spans="1:37" ht="14.4" thickBot="1">
      <c r="A10" s="95" t="s">
        <v>192</v>
      </c>
      <c r="B10" s="98">
        <f>B9-B8</f>
        <v>0</v>
      </c>
      <c r="C10" s="99"/>
      <c r="D10" s="99">
        <f t="shared" ref="D10:AI10" si="25">D9-D8</f>
        <v>-4</v>
      </c>
      <c r="E10" s="99">
        <f t="shared" si="25"/>
        <v>-3</v>
      </c>
      <c r="F10" s="99">
        <f t="shared" si="25"/>
        <v>12</v>
      </c>
      <c r="G10" s="99">
        <f t="shared" si="25"/>
        <v>10</v>
      </c>
      <c r="H10" s="99">
        <f t="shared" si="25"/>
        <v>7</v>
      </c>
      <c r="I10" s="98">
        <f t="shared" si="25"/>
        <v>0</v>
      </c>
      <c r="J10" s="98">
        <f t="shared" si="25"/>
        <v>0</v>
      </c>
      <c r="K10" s="99">
        <f t="shared" si="25"/>
        <v>-17</v>
      </c>
      <c r="L10" s="99">
        <f t="shared" si="25"/>
        <v>-16</v>
      </c>
      <c r="M10" s="99">
        <f t="shared" si="25"/>
        <v>-4</v>
      </c>
      <c r="N10" s="98">
        <f t="shared" si="25"/>
        <v>0</v>
      </c>
      <c r="O10" s="98">
        <f t="shared" si="25"/>
        <v>0</v>
      </c>
      <c r="P10" s="98">
        <f t="shared" si="25"/>
        <v>0</v>
      </c>
      <c r="Q10" s="98">
        <f t="shared" si="25"/>
        <v>0</v>
      </c>
      <c r="R10" s="98">
        <f t="shared" si="25"/>
        <v>0</v>
      </c>
      <c r="S10" s="98">
        <f t="shared" si="25"/>
        <v>0</v>
      </c>
      <c r="T10" s="98">
        <f t="shared" si="25"/>
        <v>0</v>
      </c>
      <c r="U10" s="98">
        <f t="shared" si="25"/>
        <v>0</v>
      </c>
      <c r="V10" s="98">
        <f t="shared" si="25"/>
        <v>0</v>
      </c>
      <c r="W10" s="99">
        <f t="shared" si="25"/>
        <v>40</v>
      </c>
      <c r="X10" s="99">
        <f t="shared" si="25"/>
        <v>13</v>
      </c>
      <c r="Y10" s="99">
        <f t="shared" si="25"/>
        <v>-263</v>
      </c>
      <c r="Z10" s="99">
        <f t="shared" si="25"/>
        <v>-527</v>
      </c>
      <c r="AA10" s="99">
        <f t="shared" si="25"/>
        <v>318</v>
      </c>
      <c r="AB10" s="99">
        <f t="shared" si="25"/>
        <v>1674</v>
      </c>
      <c r="AC10" s="99">
        <f t="shared" si="25"/>
        <v>-388</v>
      </c>
      <c r="AD10" s="99">
        <f t="shared" si="25"/>
        <v>-1362</v>
      </c>
      <c r="AE10" s="99">
        <f t="shared" si="25"/>
        <v>-656</v>
      </c>
      <c r="AF10" s="99">
        <f t="shared" si="25"/>
        <v>1737</v>
      </c>
      <c r="AG10" s="99">
        <f t="shared" si="25"/>
        <v>1469</v>
      </c>
      <c r="AH10" s="99">
        <f t="shared" si="25"/>
        <v>679</v>
      </c>
      <c r="AI10" s="99">
        <f t="shared" si="25"/>
        <v>603</v>
      </c>
    </row>
    <row r="13" spans="1:37">
      <c r="A13" s="101" t="s">
        <v>195</v>
      </c>
      <c r="B13" s="103">
        <v>0</v>
      </c>
      <c r="C13" s="103">
        <f>C7+C5</f>
        <v>830.18200000000002</v>
      </c>
      <c r="D13" s="103">
        <f t="shared" ref="D13:AI13" si="26">D7+D5</f>
        <v>596.20000000000005</v>
      </c>
      <c r="E13" s="103">
        <f t="shared" si="26"/>
        <v>764</v>
      </c>
      <c r="F13" s="103">
        <f t="shared" si="26"/>
        <v>1135</v>
      </c>
      <c r="G13" s="103">
        <f t="shared" si="26"/>
        <v>976</v>
      </c>
      <c r="H13" s="103">
        <f t="shared" si="26"/>
        <v>954</v>
      </c>
      <c r="I13" s="103">
        <f t="shared" si="26"/>
        <v>300</v>
      </c>
      <c r="J13" s="103">
        <f t="shared" si="26"/>
        <v>300</v>
      </c>
      <c r="K13" s="103">
        <f t="shared" si="26"/>
        <v>317</v>
      </c>
      <c r="L13" s="103">
        <f t="shared" si="26"/>
        <v>316</v>
      </c>
      <c r="M13" s="103">
        <f t="shared" si="26"/>
        <v>304</v>
      </c>
      <c r="N13" s="104">
        <f t="shared" si="26"/>
        <v>0</v>
      </c>
      <c r="O13" s="104">
        <f t="shared" si="26"/>
        <v>0</v>
      </c>
      <c r="P13" s="104">
        <f t="shared" si="26"/>
        <v>0</v>
      </c>
      <c r="Q13" s="104">
        <f t="shared" si="26"/>
        <v>0</v>
      </c>
      <c r="R13" s="104">
        <f t="shared" si="26"/>
        <v>0</v>
      </c>
      <c r="S13" s="104">
        <f t="shared" si="26"/>
        <v>0</v>
      </c>
      <c r="T13" s="104">
        <f t="shared" si="26"/>
        <v>0</v>
      </c>
      <c r="U13" s="104">
        <f t="shared" si="26"/>
        <v>0</v>
      </c>
      <c r="V13" s="104">
        <f t="shared" si="26"/>
        <v>0</v>
      </c>
      <c r="W13" s="103">
        <f t="shared" si="26"/>
        <v>16960</v>
      </c>
      <c r="X13" s="103">
        <f t="shared" si="26"/>
        <v>35295</v>
      </c>
      <c r="Y13" s="103">
        <f t="shared" si="26"/>
        <v>64462</v>
      </c>
      <c r="Z13" s="103">
        <f t="shared" si="26"/>
        <v>87032</v>
      </c>
      <c r="AA13" s="103">
        <f t="shared" si="26"/>
        <v>115680</v>
      </c>
      <c r="AB13" s="103">
        <f t="shared" si="26"/>
        <v>114483</v>
      </c>
      <c r="AC13" s="103">
        <f t="shared" si="26"/>
        <v>108047</v>
      </c>
      <c r="AD13" s="103">
        <f t="shared" si="26"/>
        <v>112436</v>
      </c>
      <c r="AE13" s="103">
        <f t="shared" si="26"/>
        <v>124719</v>
      </c>
      <c r="AF13" s="103">
        <f t="shared" si="26"/>
        <v>120069</v>
      </c>
      <c r="AG13" s="103">
        <f t="shared" si="26"/>
        <v>111088</v>
      </c>
      <c r="AH13" s="103">
        <f t="shared" si="26"/>
        <v>106629</v>
      </c>
      <c r="AI13" s="103">
        <f t="shared" si="26"/>
        <v>98657</v>
      </c>
    </row>
    <row r="14" spans="1:37" ht="14.4">
      <c r="A14" s="44" t="s">
        <v>145</v>
      </c>
      <c r="C14" s="51">
        <f>C13/'Apple Consolidated Statements'!C$11</f>
        <v>0.10407255701863143</v>
      </c>
      <c r="D14" s="51">
        <f>D13/'Apple Consolidated Statements'!D11</f>
        <v>6.4883703416395794E-2</v>
      </c>
      <c r="E14" s="51">
        <f>E13/'Apple Consolidated Statements'!E11</f>
        <v>6.9065268486711268E-2</v>
      </c>
      <c r="F14" s="51">
        <f>F13/'Apple Consolidated Statements'!F11</f>
        <v>0.11542764161497</v>
      </c>
      <c r="G14" s="51">
        <f>G13/'Apple Consolidated Statements'!G11</f>
        <v>0.13783363931648071</v>
      </c>
      <c r="H14" s="51">
        <f>H13/'Apple Consolidated Statements'!H11</f>
        <v>0.16057902709981484</v>
      </c>
      <c r="I14" s="51">
        <f>I13/'Apple Consolidated Statements'!I11</f>
        <v>4.8907727420932509E-2</v>
      </c>
      <c r="J14" s="51">
        <f>J13/'Apple Consolidated Statements'!J11</f>
        <v>3.7579857196542651E-2</v>
      </c>
      <c r="K14" s="51">
        <f>K13/'Apple Consolidated Statements'!K11</f>
        <v>5.9108707812791351E-2</v>
      </c>
      <c r="L14" s="51">
        <f>L13/'Apple Consolidated Statements'!L11</f>
        <v>5.5033089515848135E-2</v>
      </c>
      <c r="M14" s="51">
        <f>M13/'Apple Consolidated Statements'!M11</f>
        <v>4.8976961495086194E-2</v>
      </c>
      <c r="N14" s="93">
        <f>N13/'Apple Consolidated Statements'!N11</f>
        <v>0</v>
      </c>
      <c r="O14" s="93">
        <f>O13/'Apple Consolidated Statements'!O11</f>
        <v>0</v>
      </c>
      <c r="P14" s="93">
        <f>P13/'Apple Consolidated Statements'!P11</f>
        <v>0</v>
      </c>
      <c r="Q14" s="93">
        <f>Q13/'Apple Consolidated Statements'!Q11</f>
        <v>0</v>
      </c>
      <c r="R14" s="93">
        <f>R13/'Apple Consolidated Statements'!R11</f>
        <v>0</v>
      </c>
      <c r="S14" s="93">
        <f>S13/'Apple Consolidated Statements'!S11</f>
        <v>0</v>
      </c>
      <c r="T14" s="93">
        <f>T13/'Apple Consolidated Statements'!T11</f>
        <v>0</v>
      </c>
      <c r="U14" s="93">
        <f>U13/'Apple Consolidated Statements'!U11</f>
        <v>0</v>
      </c>
      <c r="V14" s="93">
        <f>V13/'Apple Consolidated Statements'!V11</f>
        <v>0</v>
      </c>
      <c r="W14" s="51">
        <f>W13/'Apple Consolidated Statements'!W11</f>
        <v>9.9233514715347262E-2</v>
      </c>
      <c r="X14" s="51">
        <f>X13/'Apple Consolidated Statements'!X11</f>
        <v>0.19308515003145602</v>
      </c>
      <c r="Y14" s="51">
        <f>Y13/'Apple Consolidated Statements'!Y11</f>
        <v>0.2758145604689472</v>
      </c>
      <c r="Z14" s="106">
        <f>Z13/'Apple Consolidated Statements'!Z11</f>
        <v>0.40360046188305454</v>
      </c>
      <c r="AA14" s="106">
        <f>AA13/'Apple Consolidated Statements'!AA11</f>
        <v>0.50463718296587767</v>
      </c>
      <c r="AB14" s="106">
        <f>AB13/'Apple Consolidated Statements'!AB11</f>
        <v>0.43104350609009962</v>
      </c>
      <c r="AC14" s="106">
        <f>AC13/'Apple Consolidated Statements'!AC11</f>
        <v>0.41528746146809442</v>
      </c>
      <c r="AD14" s="106">
        <f>AD13/'Apple Consolidated Statements'!AD11</f>
        <v>0.4095805329399122</v>
      </c>
      <c r="AE14" s="51">
        <f>AE13/'Apple Consolidated Statements'!AE11</f>
        <v>0.34093276146269857</v>
      </c>
      <c r="AF14" s="51">
        <f>AF13/'Apple Consolidated Statements'!AF11</f>
        <v>0.30449017061938283</v>
      </c>
      <c r="AG14" s="51">
        <f>AG13/'Apple Consolidated Statements'!AG11</f>
        <v>0.28983132655856608</v>
      </c>
      <c r="AH14" s="51">
        <f>AH13/'Apple Consolidated Statements'!AH11</f>
        <v>0.27268403084122905</v>
      </c>
      <c r="AI14" s="51">
        <f>AI13/'Apple Consolidated Statements'!AI11</f>
        <v>0.23706450147899491</v>
      </c>
    </row>
    <row r="15" spans="1:37">
      <c r="A15" t="str">
        <f>A5</f>
        <v>Short-term / Current Debt</v>
      </c>
      <c r="B15" s="102">
        <f t="shared" ref="B15:AI15" si="27">B5</f>
        <v>184.46100000000001</v>
      </c>
      <c r="C15" s="102">
        <f t="shared" si="27"/>
        <v>823.18200000000002</v>
      </c>
      <c r="D15" s="102">
        <f t="shared" si="27"/>
        <v>292.2</v>
      </c>
      <c r="E15" s="102">
        <f t="shared" si="27"/>
        <v>461</v>
      </c>
      <c r="F15" s="102">
        <f t="shared" si="27"/>
        <v>186</v>
      </c>
      <c r="G15" s="102">
        <f t="shared" si="27"/>
        <v>25</v>
      </c>
      <c r="H15" s="93">
        <f t="shared" si="27"/>
        <v>0</v>
      </c>
      <c r="I15" s="93">
        <f t="shared" si="27"/>
        <v>0</v>
      </c>
      <c r="J15" s="93">
        <f t="shared" si="27"/>
        <v>0</v>
      </c>
      <c r="K15" s="93">
        <f t="shared" si="27"/>
        <v>0</v>
      </c>
      <c r="L15" s="93">
        <f t="shared" si="27"/>
        <v>0</v>
      </c>
      <c r="M15" s="102">
        <f t="shared" si="27"/>
        <v>304</v>
      </c>
      <c r="N15" s="93">
        <f t="shared" si="27"/>
        <v>0</v>
      </c>
      <c r="O15" s="93">
        <f t="shared" si="27"/>
        <v>0</v>
      </c>
      <c r="P15" s="93">
        <f t="shared" si="27"/>
        <v>0</v>
      </c>
      <c r="Q15" s="93">
        <f t="shared" si="27"/>
        <v>0</v>
      </c>
      <c r="R15" s="93">
        <f t="shared" si="27"/>
        <v>0</v>
      </c>
      <c r="S15" s="93">
        <f t="shared" si="27"/>
        <v>0</v>
      </c>
      <c r="T15" s="93">
        <f t="shared" si="27"/>
        <v>0</v>
      </c>
      <c r="U15" s="93">
        <f t="shared" si="27"/>
        <v>0</v>
      </c>
      <c r="V15" s="93">
        <f t="shared" si="27"/>
        <v>0</v>
      </c>
      <c r="W15" s="93">
        <f t="shared" si="27"/>
        <v>0</v>
      </c>
      <c r="X15" s="102">
        <f t="shared" si="27"/>
        <v>6308</v>
      </c>
      <c r="Y15" s="102">
        <f t="shared" si="27"/>
        <v>10999</v>
      </c>
      <c r="Z15" s="102">
        <f t="shared" si="27"/>
        <v>11605</v>
      </c>
      <c r="AA15" s="102">
        <f t="shared" si="27"/>
        <v>18473</v>
      </c>
      <c r="AB15" s="102">
        <f t="shared" si="27"/>
        <v>20748</v>
      </c>
      <c r="AC15" s="102">
        <f t="shared" si="27"/>
        <v>16240</v>
      </c>
      <c r="AD15" s="102">
        <f t="shared" si="27"/>
        <v>13769</v>
      </c>
      <c r="AE15" s="102">
        <f t="shared" si="27"/>
        <v>15613</v>
      </c>
      <c r="AF15" s="102">
        <f t="shared" si="27"/>
        <v>21110</v>
      </c>
      <c r="AG15" s="102">
        <f t="shared" si="27"/>
        <v>15807</v>
      </c>
      <c r="AH15" s="102">
        <f t="shared" si="27"/>
        <v>20879</v>
      </c>
      <c r="AI15" s="102">
        <f t="shared" si="27"/>
        <v>20329</v>
      </c>
    </row>
    <row r="16" spans="1:37" ht="14.4">
      <c r="A16" s="44" t="s">
        <v>145</v>
      </c>
      <c r="B16" s="51">
        <f>B15/'Apple Consolidated Statements'!B$11</f>
        <v>2.6029761765329267E-2</v>
      </c>
      <c r="C16" s="51">
        <f>C15/'Apple Consolidated Statements'!C$11</f>
        <v>0.10319502908002227</v>
      </c>
      <c r="D16" s="51">
        <f>D15/'Apple Consolidated Statements'!D$11</f>
        <v>3.1799762056811225E-2</v>
      </c>
      <c r="E16" s="51">
        <f>E15/'Apple Consolidated Statements'!E$11</f>
        <v>4.1674199963840176E-2</v>
      </c>
      <c r="F16" s="51">
        <f>F15/'Apple Consolidated Statements'!F$11</f>
        <v>1.891589545408319E-2</v>
      </c>
      <c r="G16" s="51">
        <f>G15/'Apple Consolidated Statements'!G$11</f>
        <v>3.5305747775737891E-3</v>
      </c>
      <c r="H16" s="93">
        <f>H15/'Apple Consolidated Statements'!H$11</f>
        <v>0</v>
      </c>
      <c r="I16" s="93">
        <f>I15/'Apple Consolidated Statements'!I$11</f>
        <v>0</v>
      </c>
      <c r="J16" s="93">
        <f>J15/'Apple Consolidated Statements'!J$11</f>
        <v>0</v>
      </c>
      <c r="K16" s="93">
        <f>K15/'Apple Consolidated Statements'!K$11</f>
        <v>0</v>
      </c>
      <c r="L16" s="93">
        <f>L15/'Apple Consolidated Statements'!L$11</f>
        <v>0</v>
      </c>
      <c r="M16" s="51">
        <f>M15/'Apple Consolidated Statements'!M$11</f>
        <v>4.8976961495086194E-2</v>
      </c>
      <c r="N16" s="93">
        <f>N15/'Apple Consolidated Statements'!N$11</f>
        <v>0</v>
      </c>
      <c r="O16" s="93">
        <f>O15/'Apple Consolidated Statements'!O$11</f>
        <v>0</v>
      </c>
      <c r="P16" s="93">
        <f>P15/'Apple Consolidated Statements'!P$11</f>
        <v>0</v>
      </c>
      <c r="Q16" s="93">
        <f>Q15/'Apple Consolidated Statements'!Q$11</f>
        <v>0</v>
      </c>
      <c r="R16" s="93">
        <f>R15/'Apple Consolidated Statements'!R$11</f>
        <v>0</v>
      </c>
      <c r="S16" s="93">
        <f>S15/'Apple Consolidated Statements'!S$11</f>
        <v>0</v>
      </c>
      <c r="T16" s="93">
        <f>T15/'Apple Consolidated Statements'!T$11</f>
        <v>0</v>
      </c>
      <c r="U16" s="93">
        <f>U15/'Apple Consolidated Statements'!U$11</f>
        <v>0</v>
      </c>
      <c r="V16" s="93">
        <f>V15/'Apple Consolidated Statements'!V$11</f>
        <v>0</v>
      </c>
      <c r="W16" s="93">
        <f>W15/'Apple Consolidated Statements'!W$11</f>
        <v>0</v>
      </c>
      <c r="X16" s="51">
        <f>X15/'Apple Consolidated Statements'!X$11</f>
        <v>3.4508602532892035E-2</v>
      </c>
      <c r="Y16" s="51">
        <f>Y15/'Apple Consolidated Statements'!Y$11</f>
        <v>4.7061592110048567E-2</v>
      </c>
      <c r="Z16" s="51">
        <f>Z15/'Apple Consolidated Statements'!Z$11</f>
        <v>5.3816795663122162E-2</v>
      </c>
      <c r="AA16" s="51">
        <f>AA15/'Apple Consolidated Statements'!AA$11</f>
        <v>8.0585776978982171E-2</v>
      </c>
      <c r="AB16" s="51">
        <f>AB15/'Apple Consolidated Statements'!AB$11</f>
        <v>7.8118940492102634E-2</v>
      </c>
      <c r="AC16" s="51">
        <f>AC15/'Apple Consolidated Statements'!AC$11</f>
        <v>6.2419765234035682E-2</v>
      </c>
      <c r="AD16" s="51">
        <f>AD15/'Apple Consolidated Statements'!AD$11</f>
        <v>5.0157550589220987E-2</v>
      </c>
      <c r="AE16" s="51">
        <f>AE15/'Apple Consolidated Statements'!AE$11</f>
        <v>4.2679809850280331E-2</v>
      </c>
      <c r="AF16" s="51">
        <f>AF15/'Apple Consolidated Statements'!AF$11</f>
        <v>5.3534113732730114E-2</v>
      </c>
      <c r="AG16" s="51">
        <f>AG15/'Apple Consolidated Statements'!AG$11</f>
        <v>4.1240852107439635E-2</v>
      </c>
      <c r="AH16" s="51">
        <f>AH15/'Apple Consolidated Statements'!AH$11</f>
        <v>5.3394197450356104E-2</v>
      </c>
      <c r="AI16" s="51">
        <f>AI15/'Apple Consolidated Statements'!AI$11</f>
        <v>4.8848883004414159E-2</v>
      </c>
    </row>
    <row r="17" spans="1:35">
      <c r="A17" t="str">
        <f>A7</f>
        <v>Non-current Term Debt</v>
      </c>
      <c r="B17" s="93">
        <v>0</v>
      </c>
      <c r="C17" s="102">
        <f t="shared" ref="C17:AI17" si="28">C7</f>
        <v>7</v>
      </c>
      <c r="D17" s="102">
        <f t="shared" si="28"/>
        <v>304</v>
      </c>
      <c r="E17" s="102">
        <f t="shared" si="28"/>
        <v>303</v>
      </c>
      <c r="F17" s="102">
        <f t="shared" si="28"/>
        <v>949</v>
      </c>
      <c r="G17" s="102">
        <f t="shared" si="28"/>
        <v>951</v>
      </c>
      <c r="H17" s="102">
        <f t="shared" si="28"/>
        <v>954</v>
      </c>
      <c r="I17" s="102">
        <f t="shared" si="28"/>
        <v>300</v>
      </c>
      <c r="J17" s="102">
        <f t="shared" si="28"/>
        <v>300</v>
      </c>
      <c r="K17" s="102">
        <f t="shared" si="28"/>
        <v>317</v>
      </c>
      <c r="L17" s="102">
        <f t="shared" si="28"/>
        <v>316</v>
      </c>
      <c r="M17" s="93">
        <f t="shared" si="28"/>
        <v>0</v>
      </c>
      <c r="N17" s="93">
        <f t="shared" si="28"/>
        <v>0</v>
      </c>
      <c r="O17" s="93">
        <f t="shared" si="28"/>
        <v>0</v>
      </c>
      <c r="P17" s="93">
        <f t="shared" si="28"/>
        <v>0</v>
      </c>
      <c r="Q17" s="93">
        <f t="shared" si="28"/>
        <v>0</v>
      </c>
      <c r="R17" s="93">
        <f t="shared" si="28"/>
        <v>0</v>
      </c>
      <c r="S17" s="93">
        <f t="shared" si="28"/>
        <v>0</v>
      </c>
      <c r="T17" s="93">
        <f t="shared" si="28"/>
        <v>0</v>
      </c>
      <c r="U17" s="93">
        <f t="shared" si="28"/>
        <v>0</v>
      </c>
      <c r="V17" s="93">
        <f t="shared" si="28"/>
        <v>0</v>
      </c>
      <c r="W17" s="105">
        <f t="shared" si="28"/>
        <v>16960</v>
      </c>
      <c r="X17" s="105">
        <f t="shared" si="28"/>
        <v>28987</v>
      </c>
      <c r="Y17" s="105">
        <f t="shared" si="28"/>
        <v>53463</v>
      </c>
      <c r="Z17" s="105">
        <f t="shared" si="28"/>
        <v>75427</v>
      </c>
      <c r="AA17" s="105">
        <f t="shared" si="28"/>
        <v>97207</v>
      </c>
      <c r="AB17" s="105">
        <f t="shared" si="28"/>
        <v>93735</v>
      </c>
      <c r="AC17" s="105">
        <f t="shared" si="28"/>
        <v>91807</v>
      </c>
      <c r="AD17" s="105">
        <f t="shared" si="28"/>
        <v>98667</v>
      </c>
      <c r="AE17" s="105">
        <f t="shared" si="28"/>
        <v>109106</v>
      </c>
      <c r="AF17" s="105">
        <f t="shared" si="28"/>
        <v>98959</v>
      </c>
      <c r="AG17" s="105">
        <f t="shared" si="28"/>
        <v>95281</v>
      </c>
      <c r="AH17" s="105">
        <f t="shared" si="28"/>
        <v>85750</v>
      </c>
      <c r="AI17" s="105">
        <f t="shared" si="28"/>
        <v>78328</v>
      </c>
    </row>
    <row r="18" spans="1:35" ht="14.4">
      <c r="A18" s="44" t="s">
        <v>145</v>
      </c>
      <c r="B18" s="93">
        <f>B17/'Apple Consolidated Statements'!B$11</f>
        <v>0</v>
      </c>
      <c r="C18" s="51">
        <f>C17/'Apple Consolidated Statements'!C$11</f>
        <v>8.7752793860914832E-4</v>
      </c>
      <c r="D18" s="51">
        <f>D17/'Apple Consolidated Statements'!D$11</f>
        <v>3.3083941359584569E-2</v>
      </c>
      <c r="E18" s="51">
        <f>E17/'Apple Consolidated Statements'!E$11</f>
        <v>2.7391068522871091E-2</v>
      </c>
      <c r="F18" s="51">
        <f>F17/'Apple Consolidated Statements'!F$11</f>
        <v>9.6511746160886813E-2</v>
      </c>
      <c r="G18" s="51">
        <f>G17/'Apple Consolidated Statements'!G$11</f>
        <v>0.13430306453890695</v>
      </c>
      <c r="H18" s="51">
        <f>H17/'Apple Consolidated Statements'!H$11</f>
        <v>0.16057902709981484</v>
      </c>
      <c r="I18" s="51">
        <f>I17/'Apple Consolidated Statements'!I$11</f>
        <v>4.8907727420932509E-2</v>
      </c>
      <c r="J18" s="51">
        <f>J17/'Apple Consolidated Statements'!J$11</f>
        <v>3.7579857196542651E-2</v>
      </c>
      <c r="K18" s="51">
        <f>K17/'Apple Consolidated Statements'!K$11</f>
        <v>5.9108707812791351E-2</v>
      </c>
      <c r="L18" s="51">
        <f>L17/'Apple Consolidated Statements'!L$11</f>
        <v>5.5033089515848135E-2</v>
      </c>
      <c r="M18" s="93">
        <f>M17/'Apple Consolidated Statements'!M$11</f>
        <v>0</v>
      </c>
      <c r="N18" s="93">
        <f>N17/'Apple Consolidated Statements'!N$11</f>
        <v>0</v>
      </c>
      <c r="O18" s="93">
        <f>O17/'Apple Consolidated Statements'!O$11</f>
        <v>0</v>
      </c>
      <c r="P18" s="93">
        <f>P17/'Apple Consolidated Statements'!P$11</f>
        <v>0</v>
      </c>
      <c r="Q18" s="93">
        <f>Q17/'Apple Consolidated Statements'!Q$11</f>
        <v>0</v>
      </c>
      <c r="R18" s="93">
        <f>R17/'Apple Consolidated Statements'!R$11</f>
        <v>0</v>
      </c>
      <c r="S18" s="93">
        <f>S17/'Apple Consolidated Statements'!S$11</f>
        <v>0</v>
      </c>
      <c r="T18" s="93">
        <f>T17/'Apple Consolidated Statements'!T$11</f>
        <v>0</v>
      </c>
      <c r="U18" s="93">
        <f>U17/'Apple Consolidated Statements'!U$11</f>
        <v>0</v>
      </c>
      <c r="V18" s="93">
        <f>V17/'Apple Consolidated Statements'!V$11</f>
        <v>0</v>
      </c>
      <c r="W18" s="51">
        <f>W17/'Apple Consolidated Statements'!W$11</f>
        <v>9.9233514715347262E-2</v>
      </c>
      <c r="X18" s="51">
        <f>X17/'Apple Consolidated Statements'!X$11</f>
        <v>0.15857654749856395</v>
      </c>
      <c r="Y18" s="51">
        <f>Y17/'Apple Consolidated Statements'!Y$11</f>
        <v>0.22875296835889866</v>
      </c>
      <c r="Z18" s="51">
        <f>Z17/'Apple Consolidated Statements'!Z$11</f>
        <v>0.3497836662199324</v>
      </c>
      <c r="AA18" s="106">
        <f>AA17/'Apple Consolidated Statements'!AA$11</f>
        <v>0.4240514059868955</v>
      </c>
      <c r="AB18" s="51">
        <f>AB17/'Apple Consolidated Statements'!AB$11</f>
        <v>0.35292456559799695</v>
      </c>
      <c r="AC18" s="51">
        <f>AC17/'Apple Consolidated Statements'!AC$11</f>
        <v>0.35286769623405873</v>
      </c>
      <c r="AD18" s="51">
        <f>AD17/'Apple Consolidated Statements'!AD$11</f>
        <v>0.3594229823506912</v>
      </c>
      <c r="AE18" s="51">
        <f>AE17/'Apple Consolidated Statements'!AE$11</f>
        <v>0.29825295161241822</v>
      </c>
      <c r="AF18" s="51">
        <f>AF17/'Apple Consolidated Statements'!AF$11</f>
        <v>0.25095605688665273</v>
      </c>
      <c r="AG18" s="51">
        <f>AG17/'Apple Consolidated Statements'!AG$11</f>
        <v>0.24859047445112645</v>
      </c>
      <c r="AH18" s="51">
        <f>AH17/'Apple Consolidated Statements'!AH$11</f>
        <v>0.21928983339087293</v>
      </c>
      <c r="AI18" s="51">
        <f>AI17/'Apple Consolidated Statements'!AI$11</f>
        <v>0.18821561847458076</v>
      </c>
    </row>
  </sheetData>
  <mergeCells count="2">
    <mergeCell ref="A1:V1"/>
    <mergeCell ref="W1:AI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FA79-9131-498D-842D-7FF8550DD2BB}">
  <dimension ref="A1:AN4"/>
  <sheetViews>
    <sheetView topLeftCell="D1" zoomScale="70" zoomScaleNormal="70" workbookViewId="0">
      <selection activeCell="D4" sqref="D4"/>
    </sheetView>
  </sheetViews>
  <sheetFormatPr defaultRowHeight="13.8"/>
  <cols>
    <col min="1" max="1" width="25.69921875" customWidth="1"/>
    <col min="2" max="17" width="8.8984375" bestFit="1" customWidth="1"/>
    <col min="18" max="24" width="9.69921875" bestFit="1" customWidth="1"/>
    <col min="25" max="29" width="10.69921875" bestFit="1" customWidth="1"/>
    <col min="30" max="30" width="9.69921875" bestFit="1" customWidth="1"/>
    <col min="31" max="33" width="10.69921875" bestFit="1" customWidth="1"/>
    <col min="34" max="34" width="9.69921875" bestFit="1" customWidth="1"/>
    <col min="35" max="35" width="10.69921875" bestFit="1" customWidth="1"/>
    <col min="37" max="43" width="12.69921875" customWidth="1"/>
  </cols>
  <sheetData>
    <row r="1" spans="1:40" ht="17.399999999999999">
      <c r="A1" s="134" t="s">
        <v>191</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row>
    <row r="2" spans="1:40">
      <c r="B2" s="12">
        <v>1992</v>
      </c>
      <c r="C2" s="12">
        <v>1993</v>
      </c>
      <c r="D2" s="12">
        <v>1994</v>
      </c>
      <c r="E2" s="12">
        <v>1995</v>
      </c>
      <c r="F2" s="12">
        <v>1996</v>
      </c>
      <c r="G2" s="12">
        <v>1997</v>
      </c>
      <c r="H2" s="12">
        <v>1998</v>
      </c>
      <c r="I2" s="12">
        <v>1999</v>
      </c>
      <c r="J2" s="12">
        <v>2000</v>
      </c>
      <c r="K2" s="12">
        <v>2001</v>
      </c>
      <c r="L2" s="12">
        <v>2002</v>
      </c>
      <c r="M2" s="12">
        <v>2003</v>
      </c>
      <c r="N2" s="12">
        <v>2004</v>
      </c>
      <c r="O2" s="12">
        <v>2005</v>
      </c>
      <c r="P2" s="12">
        <v>2006</v>
      </c>
      <c r="Q2" s="12">
        <v>2007</v>
      </c>
      <c r="R2" s="12">
        <v>2008</v>
      </c>
      <c r="S2" s="12">
        <v>2009</v>
      </c>
      <c r="T2" s="12">
        <v>2010</v>
      </c>
      <c r="U2" s="12">
        <v>2011</v>
      </c>
      <c r="V2" s="12">
        <v>2012</v>
      </c>
      <c r="W2" s="12">
        <v>2013</v>
      </c>
      <c r="X2" s="13">
        <v>2014</v>
      </c>
      <c r="Y2" s="13">
        <v>2015</v>
      </c>
      <c r="Z2" s="13">
        <v>2016</v>
      </c>
      <c r="AA2" s="13">
        <v>2017</v>
      </c>
      <c r="AB2" s="13">
        <v>2018</v>
      </c>
      <c r="AC2" s="13">
        <v>2019</v>
      </c>
      <c r="AD2" s="13">
        <v>2020</v>
      </c>
      <c r="AE2" s="13">
        <v>2021</v>
      </c>
      <c r="AF2" s="13">
        <v>2022</v>
      </c>
      <c r="AG2" s="13">
        <v>2023</v>
      </c>
      <c r="AH2" s="13">
        <v>2024</v>
      </c>
      <c r="AI2" s="13">
        <v>2025</v>
      </c>
    </row>
    <row r="3" spans="1:40">
      <c r="A3" t="str">
        <f>'Apple Consolidated Statements'!A172</f>
        <v>Purchases of PP&amp;E</v>
      </c>
      <c r="B3" s="107">
        <f>'Apple Consolidated Statements'!B172</f>
        <v>-194.85300000000001</v>
      </c>
      <c r="C3" s="107">
        <f>'Apple Consolidated Statements'!C172</f>
        <v>-213.11799999999999</v>
      </c>
      <c r="D3" s="107">
        <f>'Apple Consolidated Statements'!D172</f>
        <v>-159.58699999999999</v>
      </c>
      <c r="E3" s="107">
        <f>'Apple Consolidated Statements'!E172</f>
        <v>-159</v>
      </c>
      <c r="F3" s="107">
        <f>'Apple Consolidated Statements'!F172</f>
        <v>-67</v>
      </c>
      <c r="G3" s="107">
        <f>'Apple Consolidated Statements'!G172</f>
        <v>-53</v>
      </c>
      <c r="H3" s="107">
        <f>'Apple Consolidated Statements'!H172</f>
        <v>-46</v>
      </c>
      <c r="I3" s="107">
        <f>'Apple Consolidated Statements'!I172</f>
        <v>-47</v>
      </c>
      <c r="J3" s="107">
        <f>'Apple Consolidated Statements'!J172</f>
        <v>-142</v>
      </c>
      <c r="K3" s="107">
        <f>'Apple Consolidated Statements'!K172</f>
        <v>-232</v>
      </c>
      <c r="L3" s="107">
        <f>'Apple Consolidated Statements'!L172</f>
        <v>-174</v>
      </c>
      <c r="M3" s="107">
        <f>'Apple Consolidated Statements'!M172</f>
        <v>-164</v>
      </c>
      <c r="N3" s="107">
        <f>'Apple Consolidated Statements'!N172</f>
        <v>-176</v>
      </c>
      <c r="O3" s="107">
        <f>'Apple Consolidated Statements'!O172</f>
        <v>-260</v>
      </c>
      <c r="P3" s="107">
        <f>'Apple Consolidated Statements'!P172</f>
        <v>-657</v>
      </c>
      <c r="Q3" s="107">
        <f>'Apple Consolidated Statements'!Q172</f>
        <v>-735</v>
      </c>
      <c r="R3" s="107">
        <f>'Apple Consolidated Statements'!R172</f>
        <v>-1091</v>
      </c>
      <c r="S3" s="107">
        <f>'Apple Consolidated Statements'!S172</f>
        <v>-1144</v>
      </c>
      <c r="T3" s="107">
        <f>'Apple Consolidated Statements'!T172</f>
        <v>-2005</v>
      </c>
      <c r="U3" s="107">
        <f>'Apple Consolidated Statements'!U172</f>
        <v>-4260</v>
      </c>
      <c r="V3" s="107">
        <f>'Apple Consolidated Statements'!V172</f>
        <v>-8295</v>
      </c>
      <c r="W3" s="107">
        <f>'Apple Consolidated Statements'!W172</f>
        <v>-8165</v>
      </c>
      <c r="X3" s="107">
        <f>'Apple Consolidated Statements'!X172</f>
        <v>-9571</v>
      </c>
      <c r="Y3" s="107">
        <f>'Apple Consolidated Statements'!Y172</f>
        <v>-11247</v>
      </c>
      <c r="Z3" s="107">
        <f>'Apple Consolidated Statements'!Z172</f>
        <v>-12734</v>
      </c>
      <c r="AA3" s="107">
        <f>'Apple Consolidated Statements'!AA172</f>
        <v>-12451</v>
      </c>
      <c r="AB3" s="107">
        <f>'Apple Consolidated Statements'!AB172</f>
        <v>-13313</v>
      </c>
      <c r="AC3" s="107">
        <f>'Apple Consolidated Statements'!AC172</f>
        <v>-10495</v>
      </c>
      <c r="AD3" s="107">
        <f>'Apple Consolidated Statements'!AD172</f>
        <v>-7309</v>
      </c>
      <c r="AE3" s="107">
        <f>'Apple Consolidated Statements'!AE172</f>
        <v>-11085</v>
      </c>
      <c r="AF3" s="107">
        <f>'Apple Consolidated Statements'!AF172</f>
        <v>-10708</v>
      </c>
      <c r="AG3" s="107">
        <f>'Apple Consolidated Statements'!AG172</f>
        <v>-10959</v>
      </c>
      <c r="AH3" s="107">
        <f>'Apple Consolidated Statements'!AH172</f>
        <v>-9447</v>
      </c>
      <c r="AI3" s="107">
        <f>'Apple Consolidated Statements'!AI172</f>
        <v>-12715</v>
      </c>
      <c r="AK3" s="50" t="s">
        <v>199</v>
      </c>
      <c r="AL3" s="50" t="s">
        <v>200</v>
      </c>
      <c r="AM3" s="50" t="s">
        <v>201</v>
      </c>
      <c r="AN3" s="50" t="s">
        <v>202</v>
      </c>
    </row>
    <row r="4" spans="1:40" ht="14.4">
      <c r="A4" s="44" t="s">
        <v>145</v>
      </c>
      <c r="B4" s="51">
        <f>-B3/'Apple Consolidated Statements'!B11</f>
        <v>2.7496203366888957E-2</v>
      </c>
      <c r="C4" s="51">
        <f>-C3/'Apple Consolidated Statements'!C11</f>
        <v>2.6716714174357781E-2</v>
      </c>
      <c r="D4" s="51">
        <f>-D3/'Apple Consolidated Statements'!D11</f>
        <v>1.7367654439973759E-2</v>
      </c>
      <c r="E4" s="51">
        <f>-E3/'Apple Consolidated Statements'!E11</f>
        <v>1.4373531007051165E-2</v>
      </c>
      <c r="F4" s="51">
        <f>-F3/'Apple Consolidated Statements'!F11</f>
        <v>6.8137902979762029E-3</v>
      </c>
      <c r="G4" s="51">
        <f>-G3/'Apple Consolidated Statements'!G11</f>
        <v>7.484818528456433E-3</v>
      </c>
      <c r="H4" s="51">
        <f>-H3/'Apple Consolidated Statements'!H11</f>
        <v>7.74280424171015E-3</v>
      </c>
      <c r="I4" s="51">
        <f>-I3/'Apple Consolidated Statements'!I11</f>
        <v>7.6622106292794263E-3</v>
      </c>
      <c r="J4" s="51">
        <f>-J3/'Apple Consolidated Statements'!J11</f>
        <v>1.778779907303019E-2</v>
      </c>
      <c r="K4" s="51">
        <f>-K3/'Apple Consolidated Statements'!K11</f>
        <v>4.3259369755733731E-2</v>
      </c>
      <c r="L4" s="51">
        <f>-L3/'Apple Consolidated Statements'!L11</f>
        <v>3.0303030303030304E-2</v>
      </c>
      <c r="M4" s="51">
        <f>-M3/'Apple Consolidated Statements'!M11</f>
        <v>2.6421781859191237E-2</v>
      </c>
      <c r="N4" s="51">
        <f>-N3/'Apple Consolidated Statements'!N11</f>
        <v>2.1258606111849258E-2</v>
      </c>
      <c r="O4" s="51">
        <f>-O3/'Apple Consolidated Statements'!O11</f>
        <v>1.866341253319934E-2</v>
      </c>
      <c r="P4" s="51">
        <f>-P3/'Apple Consolidated Statements'!P11</f>
        <v>3.4015014237639141E-2</v>
      </c>
      <c r="Q4" s="51">
        <f>-Q3/'Apple Consolidated Statements'!Q11</f>
        <v>2.9904792904223289E-2</v>
      </c>
      <c r="R4" s="51">
        <f>-R3/'Apple Consolidated Statements'!R11</f>
        <v>2.9100317409511616E-2</v>
      </c>
      <c r="S4" s="51">
        <f>-S3/'Apple Consolidated Statements'!S11</f>
        <v>2.6663559025754575E-2</v>
      </c>
      <c r="T4" s="51">
        <f>-T3/'Apple Consolidated Statements'!T11</f>
        <v>3.0739747029513223E-2</v>
      </c>
      <c r="U4" s="51">
        <f>-U3/'Apple Consolidated Statements'!U11</f>
        <v>3.9353712274478286E-2</v>
      </c>
      <c r="V4" s="51">
        <f>-V3/'Apple Consolidated Statements'!V11</f>
        <v>5.3000485598180283E-2</v>
      </c>
      <c r="W4" s="51">
        <f>-W3/'Apple Consolidated Statements'!W11</f>
        <v>4.7773682054882687E-2</v>
      </c>
      <c r="X4" s="51">
        <f>-X3/'Apple Consolidated Statements'!X11</f>
        <v>5.235920019694193E-2</v>
      </c>
      <c r="Y4" s="51">
        <f>-Y3/'Apple Consolidated Statements'!Y11</f>
        <v>4.812271356138887E-2</v>
      </c>
      <c r="Z4" s="51">
        <f>-Z3/'Apple Consolidated Statements'!Z11</f>
        <v>5.9052397757362998E-2</v>
      </c>
      <c r="AA4" s="51">
        <f>-AA3/'Apple Consolidated Statements'!AA11</f>
        <v>5.4315677430049641E-2</v>
      </c>
      <c r="AB4" s="51">
        <f>-AB3/'Apple Consolidated Statements'!AB11</f>
        <v>5.0125190609762983E-2</v>
      </c>
      <c r="AC4" s="51">
        <f>-AC3/'Apple Consolidated Statements'!AC11</f>
        <v>4.033838892433525E-2</v>
      </c>
      <c r="AD4" s="51">
        <f>-AD3/'Apple Consolidated Statements'!AD11</f>
        <v>2.6625138881299748E-2</v>
      </c>
      <c r="AE4" s="51">
        <f>-AE3/'Apple Consolidated Statements'!AE11</f>
        <v>3.0302036264033657E-2</v>
      </c>
      <c r="AF4" s="51">
        <f>-AF3/'Apple Consolidated Statements'!AF11</f>
        <v>2.7155058732831552E-2</v>
      </c>
      <c r="AG4" s="51">
        <f>-AG3/'Apple Consolidated Statements'!AG11</f>
        <v>2.859230076835775E-2</v>
      </c>
      <c r="AH4" s="51">
        <f>-AH3/'Apple Consolidated Statements'!AH11</f>
        <v>2.415896275269477E-2</v>
      </c>
      <c r="AI4" s="51">
        <f>-AI3/'Apple Consolidated Statements'!AI11</f>
        <v>3.0553079216937677E-2</v>
      </c>
      <c r="AK4" s="108">
        <f>AVERAGE(B4:AI4)</f>
        <v>3.0458917116232581E-2</v>
      </c>
      <c r="AL4" s="108">
        <f>AVERAGE(O4:AI4)</f>
        <v>3.7186422293494253E-2</v>
      </c>
      <c r="AM4" s="108">
        <f>AVERAGE(Y4:AI4)</f>
        <v>3.8121904081732258E-2</v>
      </c>
      <c r="AN4" s="108">
        <f>AVERAGE(AD4:AI4)</f>
        <v>2.7897762769359194E-2</v>
      </c>
    </row>
  </sheetData>
  <mergeCells count="2">
    <mergeCell ref="A1:V1"/>
    <mergeCell ref="W1:A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A26D-4316-4F50-ACC0-54A30934DD6A}">
  <dimension ref="A1:C81"/>
  <sheetViews>
    <sheetView topLeftCell="A53" zoomScale="70" zoomScaleNormal="70" workbookViewId="0">
      <selection activeCell="F79" sqref="F79"/>
    </sheetView>
  </sheetViews>
  <sheetFormatPr defaultRowHeight="13.8"/>
  <cols>
    <col min="1" max="1" width="29" customWidth="1"/>
    <col min="2" max="2" width="48" customWidth="1"/>
    <col min="3" max="3" width="55" customWidth="1"/>
  </cols>
  <sheetData>
    <row r="1" spans="1:3">
      <c r="A1" s="109"/>
      <c r="B1" s="109"/>
      <c r="C1" t="s">
        <v>203</v>
      </c>
    </row>
    <row r="2" spans="1:3">
      <c r="A2" s="136" t="s">
        <v>204</v>
      </c>
      <c r="B2" s="136"/>
      <c r="C2" s="136"/>
    </row>
    <row r="3" spans="1:3" ht="14.4">
      <c r="A3" s="112" t="s">
        <v>205</v>
      </c>
      <c r="B3" s="113" t="s">
        <v>206</v>
      </c>
      <c r="C3" s="110" t="s">
        <v>207</v>
      </c>
    </row>
    <row r="4" spans="1:3" ht="14.4">
      <c r="A4" s="112" t="s">
        <v>209</v>
      </c>
      <c r="B4" s="113" t="s">
        <v>210</v>
      </c>
      <c r="C4" s="110" t="s">
        <v>208</v>
      </c>
    </row>
    <row r="5" spans="1:3" ht="14.4">
      <c r="A5" s="112" t="s">
        <v>211</v>
      </c>
      <c r="B5" s="113" t="s">
        <v>212</v>
      </c>
      <c r="C5" s="110" t="s">
        <v>213</v>
      </c>
    </row>
    <row r="6" spans="1:3" ht="14.4">
      <c r="A6" s="112" t="s">
        <v>214</v>
      </c>
      <c r="B6" s="113" t="s">
        <v>215</v>
      </c>
      <c r="C6" s="110" t="s">
        <v>208</v>
      </c>
    </row>
    <row r="7" spans="1:3" ht="14.4">
      <c r="A7" s="112" t="s">
        <v>216</v>
      </c>
      <c r="B7" s="113" t="s">
        <v>217</v>
      </c>
      <c r="C7" s="110" t="s">
        <v>208</v>
      </c>
    </row>
    <row r="8" spans="1:3" ht="14.4">
      <c r="A8" s="112" t="s">
        <v>218</v>
      </c>
      <c r="B8" s="114">
        <v>166000</v>
      </c>
      <c r="C8" s="110" t="s">
        <v>219</v>
      </c>
    </row>
    <row r="9" spans="1:3" ht="14.4">
      <c r="A9" s="112" t="s">
        <v>220</v>
      </c>
      <c r="B9" s="115">
        <v>416161</v>
      </c>
      <c r="C9" s="110" t="s">
        <v>221</v>
      </c>
    </row>
    <row r="10" spans="1:3" ht="28.8">
      <c r="A10" s="112" t="s">
        <v>222</v>
      </c>
      <c r="B10" s="113" t="s">
        <v>223</v>
      </c>
      <c r="C10" s="110" t="s">
        <v>219</v>
      </c>
    </row>
    <row r="11" spans="1:3" ht="28.8">
      <c r="A11" s="112" t="s">
        <v>224</v>
      </c>
      <c r="B11" s="113" t="s">
        <v>225</v>
      </c>
      <c r="C11" s="110" t="s">
        <v>219</v>
      </c>
    </row>
    <row r="12" spans="1:3" ht="14.4">
      <c r="A12" s="112" t="s">
        <v>226</v>
      </c>
      <c r="B12" s="113" t="s">
        <v>227</v>
      </c>
      <c r="C12" s="110" t="s">
        <v>219</v>
      </c>
    </row>
    <row r="13" spans="1:3" ht="14.4">
      <c r="A13" s="112" t="s">
        <v>228</v>
      </c>
      <c r="B13" s="113" t="s">
        <v>229</v>
      </c>
      <c r="C13" s="110" t="s">
        <v>219</v>
      </c>
    </row>
    <row r="14" spans="1:3" ht="14.4">
      <c r="A14" s="112"/>
      <c r="B14" s="113"/>
      <c r="C14" s="110"/>
    </row>
    <row r="15" spans="1:3" ht="14.4">
      <c r="A15" s="112" t="s">
        <v>278</v>
      </c>
      <c r="B15" s="113" t="s">
        <v>279</v>
      </c>
      <c r="C15" s="110" t="s">
        <v>280</v>
      </c>
    </row>
    <row r="16" spans="1:3" ht="14.4">
      <c r="A16" s="112" t="s">
        <v>281</v>
      </c>
      <c r="B16" s="113" t="s">
        <v>283</v>
      </c>
      <c r="C16" s="110" t="s">
        <v>282</v>
      </c>
    </row>
    <row r="17" spans="1:3">
      <c r="A17" s="109"/>
      <c r="B17" s="109"/>
      <c r="C17" s="109"/>
    </row>
    <row r="18" spans="1:3">
      <c r="A18" s="136" t="s">
        <v>230</v>
      </c>
      <c r="B18" s="136"/>
      <c r="C18" s="136"/>
    </row>
    <row r="19" spans="1:3" ht="14.4">
      <c r="A19" s="116" t="s">
        <v>231</v>
      </c>
      <c r="B19" s="113" t="s">
        <v>232</v>
      </c>
      <c r="C19" s="110" t="s">
        <v>219</v>
      </c>
    </row>
    <row r="20" spans="1:3" ht="14.4">
      <c r="A20" s="116" t="s">
        <v>233</v>
      </c>
      <c r="B20" s="113" t="s">
        <v>234</v>
      </c>
      <c r="C20" s="110" t="s">
        <v>219</v>
      </c>
    </row>
    <row r="21" spans="1:3" ht="14.4">
      <c r="A21" s="116" t="s">
        <v>235</v>
      </c>
      <c r="B21" s="113" t="s">
        <v>236</v>
      </c>
      <c r="C21" s="110" t="s">
        <v>219</v>
      </c>
    </row>
    <row r="22" spans="1:3" ht="14.4">
      <c r="A22" s="116" t="s">
        <v>237</v>
      </c>
      <c r="B22" s="113" t="s">
        <v>238</v>
      </c>
      <c r="C22" s="110" t="s">
        <v>219</v>
      </c>
    </row>
    <row r="23" spans="1:3" ht="14.4">
      <c r="A23" s="116" t="s">
        <v>239</v>
      </c>
      <c r="B23" s="113" t="s">
        <v>229</v>
      </c>
      <c r="C23" s="110" t="s">
        <v>219</v>
      </c>
    </row>
    <row r="24" spans="1:3" ht="14.4">
      <c r="A24" s="116" t="s">
        <v>240</v>
      </c>
      <c r="B24" s="115">
        <v>209586</v>
      </c>
      <c r="C24" s="110" t="s">
        <v>221</v>
      </c>
    </row>
    <row r="25" spans="1:3" ht="14.4">
      <c r="A25" s="116" t="s">
        <v>241</v>
      </c>
      <c r="B25" s="117">
        <v>0.50361759030759734</v>
      </c>
      <c r="C25" s="110" t="s">
        <v>221</v>
      </c>
    </row>
    <row r="26" spans="1:3" ht="14.4">
      <c r="A26" s="116" t="s">
        <v>242</v>
      </c>
      <c r="B26" s="117">
        <v>0.2</v>
      </c>
      <c r="C26" s="110" t="s">
        <v>243</v>
      </c>
    </row>
    <row r="27" spans="1:3" ht="14.4">
      <c r="A27" s="116" t="s">
        <v>244</v>
      </c>
      <c r="B27" s="113" t="s">
        <v>245</v>
      </c>
      <c r="C27" s="110" t="s">
        <v>243</v>
      </c>
    </row>
    <row r="28" spans="1:3">
      <c r="A28" s="109"/>
      <c r="B28" s="109"/>
      <c r="C28" s="109"/>
    </row>
    <row r="29" spans="1:3">
      <c r="A29" s="136" t="s">
        <v>246</v>
      </c>
      <c r="B29" s="136"/>
      <c r="C29" s="136"/>
    </row>
    <row r="30" spans="1:3" ht="14.4">
      <c r="A30" s="116" t="s">
        <v>231</v>
      </c>
      <c r="B30" s="113" t="s">
        <v>247</v>
      </c>
      <c r="C30" s="110" t="s">
        <v>219</v>
      </c>
    </row>
    <row r="31" spans="1:3" ht="28.8">
      <c r="A31" s="116" t="s">
        <v>233</v>
      </c>
      <c r="B31" s="113" t="s">
        <v>248</v>
      </c>
      <c r="C31" s="110" t="s">
        <v>219</v>
      </c>
    </row>
    <row r="32" spans="1:3" ht="14.4">
      <c r="A32" s="116" t="s">
        <v>235</v>
      </c>
      <c r="B32" s="113" t="s">
        <v>236</v>
      </c>
      <c r="C32" s="110" t="s">
        <v>219</v>
      </c>
    </row>
    <row r="33" spans="1:3" ht="14.4">
      <c r="A33" s="116" t="s">
        <v>237</v>
      </c>
      <c r="B33" s="113" t="s">
        <v>249</v>
      </c>
      <c r="C33" s="110" t="s">
        <v>219</v>
      </c>
    </row>
    <row r="34" spans="1:3" ht="14.4">
      <c r="A34" s="116" t="s">
        <v>239</v>
      </c>
      <c r="B34" s="113" t="s">
        <v>229</v>
      </c>
      <c r="C34" s="110" t="s">
        <v>219</v>
      </c>
    </row>
    <row r="35" spans="1:3" ht="14.4">
      <c r="A35" s="116" t="s">
        <v>240</v>
      </c>
      <c r="B35" s="115">
        <v>33708</v>
      </c>
      <c r="C35" s="110" t="s">
        <v>221</v>
      </c>
    </row>
    <row r="36" spans="1:3" ht="14.4">
      <c r="A36" s="116" t="s">
        <v>241</v>
      </c>
      <c r="B36" s="117">
        <v>8.0997498564257586E-2</v>
      </c>
      <c r="C36" s="110" t="s">
        <v>221</v>
      </c>
    </row>
    <row r="37" spans="1:3" ht="14.4">
      <c r="A37" s="116" t="s">
        <v>242</v>
      </c>
      <c r="B37" s="117" t="s">
        <v>250</v>
      </c>
      <c r="C37" s="110" t="s">
        <v>251</v>
      </c>
    </row>
    <row r="38" spans="1:3" ht="14.4">
      <c r="A38" s="116" t="s">
        <v>244</v>
      </c>
      <c r="B38" s="113" t="s">
        <v>252</v>
      </c>
      <c r="C38" s="110" t="s">
        <v>251</v>
      </c>
    </row>
    <row r="39" spans="1:3">
      <c r="A39" s="109"/>
      <c r="B39" s="109"/>
      <c r="C39" s="109"/>
    </row>
    <row r="40" spans="1:3">
      <c r="A40" s="136" t="s">
        <v>253</v>
      </c>
      <c r="B40" s="136"/>
      <c r="C40" s="136"/>
    </row>
    <row r="41" spans="1:3" ht="14.4">
      <c r="A41" s="116" t="s">
        <v>231</v>
      </c>
      <c r="B41" s="113" t="s">
        <v>254</v>
      </c>
      <c r="C41" s="110" t="s">
        <v>219</v>
      </c>
    </row>
    <row r="42" spans="1:3" ht="14.4">
      <c r="A42" s="116" t="s">
        <v>233</v>
      </c>
      <c r="B42" s="113" t="s">
        <v>255</v>
      </c>
      <c r="C42" s="110" t="s">
        <v>219</v>
      </c>
    </row>
    <row r="43" spans="1:3" ht="14.4">
      <c r="A43" s="116" t="s">
        <v>235</v>
      </c>
      <c r="B43" s="113" t="s">
        <v>236</v>
      </c>
      <c r="C43" s="110" t="s">
        <v>219</v>
      </c>
    </row>
    <row r="44" spans="1:3" ht="14.4">
      <c r="A44" s="116" t="s">
        <v>237</v>
      </c>
      <c r="B44" s="113" t="s">
        <v>249</v>
      </c>
      <c r="C44" s="110" t="s">
        <v>219</v>
      </c>
    </row>
    <row r="45" spans="1:3" ht="14.4">
      <c r="A45" s="116" t="s">
        <v>239</v>
      </c>
      <c r="B45" s="113" t="s">
        <v>229</v>
      </c>
      <c r="C45" s="110" t="s">
        <v>219</v>
      </c>
    </row>
    <row r="46" spans="1:3" ht="14.4">
      <c r="A46" s="116" t="s">
        <v>240</v>
      </c>
      <c r="B46" s="115">
        <v>28023</v>
      </c>
      <c r="C46" s="110" t="s">
        <v>221</v>
      </c>
    </row>
    <row r="47" spans="1:3" ht="14.4">
      <c r="A47" s="116" t="s">
        <v>241</v>
      </c>
      <c r="B47" s="117">
        <v>6.7336920086216626E-2</v>
      </c>
      <c r="C47" s="110" t="s">
        <v>221</v>
      </c>
    </row>
    <row r="48" spans="1:3" ht="14.4">
      <c r="A48" s="116" t="s">
        <v>242</v>
      </c>
      <c r="B48" s="117">
        <v>0.41899999999999998</v>
      </c>
      <c r="C48" s="110" t="s">
        <v>256</v>
      </c>
    </row>
    <row r="49" spans="1:3" ht="14.4">
      <c r="A49" s="116" t="s">
        <v>244</v>
      </c>
      <c r="B49" s="113" t="s">
        <v>257</v>
      </c>
      <c r="C49" s="110" t="s">
        <v>256</v>
      </c>
    </row>
    <row r="50" spans="1:3">
      <c r="A50" s="109"/>
      <c r="B50" s="109"/>
      <c r="C50" s="109"/>
    </row>
    <row r="51" spans="1:3">
      <c r="A51" s="136" t="s">
        <v>258</v>
      </c>
      <c r="B51" s="136"/>
      <c r="C51" s="136"/>
    </row>
    <row r="52" spans="1:3" ht="14.4">
      <c r="A52" s="116" t="s">
        <v>231</v>
      </c>
      <c r="B52" s="113" t="s">
        <v>259</v>
      </c>
      <c r="C52" s="110" t="s">
        <v>219</v>
      </c>
    </row>
    <row r="53" spans="1:3" ht="28.8">
      <c r="A53" s="116" t="s">
        <v>233</v>
      </c>
      <c r="B53" s="113" t="s">
        <v>260</v>
      </c>
      <c r="C53" s="110" t="s">
        <v>219</v>
      </c>
    </row>
    <row r="54" spans="1:3" ht="14.4">
      <c r="A54" s="116" t="s">
        <v>235</v>
      </c>
      <c r="B54" s="113" t="s">
        <v>236</v>
      </c>
      <c r="C54" s="110" t="s">
        <v>219</v>
      </c>
    </row>
    <row r="55" spans="1:3" ht="14.4">
      <c r="A55" s="116" t="s">
        <v>237</v>
      </c>
      <c r="B55" s="113" t="s">
        <v>261</v>
      </c>
      <c r="C55" s="110" t="s">
        <v>219</v>
      </c>
    </row>
    <row r="56" spans="1:3" ht="14.4">
      <c r="A56" s="116" t="s">
        <v>239</v>
      </c>
      <c r="B56" s="113" t="s">
        <v>229</v>
      </c>
      <c r="C56" s="110" t="s">
        <v>219</v>
      </c>
    </row>
    <row r="57" spans="1:3" ht="14.4">
      <c r="A57" s="116" t="s">
        <v>240</v>
      </c>
      <c r="B57" s="115">
        <v>35686</v>
      </c>
      <c r="C57" s="110" t="s">
        <v>221</v>
      </c>
    </row>
    <row r="58" spans="1:3" ht="14.4">
      <c r="A58" s="116" t="s">
        <v>241</v>
      </c>
      <c r="B58" s="117">
        <v>8.5750466766467789E-2</v>
      </c>
      <c r="C58" s="110" t="s">
        <v>221</v>
      </c>
    </row>
    <row r="59" spans="1:3" ht="14.4">
      <c r="A59" s="116" t="s">
        <v>262</v>
      </c>
      <c r="B59" s="117">
        <v>0.20899999999999999</v>
      </c>
      <c r="C59" s="110" t="s">
        <v>263</v>
      </c>
    </row>
    <row r="60" spans="1:3" ht="14.4">
      <c r="A60" s="116" t="s">
        <v>244</v>
      </c>
      <c r="B60" s="113" t="s">
        <v>264</v>
      </c>
      <c r="C60" s="110" t="s">
        <v>263</v>
      </c>
    </row>
    <row r="61" spans="1:3">
      <c r="A61" s="109"/>
      <c r="B61" s="109"/>
      <c r="C61" s="109"/>
    </row>
    <row r="62" spans="1:3">
      <c r="A62" s="136" t="s">
        <v>265</v>
      </c>
      <c r="B62" s="136"/>
      <c r="C62" s="136"/>
    </row>
    <row r="63" spans="1:3" ht="14.4">
      <c r="A63" s="116" t="s">
        <v>231</v>
      </c>
      <c r="B63" s="113" t="s">
        <v>266</v>
      </c>
      <c r="C63" s="110" t="s">
        <v>219</v>
      </c>
    </row>
    <row r="64" spans="1:3" ht="43.2">
      <c r="A64" s="116" t="s">
        <v>267</v>
      </c>
      <c r="B64" s="113" t="s">
        <v>268</v>
      </c>
      <c r="C64" s="110" t="s">
        <v>219</v>
      </c>
    </row>
    <row r="65" spans="1:3" ht="14.4">
      <c r="A65" s="116" t="s">
        <v>235</v>
      </c>
      <c r="B65" s="113" t="s">
        <v>269</v>
      </c>
      <c r="C65" s="110" t="s">
        <v>219</v>
      </c>
    </row>
    <row r="66" spans="1:3" ht="14.4">
      <c r="A66" s="116" t="s">
        <v>237</v>
      </c>
      <c r="B66" s="113" t="s">
        <v>270</v>
      </c>
      <c r="C66" s="110" t="s">
        <v>219</v>
      </c>
    </row>
    <row r="67" spans="1:3" ht="14.4">
      <c r="A67" s="116" t="s">
        <v>239</v>
      </c>
      <c r="B67" s="113" t="s">
        <v>271</v>
      </c>
      <c r="C67" s="110" t="s">
        <v>219</v>
      </c>
    </row>
    <row r="68" spans="1:3" ht="14.4">
      <c r="A68" s="116" t="s">
        <v>240</v>
      </c>
      <c r="B68" s="115">
        <v>109158</v>
      </c>
      <c r="C68" s="110" t="s">
        <v>221</v>
      </c>
    </row>
    <row r="69" spans="1:3" ht="14.4">
      <c r="A69" s="116" t="s">
        <v>241</v>
      </c>
      <c r="B69" s="117">
        <v>0.26229752427546071</v>
      </c>
      <c r="C69" s="110" t="s">
        <v>221</v>
      </c>
    </row>
    <row r="70" spans="1:3" ht="14.4">
      <c r="A70" s="116" t="s">
        <v>242</v>
      </c>
      <c r="B70" s="117"/>
      <c r="C70" s="110"/>
    </row>
    <row r="71" spans="1:3" ht="14.4">
      <c r="A71" s="116" t="s">
        <v>272</v>
      </c>
      <c r="B71" s="113" t="s">
        <v>273</v>
      </c>
      <c r="C71" s="111" t="s">
        <v>219</v>
      </c>
    </row>
    <row r="72" spans="1:3">
      <c r="A72" s="109"/>
      <c r="B72" s="109"/>
      <c r="C72" s="109"/>
    </row>
    <row r="73" spans="1:3">
      <c r="A73" s="109"/>
      <c r="B73" s="109"/>
      <c r="C73" s="109"/>
    </row>
    <row r="74" spans="1:3">
      <c r="A74" s="118" t="s">
        <v>274</v>
      </c>
      <c r="B74" s="109"/>
      <c r="C74" s="109"/>
    </row>
    <row r="75" spans="1:3">
      <c r="A75" s="118" t="s">
        <v>275</v>
      </c>
      <c r="B75" s="109"/>
      <c r="C75" s="109"/>
    </row>
    <row r="76" spans="1:3">
      <c r="A76" s="118"/>
      <c r="B76" s="109"/>
      <c r="C76" s="109"/>
    </row>
    <row r="77" spans="1:3">
      <c r="A77" s="118"/>
      <c r="B77" s="109"/>
      <c r="C77" s="109"/>
    </row>
    <row r="78" spans="1:3">
      <c r="A78" s="109"/>
      <c r="B78" s="109"/>
      <c r="C78" s="109"/>
    </row>
    <row r="79" spans="1:3">
      <c r="A79" s="109"/>
      <c r="B79" s="109"/>
      <c r="C79" s="109"/>
    </row>
    <row r="80" spans="1:3">
      <c r="A80" s="109"/>
      <c r="B80" s="109"/>
      <c r="C80" s="109"/>
    </row>
    <row r="81" spans="1:3">
      <c r="A81" s="109"/>
      <c r="B81" s="109"/>
      <c r="C81" s="109"/>
    </row>
  </sheetData>
  <mergeCells count="6">
    <mergeCell ref="A62:C62"/>
    <mergeCell ref="A2:C2"/>
    <mergeCell ref="A18:C18"/>
    <mergeCell ref="A29:C29"/>
    <mergeCell ref="A40:C40"/>
    <mergeCell ref="A51:C51"/>
  </mergeCells>
  <hyperlinks>
    <hyperlink ref="C15" r:id="rId1" xr:uid="{66F752B3-DB03-43FC-944B-C81CA89417BE}"/>
    <hyperlink ref="C16" r:id="rId2" xr:uid="{B0A62C8F-616B-4872-AF62-5FB8A4C1420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Apple Consolidated Statements</vt:lpstr>
      <vt:lpstr>Apple Unit Volumes</vt:lpstr>
      <vt:lpstr>Apple Product Revenue</vt:lpstr>
      <vt:lpstr>Apple Country Revenue</vt:lpstr>
      <vt:lpstr>Apple Debt</vt:lpstr>
      <vt:lpstr>Apple Capex</vt:lpstr>
      <vt:lpstr>Apple Company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Simba Choga</cp:lastModifiedBy>
  <dcterms:modified xsi:type="dcterms:W3CDTF">2026-10-08T14:13:14Z</dcterms:modified>
</cp:coreProperties>
</file>