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omments8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imba\U.S Companies - Equity Reseach\Technology Hardware &amp; Equipment Sector\Technology Hardware, Storage &amp; Peripherals Industry\Apple - Research Excel Documents\"/>
    </mc:Choice>
  </mc:AlternateContent>
  <xr:revisionPtr revIDLastSave="0" documentId="13_ncr:1_{2221DF23-C0D1-4A64-98D2-D0BDEA15B677}" xr6:coauthVersionLast="47" xr6:coauthVersionMax="47" xr10:uidLastSave="{00000000-0000-0000-0000-000000000000}"/>
  <bookViews>
    <workbookView xWindow="-108" yWindow="-108" windowWidth="23256" windowHeight="13176" firstSheet="3" activeTab="6" xr2:uid="{00000000-000D-0000-FFFF-FFFF00000000}"/>
  </bookViews>
  <sheets>
    <sheet name="Wearable Device Market Share" sheetId="3" r:id="rId1"/>
    <sheet name="Wearable Technology Market Size" sheetId="1" r:id="rId2"/>
    <sheet name="Wearable Device Shipments" sheetId="2" r:id="rId3"/>
    <sheet name="Services Music Streaming" sheetId="5" r:id="rId4"/>
    <sheet name="Services Video Streaming" sheetId="6" r:id="rId5"/>
    <sheet name="Services Cloud Storage" sheetId="7" r:id="rId6"/>
    <sheet name="Serviecs App Distribution" sheetId="8" r:id="rId7"/>
    <sheet name="Services Digital Payments" sheetId="9" r:id="rId8"/>
    <sheet name="Services Digital Payments 2" sheetId="10" r:id="rId9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0" l="1"/>
  <c r="L22" i="10"/>
  <c r="K22" i="10"/>
  <c r="J22" i="10"/>
  <c r="I22" i="10"/>
  <c r="H22" i="10"/>
  <c r="D21" i="3"/>
  <c r="E21" i="3" s="1"/>
  <c r="F21" i="3" s="1"/>
  <c r="G21" i="3" s="1"/>
  <c r="H21" i="3" s="1"/>
  <c r="I21" i="3" s="1"/>
  <c r="J21" i="3" s="1"/>
  <c r="K21" i="3" s="1"/>
  <c r="L21" i="3" s="1"/>
  <c r="I17" i="3"/>
  <c r="I27" i="3" s="1"/>
  <c r="G17" i="3"/>
  <c r="G25" i="3" s="1"/>
  <c r="F17" i="3"/>
  <c r="F24" i="3" s="1"/>
  <c r="E17" i="3"/>
  <c r="E22" i="3" s="1"/>
  <c r="D17" i="3"/>
  <c r="D28" i="3" s="1"/>
  <c r="C17" i="3"/>
  <c r="C27" i="3" s="1"/>
  <c r="B17" i="3"/>
  <c r="B26" i="3" s="1"/>
  <c r="I48" i="2"/>
  <c r="H48" i="2"/>
  <c r="G48" i="2"/>
  <c r="F48" i="2"/>
  <c r="E48" i="2"/>
  <c r="D48" i="2"/>
  <c r="C48" i="2"/>
  <c r="B48" i="2"/>
  <c r="I47" i="2"/>
  <c r="H47" i="2"/>
  <c r="G47" i="2"/>
  <c r="F47" i="2"/>
  <c r="E47" i="2"/>
  <c r="D47" i="2"/>
  <c r="C47" i="2"/>
  <c r="B47" i="2"/>
  <c r="I46" i="2"/>
  <c r="H46" i="2"/>
  <c r="G46" i="2"/>
  <c r="F46" i="2"/>
  <c r="E46" i="2"/>
  <c r="D46" i="2"/>
  <c r="C46" i="2"/>
  <c r="B46" i="2"/>
  <c r="I45" i="2"/>
  <c r="H45" i="2"/>
  <c r="G45" i="2"/>
  <c r="F45" i="2"/>
  <c r="E45" i="2"/>
  <c r="D45" i="2"/>
  <c r="C45" i="2"/>
  <c r="B45" i="2"/>
  <c r="I44" i="2"/>
  <c r="H44" i="2"/>
  <c r="G44" i="2"/>
  <c r="F44" i="2"/>
  <c r="E44" i="2"/>
  <c r="D44" i="2"/>
  <c r="C44" i="2"/>
  <c r="B44" i="2"/>
  <c r="I43" i="2"/>
  <c r="H43" i="2"/>
  <c r="G43" i="2"/>
  <c r="F43" i="2"/>
  <c r="E43" i="2"/>
  <c r="D43" i="2"/>
  <c r="C43" i="2"/>
  <c r="B43" i="2"/>
  <c r="I42" i="2"/>
  <c r="H42" i="2"/>
  <c r="G42" i="2"/>
  <c r="F42" i="2"/>
  <c r="E42" i="2"/>
  <c r="D42" i="2"/>
  <c r="C42" i="2"/>
  <c r="B42" i="2"/>
  <c r="I41" i="2"/>
  <c r="H41" i="2"/>
  <c r="G41" i="2"/>
  <c r="F41" i="2"/>
  <c r="E41" i="2"/>
  <c r="D41" i="2"/>
  <c r="C41" i="2"/>
  <c r="B41" i="2"/>
  <c r="M15" i="10"/>
  <c r="L15" i="10"/>
  <c r="K15" i="10"/>
  <c r="M21" i="10"/>
  <c r="M19" i="10"/>
  <c r="L19" i="10"/>
  <c r="K19" i="10"/>
  <c r="J19" i="10"/>
  <c r="I19" i="10"/>
  <c r="H19" i="10"/>
  <c r="G19" i="10"/>
  <c r="F19" i="10"/>
  <c r="E19" i="10"/>
  <c r="D19" i="10"/>
  <c r="C19" i="10"/>
  <c r="M17" i="10"/>
  <c r="L17" i="10"/>
  <c r="K17" i="10"/>
  <c r="J17" i="10"/>
  <c r="I17" i="10"/>
  <c r="J15" i="10"/>
  <c r="I15" i="10"/>
  <c r="H15" i="10"/>
  <c r="G15" i="10"/>
  <c r="F15" i="10"/>
  <c r="E15" i="10"/>
  <c r="D15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P4" i="10"/>
  <c r="O4" i="10"/>
  <c r="N4" i="10"/>
  <c r="M4" i="10"/>
  <c r="L4" i="10"/>
  <c r="K4" i="10"/>
  <c r="J4" i="10"/>
  <c r="C13" i="10"/>
  <c r="D13" i="10" s="1"/>
  <c r="E13" i="10" s="1"/>
  <c r="F13" i="10" s="1"/>
  <c r="G13" i="10" s="1"/>
  <c r="H13" i="10" s="1"/>
  <c r="I13" i="10" s="1"/>
  <c r="J13" i="10" s="1"/>
  <c r="K13" i="10" s="1"/>
  <c r="L13" i="10" s="1"/>
  <c r="M13" i="10" s="1"/>
  <c r="C2" i="10"/>
  <c r="D2" i="10" s="1"/>
  <c r="E2" i="10" s="1"/>
  <c r="F2" i="10" s="1"/>
  <c r="H2" i="10"/>
  <c r="I2" i="10" s="1"/>
  <c r="J2" i="10" s="1"/>
  <c r="K2" i="10" s="1"/>
  <c r="L2" i="10" s="1"/>
  <c r="M2" i="10" s="1"/>
  <c r="N2" i="10" s="1"/>
  <c r="O2" i="10" s="1"/>
  <c r="P2" i="10" s="1"/>
  <c r="G46" i="9"/>
  <c r="H46" i="9" s="1"/>
  <c r="I47" i="9" s="1"/>
  <c r="G44" i="9"/>
  <c r="H44" i="9" s="1"/>
  <c r="I45" i="9" s="1"/>
  <c r="G42" i="9"/>
  <c r="H42" i="9" s="1"/>
  <c r="I43" i="9" s="1"/>
  <c r="G40" i="9"/>
  <c r="H40" i="9" s="1"/>
  <c r="I41" i="9" s="1"/>
  <c r="G38" i="9"/>
  <c r="H38" i="9" s="1"/>
  <c r="I39" i="9" s="1"/>
  <c r="F47" i="9"/>
  <c r="E47" i="9"/>
  <c r="D47" i="9"/>
  <c r="C47" i="9"/>
  <c r="F45" i="9"/>
  <c r="E45" i="9"/>
  <c r="D45" i="9"/>
  <c r="C45" i="9"/>
  <c r="F43" i="9"/>
  <c r="E43" i="9"/>
  <c r="D43" i="9"/>
  <c r="C43" i="9"/>
  <c r="F41" i="9"/>
  <c r="E41" i="9"/>
  <c r="D41" i="9"/>
  <c r="C41" i="9"/>
  <c r="F39" i="9"/>
  <c r="E39" i="9"/>
  <c r="D39" i="9"/>
  <c r="C39" i="9"/>
  <c r="I48" i="9"/>
  <c r="F48" i="9"/>
  <c r="E48" i="9"/>
  <c r="D48" i="9"/>
  <c r="C48" i="9"/>
  <c r="B48" i="9"/>
  <c r="G37" i="9"/>
  <c r="H37" i="9" s="1"/>
  <c r="I49" i="8"/>
  <c r="H49" i="8"/>
  <c r="G49" i="8"/>
  <c r="F49" i="8"/>
  <c r="E49" i="8"/>
  <c r="D49" i="8"/>
  <c r="C49" i="8"/>
  <c r="I47" i="8"/>
  <c r="H47" i="8"/>
  <c r="G47" i="8"/>
  <c r="F47" i="8"/>
  <c r="E47" i="8"/>
  <c r="D47" i="8"/>
  <c r="C47" i="8"/>
  <c r="H41" i="8"/>
  <c r="G41" i="8"/>
  <c r="F41" i="8"/>
  <c r="E41" i="8"/>
  <c r="D41" i="8"/>
  <c r="C41" i="8"/>
  <c r="E33" i="8"/>
  <c r="D33" i="8"/>
  <c r="C33" i="8"/>
  <c r="E31" i="8"/>
  <c r="D31" i="8"/>
  <c r="C31" i="8"/>
  <c r="E29" i="8"/>
  <c r="D29" i="8"/>
  <c r="C29" i="8"/>
  <c r="E27" i="8"/>
  <c r="D27" i="8"/>
  <c r="C27" i="8"/>
  <c r="E25" i="8"/>
  <c r="D25" i="8"/>
  <c r="C25" i="8"/>
  <c r="E23" i="8"/>
  <c r="D23" i="8"/>
  <c r="C23" i="8"/>
  <c r="E21" i="8"/>
  <c r="D21" i="8"/>
  <c r="C21" i="8"/>
  <c r="C19" i="8"/>
  <c r="E17" i="8"/>
  <c r="D17" i="8"/>
  <c r="C17" i="8"/>
  <c r="G9" i="8"/>
  <c r="F9" i="8"/>
  <c r="E9" i="8"/>
  <c r="D9" i="8"/>
  <c r="C9" i="8"/>
  <c r="G7" i="8"/>
  <c r="F7" i="8"/>
  <c r="E7" i="8"/>
  <c r="D7" i="8"/>
  <c r="C7" i="8"/>
  <c r="I50" i="8"/>
  <c r="I51" i="8" s="1"/>
  <c r="H50" i="8"/>
  <c r="H51" i="8" s="1"/>
  <c r="G50" i="8"/>
  <c r="G51" i="8" s="1"/>
  <c r="F50" i="8"/>
  <c r="F51" i="8" s="1"/>
  <c r="E50" i="8"/>
  <c r="E51" i="8" s="1"/>
  <c r="D50" i="8"/>
  <c r="D51" i="8" s="1"/>
  <c r="C50" i="8"/>
  <c r="C51" i="8" s="1"/>
  <c r="B50" i="8"/>
  <c r="G10" i="8"/>
  <c r="F10" i="8"/>
  <c r="G11" i="8" s="1"/>
  <c r="E10" i="8"/>
  <c r="F11" i="8" s="1"/>
  <c r="D10" i="8"/>
  <c r="D11" i="8" s="1"/>
  <c r="C10" i="8"/>
  <c r="B10" i="8"/>
  <c r="C11" i="8" s="1"/>
  <c r="C39" i="8"/>
  <c r="D39" i="8" s="1"/>
  <c r="E39" i="8" s="1"/>
  <c r="F39" i="8" s="1"/>
  <c r="G39" i="8" s="1"/>
  <c r="H39" i="8" s="1"/>
  <c r="B18" i="8"/>
  <c r="B34" i="8" s="1"/>
  <c r="C18" i="8"/>
  <c r="D18" i="8"/>
  <c r="D19" i="8" s="1"/>
  <c r="E18" i="8"/>
  <c r="E34" i="8" s="1"/>
  <c r="E35" i="8" s="1"/>
  <c r="C34" i="8"/>
  <c r="C35" i="8" s="1"/>
  <c r="D34" i="8"/>
  <c r="D35" i="8" s="1"/>
  <c r="C5" i="8"/>
  <c r="D5" i="8" s="1"/>
  <c r="E5" i="8" s="1"/>
  <c r="F5" i="8" s="1"/>
  <c r="G5" i="8" s="1"/>
  <c r="P23" i="6"/>
  <c r="O23" i="6"/>
  <c r="N23" i="6"/>
  <c r="M23" i="6"/>
  <c r="L23" i="6"/>
  <c r="K23" i="6"/>
  <c r="J23" i="6"/>
  <c r="I23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Q17" i="6"/>
  <c r="P17" i="6"/>
  <c r="O17" i="6"/>
  <c r="N17" i="6"/>
  <c r="M17" i="6"/>
  <c r="P15" i="6"/>
  <c r="O15" i="6"/>
  <c r="N15" i="6"/>
  <c r="M15" i="6"/>
  <c r="Q13" i="6"/>
  <c r="P13" i="6"/>
  <c r="O13" i="6"/>
  <c r="N13" i="6"/>
  <c r="M13" i="6"/>
  <c r="L13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C11" i="6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J5" i="6"/>
  <c r="K5" i="6" s="1"/>
  <c r="L5" i="6" s="1"/>
  <c r="M5" i="6" s="1"/>
  <c r="N6" i="6" s="1"/>
  <c r="F5" i="6"/>
  <c r="G5" i="6" s="1"/>
  <c r="H5" i="6" s="1"/>
  <c r="I6" i="6" s="1"/>
  <c r="E6" i="6"/>
  <c r="D6" i="6"/>
  <c r="C6" i="6"/>
  <c r="C4" i="6"/>
  <c r="D4" i="6" s="1"/>
  <c r="E4" i="6" s="1"/>
  <c r="F4" i="6" s="1"/>
  <c r="G4" i="6" s="1"/>
  <c r="H4" i="6" s="1"/>
  <c r="I4" i="6" s="1"/>
  <c r="J4" i="6" s="1"/>
  <c r="K4" i="6" s="1"/>
  <c r="L4" i="6" s="1"/>
  <c r="M4" i="6" s="1"/>
  <c r="N4" i="6" s="1"/>
  <c r="J18" i="5"/>
  <c r="J17" i="5"/>
  <c r="I17" i="5"/>
  <c r="H17" i="5"/>
  <c r="G17" i="5"/>
  <c r="F17" i="5"/>
  <c r="E17" i="5"/>
  <c r="K21" i="5"/>
  <c r="J21" i="5"/>
  <c r="I21" i="5"/>
  <c r="H21" i="5"/>
  <c r="G21" i="5"/>
  <c r="F21" i="5"/>
  <c r="D17" i="5"/>
  <c r="K18" i="5"/>
  <c r="I18" i="5"/>
  <c r="H18" i="5"/>
  <c r="G18" i="5"/>
  <c r="F18" i="5"/>
  <c r="E18" i="5"/>
  <c r="D18" i="5"/>
  <c r="C18" i="5"/>
  <c r="D15" i="5"/>
  <c r="E15" i="5" s="1"/>
  <c r="F15" i="5" s="1"/>
  <c r="G15" i="5" s="1"/>
  <c r="H15" i="5" s="1"/>
  <c r="I15" i="5" s="1"/>
  <c r="J15" i="5" s="1"/>
  <c r="K15" i="5" s="1"/>
  <c r="L39" i="5"/>
  <c r="K39" i="5"/>
  <c r="J39" i="5"/>
  <c r="I39" i="5"/>
  <c r="H39" i="5"/>
  <c r="L37" i="5"/>
  <c r="K37" i="5"/>
  <c r="J37" i="5"/>
  <c r="I37" i="5"/>
  <c r="H37" i="5"/>
  <c r="G39" i="5"/>
  <c r="G37" i="5"/>
  <c r="L35" i="5"/>
  <c r="K35" i="5"/>
  <c r="J35" i="5"/>
  <c r="I35" i="5"/>
  <c r="H35" i="5"/>
  <c r="G35" i="5"/>
  <c r="L33" i="5"/>
  <c r="K33" i="5"/>
  <c r="J33" i="5"/>
  <c r="I33" i="5"/>
  <c r="H33" i="5"/>
  <c r="G33" i="5"/>
  <c r="F33" i="5"/>
  <c r="E33" i="5"/>
  <c r="D33" i="5"/>
  <c r="L31" i="5"/>
  <c r="K31" i="5"/>
  <c r="J31" i="5"/>
  <c r="I31" i="5"/>
  <c r="H31" i="5"/>
  <c r="G31" i="5"/>
  <c r="F31" i="5"/>
  <c r="L29" i="5"/>
  <c r="K29" i="5"/>
  <c r="J29" i="5"/>
  <c r="I29" i="5"/>
  <c r="H29" i="5"/>
  <c r="G29" i="5"/>
  <c r="F29" i="5"/>
  <c r="E29" i="5"/>
  <c r="D29" i="5"/>
  <c r="L27" i="5"/>
  <c r="K27" i="5"/>
  <c r="J27" i="5"/>
  <c r="I27" i="5"/>
  <c r="H27" i="5"/>
  <c r="G27" i="5"/>
  <c r="F27" i="5"/>
  <c r="E27" i="5"/>
  <c r="D27" i="5"/>
  <c r="K10" i="5"/>
  <c r="J10" i="5"/>
  <c r="I10" i="5"/>
  <c r="H10" i="5"/>
  <c r="G10" i="5"/>
  <c r="F10" i="5"/>
  <c r="E10" i="5"/>
  <c r="K8" i="5"/>
  <c r="J8" i="5"/>
  <c r="I8" i="5"/>
  <c r="H8" i="5"/>
  <c r="G8" i="5"/>
  <c r="F8" i="5"/>
  <c r="E8" i="5"/>
  <c r="D8" i="5"/>
  <c r="C8" i="5"/>
  <c r="K6" i="5"/>
  <c r="J6" i="5"/>
  <c r="I6" i="5"/>
  <c r="H6" i="5"/>
  <c r="G6" i="5"/>
  <c r="F6" i="5"/>
  <c r="E6" i="5"/>
  <c r="D6" i="5"/>
  <c r="D45" i="5"/>
  <c r="E45" i="5" s="1"/>
  <c r="F45" i="5" s="1"/>
  <c r="G45" i="5" s="1"/>
  <c r="H45" i="5" s="1"/>
  <c r="I45" i="5" s="1"/>
  <c r="J45" i="5" s="1"/>
  <c r="K45" i="5" s="1"/>
  <c r="L45" i="5" s="1"/>
  <c r="L40" i="5"/>
  <c r="L50" i="5" s="1"/>
  <c r="K40" i="5"/>
  <c r="K50" i="5" s="1"/>
  <c r="J40" i="5"/>
  <c r="J50" i="5" s="1"/>
  <c r="I40" i="5"/>
  <c r="I53" i="5" s="1"/>
  <c r="H40" i="5"/>
  <c r="H53" i="5" s="1"/>
  <c r="G40" i="5"/>
  <c r="G53" i="5" s="1"/>
  <c r="F40" i="5"/>
  <c r="F52" i="5" s="1"/>
  <c r="E40" i="5"/>
  <c r="E52" i="5" s="1"/>
  <c r="D40" i="5"/>
  <c r="D52" i="5" s="1"/>
  <c r="C40" i="5"/>
  <c r="C52" i="5" s="1"/>
  <c r="D25" i="5"/>
  <c r="E25" i="5" s="1"/>
  <c r="F25" i="5" s="1"/>
  <c r="G25" i="5" s="1"/>
  <c r="H25" i="5" s="1"/>
  <c r="I25" i="5" s="1"/>
  <c r="J25" i="5" s="1"/>
  <c r="K25" i="5" s="1"/>
  <c r="L25" i="5" s="1"/>
  <c r="D4" i="5"/>
  <c r="E4" i="5" s="1"/>
  <c r="F4" i="5" s="1"/>
  <c r="G4" i="5" s="1"/>
  <c r="H4" i="5" s="1"/>
  <c r="I4" i="5" s="1"/>
  <c r="J4" i="5" s="1"/>
  <c r="K4" i="5" s="1"/>
  <c r="I36" i="2"/>
  <c r="H36" i="2"/>
  <c r="G36" i="2"/>
  <c r="F36" i="2"/>
  <c r="E36" i="2"/>
  <c r="D36" i="2"/>
  <c r="C36" i="2"/>
  <c r="I34" i="2"/>
  <c r="H34" i="2"/>
  <c r="G34" i="2"/>
  <c r="F34" i="2"/>
  <c r="E34" i="2"/>
  <c r="I32" i="2"/>
  <c r="H32" i="2"/>
  <c r="G32" i="2"/>
  <c r="F32" i="2"/>
  <c r="E32" i="2"/>
  <c r="I30" i="2"/>
  <c r="H30" i="2"/>
  <c r="G30" i="2"/>
  <c r="F30" i="2"/>
  <c r="E30" i="2"/>
  <c r="I28" i="2"/>
  <c r="H28" i="2"/>
  <c r="G28" i="2"/>
  <c r="F28" i="2"/>
  <c r="E28" i="2"/>
  <c r="D28" i="2"/>
  <c r="C28" i="2"/>
  <c r="I26" i="2"/>
  <c r="H26" i="2"/>
  <c r="G26" i="2"/>
  <c r="F26" i="2"/>
  <c r="E26" i="2"/>
  <c r="D26" i="2"/>
  <c r="C26" i="2"/>
  <c r="I24" i="2"/>
  <c r="H24" i="2"/>
  <c r="G24" i="2"/>
  <c r="F24" i="2"/>
  <c r="E24" i="2"/>
  <c r="D24" i="2"/>
  <c r="C24" i="2"/>
  <c r="I37" i="2"/>
  <c r="H37" i="2"/>
  <c r="G37" i="2"/>
  <c r="F37" i="2"/>
  <c r="E37" i="2"/>
  <c r="D37" i="2"/>
  <c r="C37" i="2"/>
  <c r="B37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K12" i="2"/>
  <c r="J12" i="2"/>
  <c r="I12" i="2"/>
  <c r="H12" i="2"/>
  <c r="G12" i="2"/>
  <c r="F12" i="2"/>
  <c r="E12" i="2"/>
  <c r="D12" i="2"/>
  <c r="C12" i="2"/>
  <c r="B12" i="2"/>
  <c r="K6" i="2"/>
  <c r="J6" i="2"/>
  <c r="I6" i="2"/>
  <c r="H6" i="2"/>
  <c r="G6" i="2"/>
  <c r="F6" i="2"/>
  <c r="E6" i="2"/>
  <c r="D6" i="2"/>
  <c r="C6" i="2"/>
  <c r="B6" i="2"/>
  <c r="L3" i="1"/>
  <c r="K3" i="1"/>
  <c r="J3" i="1"/>
  <c r="I3" i="1"/>
  <c r="H3" i="1"/>
  <c r="G3" i="1"/>
  <c r="F3" i="1"/>
  <c r="E3" i="1"/>
  <c r="D3" i="1"/>
  <c r="C3" i="1"/>
  <c r="D14" i="3"/>
  <c r="C14" i="3"/>
  <c r="F16" i="3"/>
  <c r="E16" i="3"/>
  <c r="D16" i="3"/>
  <c r="I12" i="3"/>
  <c r="H12" i="3"/>
  <c r="G12" i="3"/>
  <c r="C12" i="3"/>
  <c r="I10" i="3"/>
  <c r="H10" i="3"/>
  <c r="G10" i="3"/>
  <c r="F10" i="3"/>
  <c r="G8" i="3"/>
  <c r="F8" i="3"/>
  <c r="E8" i="3"/>
  <c r="D8" i="3"/>
  <c r="C8" i="3"/>
  <c r="I6" i="3"/>
  <c r="H6" i="3"/>
  <c r="G6" i="3"/>
  <c r="F6" i="3"/>
  <c r="E6" i="3"/>
  <c r="D6" i="3"/>
  <c r="C6" i="3"/>
  <c r="I4" i="3"/>
  <c r="H4" i="3"/>
  <c r="G4" i="3"/>
  <c r="F4" i="3"/>
  <c r="E4" i="3"/>
  <c r="D4" i="3"/>
  <c r="C4" i="3"/>
  <c r="L13" i="3"/>
  <c r="L11" i="3"/>
  <c r="L9" i="3"/>
  <c r="L5" i="3"/>
  <c r="L3" i="3"/>
  <c r="K13" i="3"/>
  <c r="K11" i="3"/>
  <c r="K9" i="3"/>
  <c r="K5" i="3"/>
  <c r="K3" i="3"/>
  <c r="J9" i="3"/>
  <c r="J10" i="3" s="1"/>
  <c r="J11" i="3"/>
  <c r="J5" i="3"/>
  <c r="J6" i="3" s="1"/>
  <c r="J3" i="3"/>
  <c r="J4" i="3" s="1"/>
  <c r="H13" i="3"/>
  <c r="H7" i="3"/>
  <c r="H8" i="3" s="1"/>
  <c r="G15" i="3"/>
  <c r="G16" i="3" s="1"/>
  <c r="D2" i="3"/>
  <c r="E2" i="3" s="1"/>
  <c r="F2" i="3" s="1"/>
  <c r="G2" i="3" s="1"/>
  <c r="H2" i="3" s="1"/>
  <c r="I2" i="3" s="1"/>
  <c r="J2" i="3" s="1"/>
  <c r="K2" i="3" s="1"/>
  <c r="L2" i="3" s="1"/>
  <c r="E29" i="3" l="1"/>
  <c r="F22" i="3"/>
  <c r="F23" i="3"/>
  <c r="G22" i="3"/>
  <c r="I22" i="3"/>
  <c r="L14" i="3"/>
  <c r="G23" i="3"/>
  <c r="I23" i="3"/>
  <c r="G24" i="3"/>
  <c r="I24" i="3"/>
  <c r="I25" i="3"/>
  <c r="I26" i="3"/>
  <c r="B25" i="3"/>
  <c r="C26" i="3"/>
  <c r="D27" i="3"/>
  <c r="E28" i="3"/>
  <c r="F29" i="3"/>
  <c r="B24" i="3"/>
  <c r="C25" i="3"/>
  <c r="D26" i="3"/>
  <c r="E27" i="3"/>
  <c r="F28" i="3"/>
  <c r="G29" i="3"/>
  <c r="B23" i="3"/>
  <c r="C24" i="3"/>
  <c r="D25" i="3"/>
  <c r="E26" i="3"/>
  <c r="F27" i="3"/>
  <c r="G28" i="3"/>
  <c r="B22" i="3"/>
  <c r="C23" i="3"/>
  <c r="D24" i="3"/>
  <c r="E25" i="3"/>
  <c r="F26" i="3"/>
  <c r="G27" i="3"/>
  <c r="I29" i="3"/>
  <c r="C22" i="3"/>
  <c r="D23" i="3"/>
  <c r="E24" i="3"/>
  <c r="F25" i="3"/>
  <c r="G26" i="3"/>
  <c r="I28" i="3"/>
  <c r="D22" i="3"/>
  <c r="E23" i="3"/>
  <c r="B29" i="3"/>
  <c r="B28" i="3"/>
  <c r="C29" i="3"/>
  <c r="B27" i="3"/>
  <c r="C28" i="3"/>
  <c r="D29" i="3"/>
  <c r="L10" i="3"/>
  <c r="L12" i="3"/>
  <c r="K12" i="3"/>
  <c r="K4" i="3"/>
  <c r="L6" i="3"/>
  <c r="H17" i="3"/>
  <c r="K10" i="3"/>
  <c r="J17" i="3"/>
  <c r="K17" i="3"/>
  <c r="L4" i="3"/>
  <c r="L17" i="3"/>
  <c r="J12" i="3"/>
  <c r="K6" i="3"/>
  <c r="C38" i="2"/>
  <c r="F38" i="2"/>
  <c r="G38" i="2"/>
  <c r="E38" i="2"/>
  <c r="H38" i="2"/>
  <c r="I38" i="2"/>
  <c r="D38" i="2"/>
  <c r="E49" i="9"/>
  <c r="F49" i="9"/>
  <c r="D49" i="9"/>
  <c r="H48" i="9"/>
  <c r="G48" i="9"/>
  <c r="C49" i="9"/>
  <c r="E11" i="8"/>
  <c r="E19" i="8"/>
  <c r="I19" i="5"/>
  <c r="E19" i="5"/>
  <c r="F19" i="5"/>
  <c r="G19" i="5"/>
  <c r="H19" i="5"/>
  <c r="D19" i="5"/>
  <c r="J19" i="5"/>
  <c r="K19" i="5"/>
  <c r="J41" i="5"/>
  <c r="K41" i="5"/>
  <c r="G41" i="5"/>
  <c r="H41" i="5"/>
  <c r="I41" i="5"/>
  <c r="L41" i="5"/>
  <c r="F41" i="5"/>
  <c r="D41" i="5"/>
  <c r="E41" i="5"/>
  <c r="E46" i="5"/>
  <c r="D53" i="5"/>
  <c r="D46" i="5"/>
  <c r="D47" i="5"/>
  <c r="E47" i="5"/>
  <c r="D49" i="5"/>
  <c r="E49" i="5"/>
  <c r="D50" i="5"/>
  <c r="E50" i="5"/>
  <c r="E51" i="5"/>
  <c r="D51" i="5"/>
  <c r="C46" i="5"/>
  <c r="E53" i="5"/>
  <c r="F50" i="5"/>
  <c r="F47" i="5"/>
  <c r="J53" i="5"/>
  <c r="F46" i="5"/>
  <c r="F51" i="5"/>
  <c r="F49" i="5"/>
  <c r="F53" i="5"/>
  <c r="C51" i="5"/>
  <c r="J49" i="5"/>
  <c r="C50" i="5"/>
  <c r="K49" i="5"/>
  <c r="K53" i="5"/>
  <c r="C48" i="5"/>
  <c r="L49" i="5"/>
  <c r="L53" i="5"/>
  <c r="G48" i="5"/>
  <c r="G52" i="5"/>
  <c r="H48" i="5"/>
  <c r="H52" i="5"/>
  <c r="I48" i="5"/>
  <c r="I52" i="5"/>
  <c r="G47" i="5"/>
  <c r="J48" i="5"/>
  <c r="G51" i="5"/>
  <c r="J52" i="5"/>
  <c r="H47" i="5"/>
  <c r="K48" i="5"/>
  <c r="H51" i="5"/>
  <c r="K52" i="5"/>
  <c r="I47" i="5"/>
  <c r="L48" i="5"/>
  <c r="I51" i="5"/>
  <c r="L52" i="5"/>
  <c r="G46" i="5"/>
  <c r="J47" i="5"/>
  <c r="G50" i="5"/>
  <c r="J51" i="5"/>
  <c r="H46" i="5"/>
  <c r="K47" i="5"/>
  <c r="H50" i="5"/>
  <c r="K51" i="5"/>
  <c r="C47" i="5"/>
  <c r="I46" i="5"/>
  <c r="L47" i="5"/>
  <c r="I50" i="5"/>
  <c r="L51" i="5"/>
  <c r="C49" i="5"/>
  <c r="J46" i="5"/>
  <c r="D48" i="5"/>
  <c r="G49" i="5"/>
  <c r="C53" i="5"/>
  <c r="K46" i="5"/>
  <c r="E48" i="5"/>
  <c r="H49" i="5"/>
  <c r="L46" i="5"/>
  <c r="F48" i="5"/>
  <c r="I49" i="5"/>
  <c r="J22" i="3" l="1"/>
  <c r="L29" i="3"/>
  <c r="L24" i="3"/>
  <c r="L26" i="3"/>
  <c r="L27" i="3"/>
  <c r="L28" i="3"/>
  <c r="J27" i="3"/>
  <c r="J23" i="3"/>
  <c r="J24" i="3"/>
  <c r="J25" i="3"/>
  <c r="J26" i="3"/>
  <c r="J28" i="3"/>
  <c r="J29" i="3"/>
  <c r="K28" i="3"/>
  <c r="K23" i="3"/>
  <c r="K24" i="3"/>
  <c r="K25" i="3"/>
  <c r="K26" i="3"/>
  <c r="K29" i="3"/>
  <c r="K22" i="3"/>
  <c r="L25" i="3"/>
  <c r="L23" i="3"/>
  <c r="H25" i="3"/>
  <c r="H22" i="3"/>
  <c r="H23" i="3"/>
  <c r="H24" i="3"/>
  <c r="H26" i="3"/>
  <c r="H28" i="3"/>
  <c r="H29" i="3"/>
  <c r="L22" i="3"/>
  <c r="K27" i="3"/>
  <c r="H27" i="3"/>
  <c r="H49" i="9"/>
  <c r="I4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J2" authorId="0" shapeId="0" xr:uid="{55D99147-EB16-424C-AE3D-E597064266E2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506.6
560.5
611.5</t>
        </r>
      </text>
    </comment>
    <comment ref="H7" authorId="0" shapeId="0" xr:uid="{5B6FA170-F4F4-45E4-A05B-D016439B90E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Total is 533.4
Counterpoint website provides percentages (look at the link the istrikethrough).
Based on smart watch percentages</t>
        </r>
      </text>
    </comment>
    <comment ref="N8" authorId="0" shapeId="0" xr:uid="{D85503C6-9209-4305-8767-1634A8BC5472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https://www.statista.com/chart/15035/worldwide-smartwatch-shipments/?srsltid=AfmBOoqsDfp_ISVfVYPy5pVYlPyRuB-1QHwiAEGGkbkqccRsMngZ30z7</t>
        </r>
      </text>
    </comment>
    <comment ref="J21" authorId="0" shapeId="0" xr:uid="{79F3AAB0-7794-4641-BBE8-FFC2BF9C358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506.6
560.5
611.5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3" authorId="0" shapeId="0" xr:uid="{760CD156-E96F-48A9-AFD7-D9D97C7A4BA7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FY2024A</t>
        </r>
      </text>
    </comment>
    <comment ref="A9" authorId="0" shapeId="0" xr:uid="{ABBDD0C6-5E90-4183-A467-F35F621B41AC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FY2024A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" authorId="0" shapeId="0" xr:uid="{C8D619F9-4367-4A45-9289-55A40DCC09AA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Music streaming services make money primarily through monthly paid subscriptions and in-app advertising, then split roughly 70% of that revenue with music rights holders.
People pay for music subscriptions to remove frequent audio ads, download songs for offline playback, and get higher-quality sound. </t>
        </r>
      </text>
    </comment>
    <comment ref="N4" authorId="0" shapeId="0" xr:uid="{55DDC41B-D7A8-4539-AE63-38DEF302FE1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Could look for stats for these companies:
1) Youtube music
2) Amazon music
3) Spotify
4) Tencent Music</t>
        </r>
      </text>
    </comment>
    <comment ref="N16" authorId="0" shapeId="0" xr:uid="{0BA9326A-608E-461E-9A19-459FAAF635A2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Could look for stats for these companies:
1) Youtube music
2) Amazon music
3) Spotify
4) Tencent Music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" authorId="0" shapeId="0" xr:uid="{45B7EE0E-250C-4E62-B16A-10843BBA2891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Video streaming services make money primarily by charging recurring monthly subscription fees and selling targeted advertising space to brands.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" authorId="0" shapeId="0" xr:uid="{49541062-B912-4512-B0AE-E4F43A42F657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Cloud storage makes money by giving you a small amount of free space to get you hooked, and then charging you a monthly fee when you need more room.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" authorId="0" shapeId="0" xr:uid="{511AE402-6E83-4C36-8AA1-F83A57A54B3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Apple makes money from the App Store primarily by charging developers a commission on digital sales and selling advertising space within the store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" authorId="0" shapeId="0" xr:uid="{1E226EE9-86CA-4B7A-83A4-C99E9F9E18DF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Apple Pay by charging a small cut (0.15%) directly to the credit card issuer or bank for every transaction</t>
        </r>
      </text>
    </comment>
    <comment ref="B10" authorId="0" shapeId="0" xr:uid="{3F6EE5A9-1190-44A0-8335-AAD3A738C376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Accurate - the jump from 2014 to 2022</t>
        </r>
      </text>
    </comment>
    <comment ref="A22" authorId="0" shapeId="0" xr:uid="{6721B96C-5BCE-4031-BB35-9661541429D1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2023 figures
</t>
        </r>
        <r>
          <rPr>
            <b/>
            <sz val="9"/>
            <color indexed="81"/>
            <rFont val="Tahoma"/>
            <family val="2"/>
          </rPr>
          <t>Important</t>
        </r>
        <r>
          <rPr>
            <sz val="9"/>
            <color indexed="81"/>
            <rFont val="Tahoma"/>
            <family val="2"/>
          </rPr>
          <t xml:space="preserve">
- By 2030, 70% of APAC POS payments are expected to be made through digital wallets, while credit cards are expected to fall to 10%. 
- 77% of APAC online payments in 2025 were made through digital wallets, compared to 11% made using the runner-up, credit cards.
- By 2030, digital wallets are expected to capture 84% of APAC online payments, while credit cards are expected to fall to 7%.
- From 2025 to 2029, mobile wallet transaction volume in Asia is expected to increase by 19.7% annually.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Simba Choga</author>
  </authors>
  <commentList>
    <comment ref="A12" authorId="0" shapeId="0" xr:uid="{695ADD0F-1885-4F14-B8FF-70B82986D9FD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four major/widely used digital payment apps in the U.S</t>
        </r>
      </text>
    </comment>
    <comment ref="T14" authorId="0" shapeId="0" xr:uid="{802AD48E-9481-4594-AE0F-964FCC4735AD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2025 - https://www.paypal.com/us/brc/article/get-growing-with-social-payments
2024 - https://www.cnbc.com/2025/02/25/paypal-strategy-for-venmo-to-reach-2-billion-in-revenue-in-2027.html
2023 - https://www.businessofapps.com/data/venmo-statistics/</t>
        </r>
      </text>
    </comment>
    <comment ref="T16" authorId="0" shapeId="0" xr:uid="{691057E2-5D3D-4911-BDEB-3C9BEB01A2D8}">
      <text>
        <r>
          <rPr>
            <b/>
            <sz val="9"/>
            <color indexed="81"/>
            <rFont val="Tahoma"/>
            <family val="2"/>
          </rPr>
          <t>Simba Choga:</t>
        </r>
        <r>
          <rPr>
            <sz val="9"/>
            <color indexed="81"/>
            <rFont val="Tahoma"/>
            <family val="2"/>
          </rPr>
          <t xml:space="preserve">
https://capitaloneshopping.com/research/apple-pay-statistics/</t>
        </r>
      </text>
    </comment>
  </commentList>
</comments>
</file>

<file path=xl/sharedStrings.xml><?xml version="1.0" encoding="utf-8"?>
<sst xmlns="http://schemas.openxmlformats.org/spreadsheetml/2006/main" count="377" uniqueCount="204">
  <si>
    <t>https://www.precedenceresearch.com/wearable-technology-market</t>
  </si>
  <si>
    <t>https://scoop.market.us/smart-wearables-statistics/</t>
  </si>
  <si>
    <t>https://www.statista.com/chart/8420/wearable-device-shipments/?srsltid=AfmBOor_RqtD2YK1xDbvc7zMlbbN04AINB1ElQ7Eg5icvbirKdvk_mPp</t>
  </si>
  <si>
    <t>2018-2019</t>
  </si>
  <si>
    <t>https://www.statista.com/chart/13115/worldwide-wearable-device-shipments/?srsltid=AfmBOoq2PYk_1fLzEwKIMG2Lj1GuJN7eZkS9kWc2DaONPW9kM2e0evsF</t>
  </si>
  <si>
    <t>2016-2017</t>
  </si>
  <si>
    <t>https://appleworld.today/2026/02/apple-had-17-of-the-global-wearable-device-market-in-2025/</t>
  </si>
  <si>
    <t>https://www.macrumors.com/2021/03/15/apple-dominated-wearables-market-2020/</t>
  </si>
  <si>
    <t>2019-2020</t>
  </si>
  <si>
    <t>Brand</t>
  </si>
  <si>
    <t>Link</t>
  </si>
  <si>
    <t>Q1 2023</t>
  </si>
  <si>
    <t>Apple</t>
  </si>
  <si>
    <t>IDC Q1 2023 data</t>
  </si>
  <si>
    <t>Samsung</t>
  </si>
  <si>
    <t>Xiaomi</t>
  </si>
  <si>
    <t>Imagine Marketing (boAt)</t>
  </si>
  <si>
    <t>Huawei</t>
  </si>
  <si>
    <t>Q3 2023</t>
  </si>
  <si>
    <t>IDC Q3 2023 data</t>
  </si>
  <si>
    <t>Q2 2023</t>
  </si>
  <si>
    <t>Q4 2023</t>
  </si>
  <si>
    <t>https://markets.financialcontent.com/stocks/article/bizwire-2023-3-7-holiday-quarter-woes-contribute-to-a-full-year-decline-in-shipments-of-wearable-devices-according-to-idc-tracker?utm_source=chatgpt.com</t>
  </si>
  <si>
    <t>https://omdia.tech.informa.com/pr/2026/feb/xiaomi-reclaims-wearable-band-crown-for-the-first-time-since-2020?utm_source=chatgpt.com</t>
  </si>
  <si>
    <t>1. Music Streaming → Apple Music vs. Spotify vs. YouTube Music vs. Amazon Music</t>
  </si>
  <si>
    <t>2. Video Streaming → Apple TV vs. Netflix vs. Amazon Prime Video vs. Disney+</t>
  </si>
  <si>
    <t>3. Cloud Storage → iCloud vs. Google One/Drive vs. Microsoft OneDrive vs. Dropbox</t>
  </si>
  <si>
    <t>4. App Distribution → Apple App Store vs. Google Play</t>
  </si>
  <si>
    <t>5. Digital Payments → Apple Pay vs. Google Wallet vs. PayPal/Venmo</t>
  </si>
  <si>
    <t>https://www.demandsage.com/apple-music-statistics/</t>
  </si>
  <si>
    <t>Apple stats</t>
  </si>
  <si>
    <t>https://www.precedenceresearch.com/stand-alone-cloud-storage-market</t>
  </si>
  <si>
    <t>Market Share Forecasts</t>
  </si>
  <si>
    <t>https://edgedelta.com/company/knowledge-center/data-storage-statistics</t>
  </si>
  <si>
    <t>Used Data</t>
  </si>
  <si>
    <t>https://techcrunch.com/2023/05/31/apple-touts-1-1-trillion-in-app-store-commerce-in-2022-with-104b-in-digital-sales/</t>
  </si>
  <si>
    <t>2019-2022</t>
  </si>
  <si>
    <t>https://mindsea.com/blog/app-stats-3/</t>
  </si>
  <si>
    <t>2017-2022</t>
  </si>
  <si>
    <t>https://www.zippia.com/advice/mobile-app-industry-statistics/</t>
  </si>
  <si>
    <t>https://www.slimpay.com/blog/world-payments-report-2023-embracing-digital-payments/</t>
  </si>
  <si>
    <t>https://cropink.com/apple-pay-statistics</t>
  </si>
  <si>
    <t>https://capitaloneshopping.com/research/digital-wallet-statistics/</t>
  </si>
  <si>
    <t>Digital wallet users</t>
  </si>
  <si>
    <t>Revenue</t>
  </si>
  <si>
    <t>https://www.emarketer.com/content/google-wallet-expands-non-payment-utility-driving-user-growth</t>
  </si>
  <si>
    <t>Google Wallet Active Users</t>
  </si>
  <si>
    <t>Apple Pay Active Users</t>
  </si>
  <si>
    <t>https://www.enterpriseappstoday.com/stats/paypal-statistics.html</t>
  </si>
  <si>
    <t>Paypal Active Users</t>
  </si>
  <si>
    <t>Venmo Active Users</t>
  </si>
  <si>
    <t>https://usesignhouse.com/blog/venmo-stats/</t>
  </si>
  <si>
    <t>https://www.businessofapps.com/data/spotify-statistics/</t>
  </si>
  <si>
    <t>Spotify stats</t>
  </si>
  <si>
    <t>Amazon Music</t>
  </si>
  <si>
    <t>https://www.businessofapps.com/data/amazon-prime-music-statistics/</t>
  </si>
  <si>
    <t>Hulu</t>
  </si>
  <si>
    <t>Netflix</t>
  </si>
  <si>
    <t>Disney +</t>
  </si>
  <si>
    <t>Apple TV +</t>
  </si>
  <si>
    <t>HBO Max +</t>
  </si>
  <si>
    <t>Apple App &amp; Google Play Stats</t>
  </si>
  <si>
    <t>iCloud</t>
  </si>
  <si>
    <t>Google Drive</t>
  </si>
  <si>
    <t>Microsoft OneDrive</t>
  </si>
  <si>
    <t xml:space="preserve">Apple </t>
  </si>
  <si>
    <t>Fitbit</t>
  </si>
  <si>
    <t>Garmin</t>
  </si>
  <si>
    <t>Fossil</t>
  </si>
  <si>
    <t>Total</t>
  </si>
  <si>
    <t>Units '000s</t>
  </si>
  <si>
    <t>https://www.chyxx.com/industry/1107177.html?</t>
  </si>
  <si>
    <t>Source</t>
  </si>
  <si>
    <t>2021 - 2022</t>
  </si>
  <si>
    <t>https://www.businessinsider.com/fitbit-vs-apple-watch-xiaomi-wearable-sales-chart-2017-3</t>
  </si>
  <si>
    <t>2015-2016</t>
  </si>
  <si>
    <t>https://16best.net/wearable-technology-statistics/?</t>
  </si>
  <si>
    <t>2023-2025</t>
  </si>
  <si>
    <t>2023 Average</t>
  </si>
  <si>
    <t>% Growth</t>
  </si>
  <si>
    <t>Million</t>
  </si>
  <si>
    <t>Wearable Devices Revenue Forecast</t>
  </si>
  <si>
    <t>India</t>
  </si>
  <si>
    <t>China</t>
  </si>
  <si>
    <t>United Kingdom</t>
  </si>
  <si>
    <t>Sweden</t>
  </si>
  <si>
    <t>Netherland</t>
  </si>
  <si>
    <t>Germany</t>
  </si>
  <si>
    <t>United States</t>
  </si>
  <si>
    <t>Canada</t>
  </si>
  <si>
    <t>South Korea</t>
  </si>
  <si>
    <t>Brazil</t>
  </si>
  <si>
    <t>Wearable Devices Ownership</t>
  </si>
  <si>
    <t>No Wearable Ownership</t>
  </si>
  <si>
    <t>Wearable Devices Ownership by Country</t>
  </si>
  <si>
    <t>Smart Wearables Devices Usage – By Country Statistics</t>
  </si>
  <si>
    <t>Wearable Device Unit Shipments Worldwide</t>
  </si>
  <si>
    <t>Global Shipments Units $'000</t>
  </si>
  <si>
    <t>Wearable Device Shipments Worldwide By Product Category</t>
  </si>
  <si>
    <t>Earwar</t>
  </si>
  <si>
    <t>Smartwatch</t>
  </si>
  <si>
    <t>Wristband</t>
  </si>
  <si>
    <t>Clothing</t>
  </si>
  <si>
    <t>Glasses</t>
  </si>
  <si>
    <t>Rings</t>
  </si>
  <si>
    <t>Others</t>
  </si>
  <si>
    <t>Sources</t>
  </si>
  <si>
    <t>Apple Music Users</t>
  </si>
  <si>
    <t>Spotify Music Users</t>
  </si>
  <si>
    <t>Amazon Prime Music Users</t>
  </si>
  <si>
    <t>Number Music Users '000</t>
  </si>
  <si>
    <t>Spotify</t>
  </si>
  <si>
    <t xml:space="preserve">Apple Music </t>
  </si>
  <si>
    <t>Amazon Prime Music</t>
  </si>
  <si>
    <t>Tencent Music</t>
  </si>
  <si>
    <t>Youtube Music</t>
  </si>
  <si>
    <t>NetEase Music</t>
  </si>
  <si>
    <t>Deezer</t>
  </si>
  <si>
    <t>Largest Music Streaming Subscribers</t>
  </si>
  <si>
    <t>Subscription Market Share</t>
  </si>
  <si>
    <t>Apple Music Revenue</t>
  </si>
  <si>
    <t>Revenue Generated in $ million</t>
  </si>
  <si>
    <t>Spotify Music Revenue</t>
  </si>
  <si>
    <t>Year</t>
  </si>
  <si>
    <t>Avg. rate (EUR per $1)</t>
  </si>
  <si>
    <t>Spotify Revenue (€million)</t>
  </si>
  <si>
    <t>Revenue ($million)</t>
  </si>
  <si>
    <t>Amazon Prime Music Revenue</t>
  </si>
  <si>
    <t>https://www.quantumrun.com/consulting/video-streaming-market-statistics/</t>
  </si>
  <si>
    <t>Market Size</t>
  </si>
  <si>
    <t>https://www.businessofapps.com/data/netflix-statistics/</t>
  </si>
  <si>
    <t>https://www.businessofapps.com/data/disney-plus-statistics/</t>
  </si>
  <si>
    <t>https://www.businessofapps.com/data/apple-statistics/</t>
  </si>
  <si>
    <t>https://www.businessofapps.com/data/hulu-statistics/</t>
  </si>
  <si>
    <t>https://www.businessofapps.com/data/youtube-statistics/</t>
  </si>
  <si>
    <t>YouTube</t>
  </si>
  <si>
    <t>Amazon Prime</t>
  </si>
  <si>
    <t>https://www.businessofapps.com/data/amazon-statistics/</t>
  </si>
  <si>
    <t>https://www.businessofapps.com/data/hbo-max-statistics/</t>
  </si>
  <si>
    <t>https://www.businessofapps.com/data/twitch-statistics/</t>
  </si>
  <si>
    <t>Twitch</t>
  </si>
  <si>
    <t>Global Market Size (USD Million)</t>
  </si>
  <si>
    <t>Revenue Forecast</t>
  </si>
  <si>
    <t>Revenue of Video Streamers (USD Million)</t>
  </si>
  <si>
    <t>Prime Video</t>
  </si>
  <si>
    <t>Paramount +</t>
  </si>
  <si>
    <t>Apple T.V +</t>
  </si>
  <si>
    <t>Video Streaming Users (million)</t>
  </si>
  <si>
    <t>Google Play Store</t>
  </si>
  <si>
    <t>AppleApp Store</t>
  </si>
  <si>
    <t>No of Available Apps  (million)</t>
  </si>
  <si>
    <t>Digital Goods and Services</t>
  </si>
  <si>
    <t>Physical Goods and Services</t>
  </si>
  <si>
    <t>General Retail</t>
  </si>
  <si>
    <t>Travel</t>
  </si>
  <si>
    <t>Food Delivery and Pickup</t>
  </si>
  <si>
    <t>Grocery</t>
  </si>
  <si>
    <t>Ride Hailing</t>
  </si>
  <si>
    <t>Digital Payment</t>
  </si>
  <si>
    <t>In-App Advertising</t>
  </si>
  <si>
    <t>Category ($million)</t>
  </si>
  <si>
    <t>Annual App Downloads (millions)</t>
  </si>
  <si>
    <t>Downloads</t>
  </si>
  <si>
    <t>Total App Revenue</t>
  </si>
  <si>
    <t>iOS App Revenue</t>
  </si>
  <si>
    <t>Google Play App Revenue</t>
  </si>
  <si>
    <t>Global App Revenue ($ million)</t>
  </si>
  <si>
    <t>Users</t>
  </si>
  <si>
    <t>Payment Method</t>
  </si>
  <si>
    <t>Digital Wallet</t>
  </si>
  <si>
    <t>Credit Card</t>
  </si>
  <si>
    <t>Debit Card</t>
  </si>
  <si>
    <t>Global eCommerce 2025</t>
  </si>
  <si>
    <t>Global eCommerce 2030*</t>
  </si>
  <si>
    <t>Account-to-Account</t>
  </si>
  <si>
    <t>Digital Wallet Users Worldwide (millions)</t>
  </si>
  <si>
    <t>Leading North American eCommerce Payment Methods</t>
  </si>
  <si>
    <t>Country</t>
  </si>
  <si>
    <t>Digital Wallet Adoption</t>
  </si>
  <si>
    <t>Indonesia</t>
  </si>
  <si>
    <t>Thailand</t>
  </si>
  <si>
    <t>Hong Kong</t>
  </si>
  <si>
    <t>Philippines</t>
  </si>
  <si>
    <t>Malaysia</t>
  </si>
  <si>
    <t>Argentina</t>
  </si>
  <si>
    <t>Saudi Arabia</t>
  </si>
  <si>
    <t>Singapore</t>
  </si>
  <si>
    <t>APAC</t>
  </si>
  <si>
    <t>Europe</t>
  </si>
  <si>
    <t>North America</t>
  </si>
  <si>
    <t>Latin America</t>
  </si>
  <si>
    <t>MEA</t>
  </si>
  <si>
    <t>Digital Payments Infrastructure</t>
  </si>
  <si>
    <t>Apple Pay</t>
  </si>
  <si>
    <t>Active Users in the U.S '000</t>
  </si>
  <si>
    <t>Venmo</t>
  </si>
  <si>
    <t>Paypal</t>
  </si>
  <si>
    <t>Active Users Worldwide '000</t>
  </si>
  <si>
    <t>https://www.oberlo.com/statistics/how-many-people-use-paypal</t>
  </si>
  <si>
    <t>https://www.emarketer.com/content/apple-consumer-finance</t>
  </si>
  <si>
    <t>Google Wallet</t>
  </si>
  <si>
    <t>Market Share per Category of Wearable Devices</t>
  </si>
  <si>
    <t>Top Performacers fo Wearable Devices</t>
  </si>
  <si>
    <t>Market Share of Wearable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</si>
</sst>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FY&quot;0&quot;A&quot;"/>
    <numFmt numFmtId="165" formatCode="_(* #,##0_);_(* \(#,##0\);_(* &quot;-&quot;??_);_(@_)"/>
    <numFmt numFmtId="166" formatCode="0.0%"/>
    <numFmt numFmtId="167" formatCode="&quot;FY&quot;0&quot;E&quot;"/>
    <numFmt numFmtId="168" formatCode="&quot;Q1&quot;\ 0"/>
    <numFmt numFmtId="169" formatCode="&quot;Q2&quot;\ 0"/>
    <numFmt numFmtId="170" formatCode="&quot;Q3&quot;\ 0"/>
    <numFmt numFmtId="171" formatCode="&quot;Q4&quot;\ 0"/>
    <numFmt numFmtId="172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u/>
      <sz val="11"/>
      <color theme="1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10" fontId="1" fillId="0" borderId="0" xfId="0" applyNumberFormat="1" applyFont="1" applyAlignment="1">
      <alignment horizontal="right"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2" fillId="0" borderId="0" xfId="1" applyAlignment="1">
      <alignment horizontal="right" vertical="center"/>
    </xf>
    <xf numFmtId="0" fontId="1" fillId="0" borderId="0" xfId="0" applyFont="1" applyAlignment="1">
      <alignment horizontal="right" vertical="center"/>
    </xf>
    <xf numFmtId="16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165" fontId="6" fillId="0" borderId="0" xfId="2" applyNumberFormat="1" applyFont="1"/>
    <xf numFmtId="1" fontId="0" fillId="0" borderId="0" xfId="0" applyNumberFormat="1"/>
    <xf numFmtId="0" fontId="7" fillId="0" borderId="0" xfId="1" applyFont="1"/>
    <xf numFmtId="0" fontId="8" fillId="0" borderId="0" xfId="0" applyFont="1"/>
    <xf numFmtId="165" fontId="0" fillId="0" borderId="0" xfId="2" applyNumberFormat="1" applyFont="1" applyAlignment="1">
      <alignment wrapText="1"/>
    </xf>
    <xf numFmtId="0" fontId="9" fillId="0" borderId="0" xfId="0" applyFont="1"/>
    <xf numFmtId="9" fontId="0" fillId="0" borderId="0" xfId="3" applyFont="1"/>
    <xf numFmtId="166" fontId="0" fillId="0" borderId="0" xfId="3" applyNumberFormat="1" applyFont="1"/>
    <xf numFmtId="164" fontId="0" fillId="0" borderId="0" xfId="0" applyNumberFormat="1" applyAlignment="1">
      <alignment horizontal="right" vertical="center" wrapText="1"/>
    </xf>
    <xf numFmtId="167" fontId="0" fillId="0" borderId="0" xfId="0" applyNumberFormat="1" applyAlignment="1">
      <alignment horizontal="right" vertical="center" wrapText="1"/>
    </xf>
    <xf numFmtId="9" fontId="0" fillId="0" borderId="0" xfId="0" applyNumberFormat="1"/>
    <xf numFmtId="0" fontId="1" fillId="0" borderId="0" xfId="0" applyFont="1" applyAlignment="1">
      <alignment wrapText="1"/>
    </xf>
    <xf numFmtId="0" fontId="1" fillId="0" borderId="0" xfId="0" quotePrefix="1" applyFont="1"/>
    <xf numFmtId="166" fontId="5" fillId="0" borderId="0" xfId="3" applyNumberFormat="1" applyFont="1"/>
    <xf numFmtId="9" fontId="0" fillId="2" borderId="0" xfId="3" applyFont="1" applyFill="1"/>
    <xf numFmtId="167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6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65" fontId="0" fillId="0" borderId="0" xfId="2" applyNumberFormat="1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72" fontId="0" fillId="0" borderId="0" xfId="0" applyNumberFormat="1"/>
    <xf numFmtId="9" fontId="0" fillId="2" borderId="0" xfId="0" applyNumberFormat="1" applyFill="1"/>
    <xf numFmtId="9" fontId="1" fillId="2" borderId="0" xfId="0" applyNumberFormat="1" applyFont="1" applyFill="1" applyAlignment="1">
      <alignment horizontal="right" vertical="center" wrapText="1"/>
    </xf>
    <xf numFmtId="166" fontId="0" fillId="2" borderId="0" xfId="3" applyNumberFormat="1" applyFont="1" applyFill="1"/>
    <xf numFmtId="165" fontId="6" fillId="0" borderId="0" xfId="0" applyNumberFormat="1" applyFont="1"/>
    <xf numFmtId="0" fontId="0" fillId="0" borderId="1" xfId="0" applyBorder="1"/>
    <xf numFmtId="165" fontId="0" fillId="0" borderId="1" xfId="0" applyNumberFormat="1" applyBorder="1"/>
  </cellXfs>
  <cellStyles count="4">
    <cellStyle name="Comma" xfId="2" builtinId="3"/>
    <cellStyle name="Hyperlink" xfId="1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2023</a:t>
            </a:r>
            <a:r>
              <a:rPr lang="en-US" baseline="0"/>
              <a:t> Market Share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117-4852-8C46-39535128E356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17-4852-8C46-39535128E356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17-4852-8C46-39535128E35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17-4852-8C46-39535128E35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17-4852-8C46-39535128E356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17-4852-8C46-39535128E3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('Services Music Streaming'!$A$16,'Services Music Streaming'!$A$18,'Services Music Streaming'!$A$20)</c:f>
              <c:strCache>
                <c:ptCount val="3"/>
                <c:pt idx="0">
                  <c:v>Apple Music Revenue</c:v>
                </c:pt>
                <c:pt idx="1">
                  <c:v>Spotify Music Revenue</c:v>
                </c:pt>
                <c:pt idx="2">
                  <c:v>Amazon Prime Music Revenue</c:v>
                </c:pt>
              </c:strCache>
            </c:strRef>
          </c:cat>
          <c:val>
            <c:numRef>
              <c:f>('Services Music Streaming'!$J$16,'Services Music Streaming'!$J$18,'Services Music Streaming'!$J$20)</c:f>
              <c:numCache>
                <c:formatCode>_(* #,##0_);_(* \(#,##0\);_(* "-"??_);_(@_)</c:formatCode>
                <c:ptCount val="3"/>
                <c:pt idx="0">
                  <c:v>9200</c:v>
                </c:pt>
                <c:pt idx="1">
                  <c:v>14330</c:v>
                </c:pt>
                <c:pt idx="2">
                  <c:v>3330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7-4852-8C46-39535128E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Subscription</a:t>
            </a:r>
            <a:r>
              <a:rPr lang="en-US" baseline="0"/>
              <a:t> Market Share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C8-4A84-91D8-1D637A2B83A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5C8-4A84-91D8-1D637A2B83A7}"/>
              </c:ext>
            </c:extLst>
          </c:dPt>
          <c:dPt>
            <c:idx val="2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5C8-4A84-91D8-1D637A2B83A7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5C8-4A84-91D8-1D637A2B83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C8-4A84-91D8-1D637A2B83A7}"/>
              </c:ext>
            </c:extLst>
          </c:dPt>
          <c:dLbls>
            <c:dLbl>
              <c:idx val="6"/>
              <c:layout>
                <c:manualLayout>
                  <c:x val="7.6495399356824962E-3"/>
                  <c:y val="0.143481696366901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C8-4A84-91D8-1D637A2B83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'Services Music Streaming'!$A$46:$A$52</c:f>
              <c:strCache>
                <c:ptCount val="7"/>
                <c:pt idx="0">
                  <c:v>Spotify</c:v>
                </c:pt>
                <c:pt idx="1">
                  <c:v>Apple Music </c:v>
                </c:pt>
                <c:pt idx="2">
                  <c:v>Tencent Music</c:v>
                </c:pt>
                <c:pt idx="3">
                  <c:v>Youtube Music</c:v>
                </c:pt>
                <c:pt idx="4">
                  <c:v>Amazon Prime Music</c:v>
                </c:pt>
                <c:pt idx="5">
                  <c:v>NetEase Music</c:v>
                </c:pt>
                <c:pt idx="6">
                  <c:v>Deezer</c:v>
                </c:pt>
              </c:strCache>
            </c:strRef>
          </c:cat>
          <c:val>
            <c:numRef>
              <c:f>'Services Music Streaming'!$L$46:$L$52</c:f>
              <c:numCache>
                <c:formatCode>0%</c:formatCode>
                <c:ptCount val="7"/>
                <c:pt idx="0">
                  <c:v>0.36957686127477235</c:v>
                </c:pt>
                <c:pt idx="1">
                  <c:v>0.1379217996786288</c:v>
                </c:pt>
                <c:pt idx="2">
                  <c:v>0.16336368505623997</c:v>
                </c:pt>
                <c:pt idx="3">
                  <c:v>0.19416175682913767</c:v>
                </c:pt>
                <c:pt idx="4">
                  <c:v>6.9630423138725223E-2</c:v>
                </c:pt>
                <c:pt idx="5">
                  <c:v>5.0883770755222282E-2</c:v>
                </c:pt>
                <c:pt idx="6">
                  <c:v>1.4461703267273701E-2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C8-4A84-91D8-1D637A2B83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of Active Users Among Selected U.S. Digital Payment Platforms (FY2025A)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A1-4ECB-93A5-9AA73D19B982}"/>
              </c:ext>
            </c:extLst>
          </c:dPt>
          <c:dPt>
            <c:idx val="1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A1-4ECB-93A5-9AA73D19B982}"/>
              </c:ext>
            </c:extLst>
          </c:dPt>
          <c:dPt>
            <c:idx val="2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A1-4ECB-93A5-9AA73D19B982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A1-4ECB-93A5-9AA73D19B9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('Services Digital Payments 2'!$A$14,'Services Digital Payments 2'!$A$16,'Services Digital Payments 2'!$A$18,'Services Digital Payments 2'!$A$20)</c:f>
              <c:strCache>
                <c:ptCount val="4"/>
                <c:pt idx="0">
                  <c:v>Venmo</c:v>
                </c:pt>
                <c:pt idx="1">
                  <c:v>Paypal</c:v>
                </c:pt>
                <c:pt idx="2">
                  <c:v>Apple Pay</c:v>
                </c:pt>
                <c:pt idx="3">
                  <c:v>Google Wallet</c:v>
                </c:pt>
              </c:strCache>
            </c:strRef>
          </c:cat>
          <c:val>
            <c:numRef>
              <c:f>('Services Digital Payments 2'!$M$14,'Services Digital Payments 2'!$M$16,'Services Digital Payments 2'!$M$18,'Services Digital Payments 2'!$M$20)</c:f>
              <c:numCache>
                <c:formatCode>_(* #,##0_);_(* \(#,##0\);_(* "-"??_);_(@_)</c:formatCode>
                <c:ptCount val="4"/>
                <c:pt idx="0">
                  <c:v>95400</c:v>
                </c:pt>
                <c:pt idx="1">
                  <c:v>249900</c:v>
                </c:pt>
                <c:pt idx="2">
                  <c:v>65600</c:v>
                </c:pt>
                <c:pt idx="3">
                  <c:v>50900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1-4ECB-93A5-9AA73D19B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38099</xdr:colOff>
      <xdr:row>7</xdr:row>
      <xdr:rowOff>142875</xdr:rowOff>
    </xdr:from>
    <xdr:to>
      <xdr:col>23</xdr:col>
      <xdr:colOff>561974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A1D98-4AAD-E5D9-D2DA-5879A86C6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495299</xdr:colOff>
      <xdr:row>34</xdr:row>
      <xdr:rowOff>9525</xdr:rowOff>
    </xdr:from>
    <xdr:to>
      <xdr:col>25</xdr:col>
      <xdr:colOff>76200</xdr:colOff>
      <xdr:row>54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4B099-789C-2401-B6BE-ECD210BD4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500743</xdr:colOff>
      <xdr:row>20</xdr:row>
      <xdr:rowOff>168727</xdr:rowOff>
    </xdr:from>
    <xdr:to>
      <xdr:col>23</xdr:col>
      <xdr:colOff>304800</xdr:colOff>
      <xdr:row>44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49F4C4-942E-1603-09F2-C146F4289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rkets.financialcontent.com/stocks/article/bizwire-2024-6-4-worldwide-shipments-of-wearable-devices-grew-88-year-over-year-in-q1-2024-while-average-selling-prices-continue-to-decline-according-to-idc?utm_source=chatgpt.com" TargetMode="External"/><Relationship Id="rId13" Type="http://schemas.openxmlformats.org/officeDocument/2006/relationships/hyperlink" Target="https://www.businesswire.com/news/home/20231204402509/en/Global-Shipments-of-Wearable-Devices-Show-Modest-Growth-and-Strong-Volume-in-Q3-2023-According-to-IDC/?utm_source=chatgpt.com" TargetMode="External"/><Relationship Id="rId18" Type="http://schemas.openxmlformats.org/officeDocument/2006/relationships/hyperlink" Target="https://www.businessinsider.com/fitbit-vs-apple-watch-xiaomi-wearable-sales-chart-2017-3" TargetMode="External"/><Relationship Id="rId3" Type="http://schemas.openxmlformats.org/officeDocument/2006/relationships/hyperlink" Target="https://appleworld.today/2026/02/apple-had-17-of-the-global-wearable-device-market-in-2025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markets.financialcontent.com/stocks/article/bizwire-2024-6-4-worldwide-shipments-of-wearable-devices-grew-88-year-over-year-in-q1-2024-while-average-selling-prices-continue-to-decline-according-to-idc?utm_source=chatgpt.com" TargetMode="External"/><Relationship Id="rId12" Type="http://schemas.openxmlformats.org/officeDocument/2006/relationships/hyperlink" Target="https://www.businesswire.com/news/home/20231204402509/en/Global-Shipments-of-Wearable-Devices-Show-Modest-Growth-and-Strong-Volume-in-Q3-2023-According-to-IDC/?utm_source=chatgpt.com" TargetMode="External"/><Relationship Id="rId17" Type="http://schemas.openxmlformats.org/officeDocument/2006/relationships/hyperlink" Target="https://omdia.tech.informa.com/pr/2026/feb/xiaomi-reclaims-wearable-band-crown-for-the-first-time-since-2020?utm_source=chatgpt.com" TargetMode="External"/><Relationship Id="rId2" Type="http://schemas.openxmlformats.org/officeDocument/2006/relationships/hyperlink" Target="https://www.statista.com/chart/13115/worldwide-wearable-device-shipments/?srsltid=AfmBOoq2PYk_1fLzEwKIMG2Lj1GuJN7eZkS9kWc2DaONPW9kM2e0evsF" TargetMode="External"/><Relationship Id="rId16" Type="http://schemas.openxmlformats.org/officeDocument/2006/relationships/hyperlink" Target="https://markets.financialcontent.com/stocks/article/bizwire-2023-3-7-holiday-quarter-woes-contribute-to-a-full-year-decline-in-shipments-of-wearable-devices-according-to-idc-tracker?utm_source=chatgpt.com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www.statista.com/chart/8420/wearable-device-shipments/?srsltid=AfmBOor_RqtD2YK1xDbvc7zMlbbN04AINB1ElQ7Eg5icvbirKdvk_mPp" TargetMode="External"/><Relationship Id="rId6" Type="http://schemas.openxmlformats.org/officeDocument/2006/relationships/hyperlink" Target="https://markets.financialcontent.com/stocks/article/bizwire-2024-6-4-worldwide-shipments-of-wearable-devices-grew-88-year-over-year-in-q1-2024-while-average-selling-prices-continue-to-decline-according-to-idc?utm_source=chatgpt.com" TargetMode="External"/><Relationship Id="rId11" Type="http://schemas.openxmlformats.org/officeDocument/2006/relationships/hyperlink" Target="https://www.businesswire.com/news/home/20231204402509/en/Global-Shipments-of-Wearable-Devices-Show-Modest-Growth-and-Strong-Volume-in-Q3-2023-According-to-IDC/?utm_source=chatgpt.com" TargetMode="External"/><Relationship Id="rId5" Type="http://schemas.openxmlformats.org/officeDocument/2006/relationships/hyperlink" Target="https://www.macrumors.com/2021/03/15/apple-dominated-wearables-market-2020/" TargetMode="External"/><Relationship Id="rId15" Type="http://schemas.openxmlformats.org/officeDocument/2006/relationships/hyperlink" Target="https://www.businesswire.com/news/home/20231204402509/en/Global-Shipments-of-Wearable-Devices-Show-Modest-Growth-and-Strong-Volume-in-Q3-2023-According-to-IDC/?utm_source=chatgpt.com" TargetMode="External"/><Relationship Id="rId10" Type="http://schemas.openxmlformats.org/officeDocument/2006/relationships/hyperlink" Target="https://markets.financialcontent.com/stocks/article/bizwire-2024-6-4-worldwide-shipments-of-wearable-devices-grew-88-year-over-year-in-q1-2024-while-average-selling-prices-continue-to-decline-according-to-idc?utm_source=chatgpt.com" TargetMode="External"/><Relationship Id="rId19" Type="http://schemas.openxmlformats.org/officeDocument/2006/relationships/hyperlink" Target="https://16best.net/wearable-technology-statistics/?" TargetMode="External"/><Relationship Id="rId4" Type="http://schemas.openxmlformats.org/officeDocument/2006/relationships/hyperlink" Target="https://www.chyxx.com/industry/1107177.html?" TargetMode="External"/><Relationship Id="rId9" Type="http://schemas.openxmlformats.org/officeDocument/2006/relationships/hyperlink" Target="https://markets.financialcontent.com/stocks/article/bizwire-2024-6-4-worldwide-shipments-of-wearable-devices-grew-88-year-over-year-in-q1-2024-while-average-selling-prices-continue-to-decline-according-to-idc?utm_source=chatgpt.com" TargetMode="External"/><Relationship Id="rId14" Type="http://schemas.openxmlformats.org/officeDocument/2006/relationships/hyperlink" Target="https://www.businesswire.com/news/home/20231204402509/en/Global-Shipments-of-Wearable-Devices-Show-Modest-Growth-and-Strong-Volume-in-Q3-2023-According-to-IDC/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ecedenceresearch.com/wearable-technology-market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scoop.market.us/smart-wearables-statistics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businessofapps.com/data/amazon-prime-music-statistics/" TargetMode="External"/><Relationship Id="rId7" Type="http://schemas.openxmlformats.org/officeDocument/2006/relationships/hyperlink" Target="https://www.businessofapps.com/data/amazon-prime-music-statistics/" TargetMode="External"/><Relationship Id="rId2" Type="http://schemas.openxmlformats.org/officeDocument/2006/relationships/hyperlink" Target="https://www.businessofapps.com/data/spotify-statistics/" TargetMode="External"/><Relationship Id="rId1" Type="http://schemas.openxmlformats.org/officeDocument/2006/relationships/hyperlink" Target="https://www.demandsage.com/apple-music-statistics/" TargetMode="External"/><Relationship Id="rId6" Type="http://schemas.openxmlformats.org/officeDocument/2006/relationships/hyperlink" Target="https://www.businessofapps.com/data/spotify-statistics/" TargetMode="External"/><Relationship Id="rId5" Type="http://schemas.openxmlformats.org/officeDocument/2006/relationships/hyperlink" Target="https://www.demandsage.com/apple-music-statistics/" TargetMode="External"/><Relationship Id="rId10" Type="http://schemas.openxmlformats.org/officeDocument/2006/relationships/comments" Target="../comments3.xml"/><Relationship Id="rId4" Type="http://schemas.openxmlformats.org/officeDocument/2006/relationships/hyperlink" Target="https://www.businessofapps.com/data/amazon-prime-music-statistics/" TargetMode="External"/><Relationship Id="rId9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usinessofapps.com/data/hbo-max-statistics/" TargetMode="External"/><Relationship Id="rId3" Type="http://schemas.openxmlformats.org/officeDocument/2006/relationships/hyperlink" Target="https://www.businessofapps.com/data/disney-plus-statistics/" TargetMode="External"/><Relationship Id="rId7" Type="http://schemas.openxmlformats.org/officeDocument/2006/relationships/hyperlink" Target="https://www.businessofapps.com/data/amazon-statistics/" TargetMode="External"/><Relationship Id="rId12" Type="http://schemas.openxmlformats.org/officeDocument/2006/relationships/comments" Target="../comments4.xml"/><Relationship Id="rId2" Type="http://schemas.openxmlformats.org/officeDocument/2006/relationships/hyperlink" Target="https://www.businessofapps.com/data/netflix-statistics/" TargetMode="External"/><Relationship Id="rId1" Type="http://schemas.openxmlformats.org/officeDocument/2006/relationships/hyperlink" Target="https://www.quantumrun.com/consulting/video-streaming-market-statistics/" TargetMode="External"/><Relationship Id="rId6" Type="http://schemas.openxmlformats.org/officeDocument/2006/relationships/hyperlink" Target="https://www.businessofapps.com/data/youtube-statistics/" TargetMode="External"/><Relationship Id="rId11" Type="http://schemas.openxmlformats.org/officeDocument/2006/relationships/vmlDrawing" Target="../drawings/vmlDrawing4.vml"/><Relationship Id="rId5" Type="http://schemas.openxmlformats.org/officeDocument/2006/relationships/hyperlink" Target="https://www.businessofapps.com/data/hulu-statistics/" TargetMode="External"/><Relationship Id="rId10" Type="http://schemas.openxmlformats.org/officeDocument/2006/relationships/hyperlink" Target="https://www.businessofapps.com/data/hulu-statistics/" TargetMode="External"/><Relationship Id="rId4" Type="http://schemas.openxmlformats.org/officeDocument/2006/relationships/hyperlink" Target="https://www.businessofapps.com/data/apple-statistics/" TargetMode="External"/><Relationship Id="rId9" Type="http://schemas.openxmlformats.org/officeDocument/2006/relationships/hyperlink" Target="https://www.businessofapps.com/data/twitch-statistics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edgedelta.com/company/knowledge-center/data-storage-statistics" TargetMode="External"/><Relationship Id="rId1" Type="http://schemas.openxmlformats.org/officeDocument/2006/relationships/hyperlink" Target="https://www.precedenceresearch.com/stand-alone-cloud-storage-market" TargetMode="External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ippia.com/advice/mobile-app-industry-statistics/" TargetMode="External"/><Relationship Id="rId2" Type="http://schemas.openxmlformats.org/officeDocument/2006/relationships/hyperlink" Target="https://mindsea.com/blog/app-stats-3/" TargetMode="External"/><Relationship Id="rId1" Type="http://schemas.openxmlformats.org/officeDocument/2006/relationships/hyperlink" Target="https://techcrunch.com/2023/05/31/apple-touts-1-1-trillion-in-app-store-commerce-in-2022-with-104b-in-digital-sales/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hyperlink" Target="https://www.zippia.com/advice/mobile-app-industry-statistic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apitaloneshopping.com/research/digital-wallet-statistics/" TargetMode="External"/><Relationship Id="rId7" Type="http://schemas.openxmlformats.org/officeDocument/2006/relationships/comments" Target="../comments7.xml"/><Relationship Id="rId2" Type="http://schemas.openxmlformats.org/officeDocument/2006/relationships/hyperlink" Target="https://capitaloneshopping.com/research/digital-wallet-statistics/" TargetMode="External"/><Relationship Id="rId1" Type="http://schemas.openxmlformats.org/officeDocument/2006/relationships/hyperlink" Target="https://www.slimpay.com/blog/world-payments-report-2023-embracing-digital-payments/" TargetMode="External"/><Relationship Id="rId6" Type="http://schemas.openxmlformats.org/officeDocument/2006/relationships/vmlDrawing" Target="../drawings/vmlDrawing7.vml"/><Relationship Id="rId5" Type="http://schemas.openxmlformats.org/officeDocument/2006/relationships/hyperlink" Target="https://capitaloneshopping.com/research/digital-wallet-statistics/" TargetMode="External"/><Relationship Id="rId4" Type="http://schemas.openxmlformats.org/officeDocument/2006/relationships/hyperlink" Target="https://capitaloneshopping.com/research/digital-wallet-statistics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8.vml"/><Relationship Id="rId3" Type="http://schemas.openxmlformats.org/officeDocument/2006/relationships/hyperlink" Target="https://www.enterpriseappstoday.com/stats/paypal-statistics.html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s://www.emarketer.com/content/google-wallet-expands-non-payment-utility-driving-user-growth" TargetMode="External"/><Relationship Id="rId1" Type="http://schemas.openxmlformats.org/officeDocument/2006/relationships/hyperlink" Target="https://cropink.com/apple-pay-statistics" TargetMode="External"/><Relationship Id="rId6" Type="http://schemas.openxmlformats.org/officeDocument/2006/relationships/hyperlink" Target="https://www.emarketer.com/content/apple-consumer-finance" TargetMode="External"/><Relationship Id="rId5" Type="http://schemas.openxmlformats.org/officeDocument/2006/relationships/hyperlink" Target="https://www.oberlo.com/statistics/how-many-people-use-paypal" TargetMode="External"/><Relationship Id="rId4" Type="http://schemas.openxmlformats.org/officeDocument/2006/relationships/hyperlink" Target="https://usesignhouse.com/blog/venmo-stats/" TargetMode="External"/><Relationship Id="rId9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6202-E05D-4245-85D0-14C833668D6B}">
  <dimension ref="A1:AG29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20" sqref="A20"/>
    </sheetView>
  </sheetViews>
  <sheetFormatPr defaultRowHeight="14.4" x14ac:dyDescent="0.3"/>
  <cols>
    <col min="1" max="1" width="35.5546875" customWidth="1"/>
    <col min="2" max="2" width="15.77734375" customWidth="1"/>
    <col min="3" max="3" width="10.109375" bestFit="1" customWidth="1"/>
    <col min="4" max="4" width="14.109375" customWidth="1"/>
    <col min="5" max="5" width="13.88671875" customWidth="1"/>
    <col min="6" max="6" width="10.109375" bestFit="1" customWidth="1"/>
    <col min="7" max="7" width="11.6640625" customWidth="1"/>
    <col min="8" max="8" width="10.109375" customWidth="1"/>
    <col min="9" max="9" width="11" customWidth="1"/>
    <col min="10" max="10" width="12.109375" customWidth="1"/>
    <col min="11" max="11" width="13.6640625" customWidth="1"/>
    <col min="12" max="12" width="11.33203125" customWidth="1"/>
    <col min="17" max="17" width="11" customWidth="1"/>
    <col min="18" max="18" width="14.109375" customWidth="1"/>
    <col min="19" max="19" width="16.21875" customWidth="1"/>
    <col min="20" max="20" width="10.77734375" customWidth="1"/>
    <col min="21" max="21" width="19" customWidth="1"/>
    <col min="22" max="22" width="10.6640625" customWidth="1"/>
    <col min="23" max="23" width="19" customWidth="1"/>
    <col min="24" max="24" width="11.88671875" customWidth="1"/>
    <col min="25" max="25" width="27.109375" customWidth="1"/>
    <col min="27" max="27" width="11.21875" customWidth="1"/>
    <col min="31" max="31" width="20.33203125" customWidth="1"/>
    <col min="33" max="33" width="16.88671875" customWidth="1"/>
  </cols>
  <sheetData>
    <row r="1" spans="1:33" x14ac:dyDescent="0.3">
      <c r="A1" s="10" t="s">
        <v>202</v>
      </c>
    </row>
    <row r="2" spans="1:33" ht="28.2" customHeight="1" x14ac:dyDescent="0.3">
      <c r="A2" t="s">
        <v>70</v>
      </c>
      <c r="B2" s="13">
        <v>2015</v>
      </c>
      <c r="C2" s="13">
        <v>2016</v>
      </c>
      <c r="D2" s="13">
        <f>C2+1</f>
        <v>2017</v>
      </c>
      <c r="E2" s="13">
        <f t="shared" ref="E2:L2" si="0">D2+1</f>
        <v>2018</v>
      </c>
      <c r="F2" s="13">
        <f t="shared" si="0"/>
        <v>2019</v>
      </c>
      <c r="G2" s="13">
        <f t="shared" si="0"/>
        <v>2020</v>
      </c>
      <c r="H2" s="13">
        <f t="shared" si="0"/>
        <v>2021</v>
      </c>
      <c r="I2" s="13">
        <f t="shared" si="0"/>
        <v>2022</v>
      </c>
      <c r="J2" s="13">
        <f t="shared" si="0"/>
        <v>2023</v>
      </c>
      <c r="K2" s="13">
        <f t="shared" si="0"/>
        <v>2024</v>
      </c>
      <c r="L2" s="13">
        <f t="shared" si="0"/>
        <v>2025</v>
      </c>
      <c r="N2" t="s">
        <v>72</v>
      </c>
      <c r="Q2" s="2"/>
      <c r="R2" s="2"/>
      <c r="S2" s="12"/>
      <c r="T2" s="12"/>
      <c r="Y2" s="2" t="s">
        <v>9</v>
      </c>
      <c r="Z2" s="4" t="s">
        <v>11</v>
      </c>
      <c r="AA2" s="4" t="s">
        <v>20</v>
      </c>
      <c r="AB2" s="4" t="s">
        <v>18</v>
      </c>
      <c r="AC2" s="4" t="s">
        <v>21</v>
      </c>
      <c r="AD2" s="4" t="s">
        <v>78</v>
      </c>
      <c r="AG2" s="2" t="s">
        <v>10</v>
      </c>
    </row>
    <row r="3" spans="1:33" ht="16.05" customHeight="1" x14ac:dyDescent="0.3">
      <c r="A3" t="s">
        <v>65</v>
      </c>
      <c r="B3" s="20">
        <v>11600</v>
      </c>
      <c r="C3" s="20">
        <v>11300</v>
      </c>
      <c r="D3" s="14">
        <v>17700</v>
      </c>
      <c r="E3" s="14">
        <v>48000</v>
      </c>
      <c r="F3" s="14">
        <v>106500</v>
      </c>
      <c r="G3" s="14">
        <v>151400</v>
      </c>
      <c r="H3" s="14">
        <v>161800</v>
      </c>
      <c r="I3" s="14">
        <v>146300</v>
      </c>
      <c r="J3" s="14">
        <f>AD3*506600</f>
        <v>112110.58</v>
      </c>
      <c r="K3" s="14">
        <f>0.18*560500</f>
        <v>100890</v>
      </c>
      <c r="L3" s="14">
        <f>0.17*611500</f>
        <v>103955.00000000001</v>
      </c>
      <c r="N3" s="1" t="s">
        <v>76</v>
      </c>
      <c r="O3" t="s">
        <v>77</v>
      </c>
      <c r="Q3" s="6"/>
      <c r="R3" s="6"/>
      <c r="S3" s="4"/>
      <c r="T3" s="8"/>
      <c r="Y3" s="6" t="s">
        <v>12</v>
      </c>
      <c r="Z3" s="7">
        <v>0.245</v>
      </c>
      <c r="AA3" s="7">
        <v>0.20499999999999999</v>
      </c>
      <c r="AB3" s="7">
        <v>0.253</v>
      </c>
      <c r="AC3" s="7">
        <v>0.182</v>
      </c>
      <c r="AD3" s="8">
        <v>0.2213</v>
      </c>
      <c r="AG3" s="9" t="s">
        <v>13</v>
      </c>
    </row>
    <row r="4" spans="1:33" ht="16.05" customHeight="1" x14ac:dyDescent="0.3">
      <c r="A4" s="21" t="s">
        <v>79</v>
      </c>
      <c r="C4" s="23">
        <f>IFERROR(C3/B3-1, "")</f>
        <v>-2.5862068965517238E-2</v>
      </c>
      <c r="D4" s="23">
        <f t="shared" ref="D4:L4" si="1">IFERROR(D3/C3-1, "")</f>
        <v>0.5663716814159292</v>
      </c>
      <c r="E4" s="23">
        <f t="shared" si="1"/>
        <v>1.7118644067796609</v>
      </c>
      <c r="F4" s="23">
        <f t="shared" si="1"/>
        <v>1.21875</v>
      </c>
      <c r="G4" s="23">
        <f t="shared" si="1"/>
        <v>0.42159624413145536</v>
      </c>
      <c r="H4" s="23">
        <f t="shared" si="1"/>
        <v>6.869220607661819E-2</v>
      </c>
      <c r="I4" s="23">
        <f t="shared" si="1"/>
        <v>-9.579728059332504E-2</v>
      </c>
      <c r="J4" s="23">
        <f t="shared" si="1"/>
        <v>-0.23369391660970606</v>
      </c>
      <c r="K4" s="23">
        <f t="shared" si="1"/>
        <v>-0.10008493399998464</v>
      </c>
      <c r="L4" s="23">
        <f t="shared" si="1"/>
        <v>3.0379621369808874E-2</v>
      </c>
      <c r="N4" s="1" t="s">
        <v>6</v>
      </c>
      <c r="O4">
        <v>2025</v>
      </c>
      <c r="Q4" s="5"/>
      <c r="R4" s="5"/>
      <c r="S4" s="3"/>
      <c r="T4" s="7"/>
      <c r="Y4" s="6" t="s">
        <v>15</v>
      </c>
      <c r="Z4" s="7">
        <v>7.9000000000000001E-2</v>
      </c>
      <c r="AA4" s="7">
        <v>7.9000000000000001E-2</v>
      </c>
      <c r="AB4" s="7">
        <v>8.4000000000000005E-2</v>
      </c>
      <c r="AC4" s="7">
        <v>0.104</v>
      </c>
      <c r="AD4" s="8">
        <v>8.6499999999999994E-2</v>
      </c>
      <c r="AG4" s="9" t="s">
        <v>13</v>
      </c>
    </row>
    <row r="5" spans="1:33" ht="16.05" customHeight="1" x14ac:dyDescent="0.3">
      <c r="A5" t="s">
        <v>15</v>
      </c>
      <c r="B5" s="20">
        <v>12000</v>
      </c>
      <c r="C5" s="14">
        <v>15700</v>
      </c>
      <c r="D5" s="14">
        <v>15700</v>
      </c>
      <c r="E5" s="14">
        <v>23300</v>
      </c>
      <c r="F5" s="14">
        <v>41700</v>
      </c>
      <c r="G5" s="14">
        <v>50700</v>
      </c>
      <c r="H5" s="14">
        <v>54200</v>
      </c>
      <c r="I5" s="14">
        <v>34700</v>
      </c>
      <c r="J5" s="14">
        <f>AD4*506600</f>
        <v>43820.899999999994</v>
      </c>
      <c r="K5" s="14">
        <f>0.15*560500</f>
        <v>84075</v>
      </c>
      <c r="L5" s="14">
        <f>0.18*611500</f>
        <v>110070</v>
      </c>
      <c r="N5" s="1" t="s">
        <v>23</v>
      </c>
      <c r="O5">
        <v>2024</v>
      </c>
      <c r="Q5" s="5"/>
      <c r="R5" s="5"/>
      <c r="S5" s="3"/>
      <c r="T5" s="7"/>
      <c r="Y5" s="6" t="s">
        <v>14</v>
      </c>
      <c r="Z5" s="7">
        <v>0.09</v>
      </c>
      <c r="AA5" s="7">
        <v>7.3999999999999996E-2</v>
      </c>
      <c r="AB5" s="7">
        <v>8.4000000000000005E-2</v>
      </c>
      <c r="AC5" s="7">
        <v>9.2999999999999999E-2</v>
      </c>
      <c r="AD5" s="8">
        <v>8.5300000000000001E-2</v>
      </c>
      <c r="AG5" s="9" t="s">
        <v>13</v>
      </c>
    </row>
    <row r="6" spans="1:33" ht="31.2" customHeight="1" x14ac:dyDescent="0.3">
      <c r="A6" s="21" t="s">
        <v>79</v>
      </c>
      <c r="C6" s="23">
        <f>IFERROR(C5/B5-1, "")</f>
        <v>0.30833333333333335</v>
      </c>
      <c r="D6" s="23">
        <f t="shared" ref="D6:L6" si="2">IFERROR(D5/C5-1, "")</f>
        <v>0</v>
      </c>
      <c r="E6" s="23">
        <f t="shared" si="2"/>
        <v>0.484076433121019</v>
      </c>
      <c r="F6" s="23">
        <f t="shared" si="2"/>
        <v>0.78969957081545061</v>
      </c>
      <c r="G6" s="23">
        <f t="shared" si="2"/>
        <v>0.21582733812949639</v>
      </c>
      <c r="H6" s="23">
        <f t="shared" si="2"/>
        <v>6.9033530571992019E-2</v>
      </c>
      <c r="I6" s="23">
        <f t="shared" si="2"/>
        <v>-0.35977859778597787</v>
      </c>
      <c r="J6" s="23">
        <f t="shared" si="2"/>
        <v>0.26285014409221885</v>
      </c>
      <c r="K6" s="23">
        <f t="shared" si="2"/>
        <v>0.91860504918885755</v>
      </c>
      <c r="L6" s="23">
        <f t="shared" si="2"/>
        <v>0.30918822479928632</v>
      </c>
      <c r="Q6" s="5"/>
      <c r="R6" s="5"/>
      <c r="S6" s="3"/>
      <c r="T6" s="7"/>
      <c r="Y6" s="6" t="s">
        <v>16</v>
      </c>
      <c r="Z6" s="7">
        <v>6.2E-2</v>
      </c>
      <c r="AA6" s="7">
        <v>9.8000000000000004E-2</v>
      </c>
      <c r="AB6" s="7">
        <v>3.9E-2</v>
      </c>
      <c r="AC6" s="7">
        <v>5.3999999999999999E-2</v>
      </c>
      <c r="AD6" s="8">
        <v>6.3299999999999995E-2</v>
      </c>
      <c r="AG6" s="9" t="s">
        <v>13</v>
      </c>
    </row>
    <row r="7" spans="1:33" ht="16.8" customHeight="1" x14ac:dyDescent="0.3">
      <c r="A7" t="s">
        <v>66</v>
      </c>
      <c r="B7" s="20">
        <v>22000</v>
      </c>
      <c r="C7" s="14">
        <v>22500</v>
      </c>
      <c r="D7" s="14">
        <v>15400</v>
      </c>
      <c r="E7" s="14">
        <v>12200</v>
      </c>
      <c r="F7" s="14">
        <v>30900</v>
      </c>
      <c r="G7" s="14">
        <v>12900</v>
      </c>
      <c r="H7" s="16">
        <f>0.038*533400</f>
        <v>20269.2</v>
      </c>
      <c r="I7" s="14">
        <v>0</v>
      </c>
      <c r="J7" s="14">
        <v>0</v>
      </c>
      <c r="K7" s="14">
        <v>0</v>
      </c>
      <c r="L7" s="14">
        <v>0</v>
      </c>
      <c r="N7" s="1" t="s">
        <v>22</v>
      </c>
      <c r="O7" t="s">
        <v>73</v>
      </c>
      <c r="Q7" s="5"/>
      <c r="R7" s="5"/>
      <c r="S7" s="3"/>
      <c r="T7" s="7"/>
      <c r="Y7" s="6" t="s">
        <v>17</v>
      </c>
      <c r="Z7" s="7">
        <v>6.0999999999999999E-2</v>
      </c>
      <c r="AA7" s="7">
        <v>0.06</v>
      </c>
      <c r="AB7" s="7">
        <v>7.2999999999999995E-2</v>
      </c>
      <c r="AC7" s="7">
        <v>9.9000000000000005E-2</v>
      </c>
      <c r="AD7" s="8">
        <v>7.3300000000000004E-2</v>
      </c>
      <c r="AG7" s="9" t="s">
        <v>13</v>
      </c>
    </row>
    <row r="8" spans="1:33" ht="16.05" customHeight="1" x14ac:dyDescent="0.3">
      <c r="A8" s="21" t="s">
        <v>79</v>
      </c>
      <c r="C8" s="23">
        <f>IFERROR(C7/B7-1, "")</f>
        <v>2.2727272727272707E-2</v>
      </c>
      <c r="D8" s="23">
        <f t="shared" ref="D8:H8" si="3">IFERROR(D7/C7-1, "")</f>
        <v>-0.31555555555555559</v>
      </c>
      <c r="E8" s="23">
        <f t="shared" si="3"/>
        <v>-0.20779220779220775</v>
      </c>
      <c r="F8" s="23">
        <f t="shared" si="3"/>
        <v>1.5327868852459017</v>
      </c>
      <c r="G8" s="23">
        <f t="shared" si="3"/>
        <v>-0.58252427184466016</v>
      </c>
      <c r="H8" s="23">
        <f t="shared" si="3"/>
        <v>0.57125581395348846</v>
      </c>
      <c r="I8" s="14">
        <v>0</v>
      </c>
      <c r="J8" s="14">
        <v>0</v>
      </c>
      <c r="K8" s="14">
        <v>0</v>
      </c>
      <c r="L8" s="14">
        <v>0</v>
      </c>
      <c r="N8" s="18" t="s">
        <v>71</v>
      </c>
      <c r="O8" s="19">
        <v>2021</v>
      </c>
      <c r="Q8" s="6"/>
      <c r="R8" s="6"/>
      <c r="S8" s="4"/>
      <c r="T8" s="8"/>
      <c r="AG8" s="9" t="s">
        <v>19</v>
      </c>
    </row>
    <row r="9" spans="1:33" ht="16.05" customHeight="1" x14ac:dyDescent="0.3">
      <c r="A9" t="s">
        <v>17</v>
      </c>
      <c r="B9" s="14">
        <v>0</v>
      </c>
      <c r="C9" s="14">
        <v>0</v>
      </c>
      <c r="D9" s="14">
        <v>0</v>
      </c>
      <c r="E9" s="14">
        <v>11200</v>
      </c>
      <c r="F9" s="14">
        <v>27900</v>
      </c>
      <c r="G9" s="14">
        <v>43500</v>
      </c>
      <c r="H9" s="14">
        <v>42700</v>
      </c>
      <c r="I9" s="14">
        <v>33300</v>
      </c>
      <c r="J9" s="14">
        <f>AD7*506600</f>
        <v>37133.78</v>
      </c>
      <c r="K9" s="14">
        <f>0.14*560500</f>
        <v>78470.000000000015</v>
      </c>
      <c r="L9" s="14">
        <f>0.16*611500</f>
        <v>97840</v>
      </c>
      <c r="N9" s="1" t="s">
        <v>7</v>
      </c>
      <c r="O9" t="s">
        <v>8</v>
      </c>
      <c r="Q9" s="5"/>
      <c r="R9" s="5"/>
      <c r="S9" s="3"/>
      <c r="T9" s="7"/>
      <c r="AG9" s="9" t="s">
        <v>19</v>
      </c>
    </row>
    <row r="10" spans="1:33" ht="16.05" customHeight="1" x14ac:dyDescent="0.3">
      <c r="A10" s="21" t="s">
        <v>79</v>
      </c>
      <c r="B10" s="14">
        <v>0</v>
      </c>
      <c r="C10" s="14">
        <v>0</v>
      </c>
      <c r="D10" s="14">
        <v>0</v>
      </c>
      <c r="E10" s="14">
        <v>0</v>
      </c>
      <c r="F10" s="23">
        <f>IFERROR(F9/E9-1, "")</f>
        <v>1.4910714285714284</v>
      </c>
      <c r="G10" s="23">
        <f t="shared" ref="G10:L10" si="4">IFERROR(G9/F9-1, "")</f>
        <v>0.55913978494623651</v>
      </c>
      <c r="H10" s="23">
        <f t="shared" si="4"/>
        <v>-1.8390804597701149E-2</v>
      </c>
      <c r="I10" s="23">
        <f t="shared" si="4"/>
        <v>-0.22014051522248246</v>
      </c>
      <c r="J10" s="23">
        <f t="shared" si="4"/>
        <v>0.1151285285285284</v>
      </c>
      <c r="K10" s="23">
        <f t="shared" si="4"/>
        <v>1.1131702724581234</v>
      </c>
      <c r="L10" s="23">
        <f t="shared" si="4"/>
        <v>0.24684592838027242</v>
      </c>
      <c r="N10" s="1" t="s">
        <v>2</v>
      </c>
      <c r="O10" t="s">
        <v>3</v>
      </c>
      <c r="Q10" s="5"/>
      <c r="R10" s="5"/>
      <c r="S10" s="3"/>
      <c r="T10" s="7"/>
      <c r="AG10" s="9" t="s">
        <v>19</v>
      </c>
    </row>
    <row r="11" spans="1:33" ht="16.05" customHeight="1" x14ac:dyDescent="0.3">
      <c r="A11" t="s">
        <v>14</v>
      </c>
      <c r="B11" s="20">
        <v>3200</v>
      </c>
      <c r="C11" s="14">
        <v>4400</v>
      </c>
      <c r="D11" s="14">
        <v>0</v>
      </c>
      <c r="E11" s="14">
        <v>0</v>
      </c>
      <c r="F11" s="16">
        <v>31400</v>
      </c>
      <c r="G11" s="14">
        <v>40000</v>
      </c>
      <c r="H11" s="14">
        <v>48200</v>
      </c>
      <c r="I11" s="14">
        <v>43100</v>
      </c>
      <c r="J11" s="14">
        <f>AD5*506600</f>
        <v>43212.98</v>
      </c>
      <c r="K11" s="14">
        <f>0.08*560500</f>
        <v>44840</v>
      </c>
      <c r="L11" s="14">
        <f>0.09*611500</f>
        <v>55035</v>
      </c>
      <c r="N11" s="1" t="s">
        <v>4</v>
      </c>
      <c r="O11" t="s">
        <v>5</v>
      </c>
      <c r="Q11" s="5"/>
      <c r="R11" s="5"/>
      <c r="S11" s="3"/>
      <c r="T11" s="7"/>
      <c r="AG11" s="9" t="s">
        <v>19</v>
      </c>
    </row>
    <row r="12" spans="1:33" ht="16.05" customHeight="1" x14ac:dyDescent="0.3">
      <c r="A12" s="21" t="s">
        <v>79</v>
      </c>
      <c r="B12" s="20"/>
      <c r="C12" s="23">
        <f>IFERROR(C11/B11-1, "")</f>
        <v>0.375</v>
      </c>
      <c r="D12" s="14"/>
      <c r="E12" s="14"/>
      <c r="F12" s="16"/>
      <c r="G12" s="23">
        <f>IFERROR(G11/F11-1, "")</f>
        <v>0.27388535031847128</v>
      </c>
      <c r="H12" s="23">
        <f t="shared" ref="H12:L12" si="5">IFERROR(H11/G11-1, "")</f>
        <v>0.20500000000000007</v>
      </c>
      <c r="I12" s="23">
        <f t="shared" si="5"/>
        <v>-0.10580912863070535</v>
      </c>
      <c r="J12" s="23">
        <f t="shared" si="5"/>
        <v>2.6213457076567082E-3</v>
      </c>
      <c r="K12" s="23">
        <f t="shared" si="5"/>
        <v>3.7651187212730974E-2</v>
      </c>
      <c r="L12" s="23">
        <f t="shared" si="5"/>
        <v>0.22736396074933096</v>
      </c>
      <c r="N12" s="1" t="s">
        <v>74</v>
      </c>
      <c r="O12" t="s">
        <v>75</v>
      </c>
      <c r="Q12" s="5"/>
      <c r="R12" s="5"/>
      <c r="S12" s="3"/>
      <c r="T12" s="7"/>
      <c r="AG12" s="9"/>
    </row>
    <row r="13" spans="1:33" ht="16.05" customHeight="1" x14ac:dyDescent="0.3">
      <c r="A13" t="s">
        <v>67</v>
      </c>
      <c r="B13" s="20">
        <v>5800</v>
      </c>
      <c r="C13" s="14">
        <v>6300</v>
      </c>
      <c r="D13" s="14">
        <v>6300</v>
      </c>
      <c r="E13" s="14">
        <v>0</v>
      </c>
      <c r="F13" s="14">
        <v>0</v>
      </c>
      <c r="G13" s="14">
        <v>0</v>
      </c>
      <c r="H13" s="16">
        <f>0.046*533400</f>
        <v>24536.399999999998</v>
      </c>
      <c r="I13" s="14"/>
      <c r="J13" s="14">
        <v>0</v>
      </c>
      <c r="K13" s="14">
        <f>0.04*560500</f>
        <v>22420</v>
      </c>
      <c r="L13" s="14">
        <f>0.05*611500</f>
        <v>30575</v>
      </c>
      <c r="Q13" s="5"/>
      <c r="R13" s="5"/>
      <c r="S13" s="3"/>
      <c r="T13" s="7"/>
      <c r="AG13" s="9" t="s">
        <v>19</v>
      </c>
    </row>
    <row r="14" spans="1:33" ht="16.05" customHeight="1" x14ac:dyDescent="0.3">
      <c r="A14" s="21" t="s">
        <v>79</v>
      </c>
      <c r="B14" s="20"/>
      <c r="C14" s="23">
        <f>IFERROR(C13/B13-1, "")</f>
        <v>8.6206896551724199E-2</v>
      </c>
      <c r="D14" s="23">
        <f t="shared" ref="D14" si="6">IFERROR(D13/C13-1, "")</f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23">
        <f>IFERROR(L13/K13-1, "")</f>
        <v>0.36373773416592337</v>
      </c>
      <c r="Q14" s="5"/>
      <c r="R14" s="5"/>
      <c r="S14" s="3"/>
      <c r="T14" s="7"/>
      <c r="AG14" s="9"/>
    </row>
    <row r="15" spans="1:33" ht="16.05" customHeight="1" x14ac:dyDescent="0.3">
      <c r="A15" t="s">
        <v>68</v>
      </c>
      <c r="B15" s="14">
        <v>0</v>
      </c>
      <c r="C15" s="14">
        <v>2100</v>
      </c>
      <c r="D15" s="14">
        <v>4900</v>
      </c>
      <c r="E15" s="14">
        <v>13800</v>
      </c>
      <c r="F15" s="14">
        <v>15900</v>
      </c>
      <c r="G15" s="17">
        <f>0.022*346400</f>
        <v>7620.7999999999993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</row>
    <row r="16" spans="1:33" x14ac:dyDescent="0.3">
      <c r="A16" s="21" t="s">
        <v>79</v>
      </c>
      <c r="B16" s="14">
        <v>0</v>
      </c>
      <c r="C16" s="14">
        <v>0</v>
      </c>
      <c r="D16" s="23">
        <f>IFERROR(D15/C15-1, "")</f>
        <v>1.3333333333333335</v>
      </c>
      <c r="E16" s="23">
        <f t="shared" ref="E16:G16" si="7">IFERROR(E15/D15-1, "")</f>
        <v>1.8163265306122449</v>
      </c>
      <c r="F16" s="23">
        <f t="shared" si="7"/>
        <v>0.15217391304347827</v>
      </c>
      <c r="G16" s="23">
        <f t="shared" si="7"/>
        <v>-0.52070440251572325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Q16" s="2"/>
      <c r="R16" s="4"/>
      <c r="S16" s="4"/>
      <c r="T16" s="4"/>
      <c r="U16" s="12"/>
      <c r="V16" s="4"/>
    </row>
    <row r="17" spans="1:24" x14ac:dyDescent="0.3">
      <c r="A17" t="s">
        <v>69</v>
      </c>
      <c r="B17" s="15">
        <f>B3+B5+B7+B9+B11+B13</f>
        <v>54600</v>
      </c>
      <c r="C17" s="15">
        <f t="shared" ref="C17:L17" si="8">C3+C5+C7+C9+C11+C13</f>
        <v>60200</v>
      </c>
      <c r="D17" s="15">
        <f t="shared" si="8"/>
        <v>55100</v>
      </c>
      <c r="E17" s="47">
        <f t="shared" si="8"/>
        <v>94700</v>
      </c>
      <c r="F17" s="47">
        <f t="shared" si="8"/>
        <v>238400</v>
      </c>
      <c r="G17" s="15">
        <f t="shared" si="8"/>
        <v>298500</v>
      </c>
      <c r="H17" s="15">
        <f t="shared" si="8"/>
        <v>351705.60000000003</v>
      </c>
      <c r="I17" s="15">
        <f t="shared" si="8"/>
        <v>257400</v>
      </c>
      <c r="J17" s="15">
        <f t="shared" si="8"/>
        <v>236278.24</v>
      </c>
      <c r="K17" s="15">
        <f t="shared" si="8"/>
        <v>330695</v>
      </c>
      <c r="L17" s="15">
        <f t="shared" si="8"/>
        <v>397475</v>
      </c>
      <c r="Q17" s="2"/>
      <c r="R17" s="4"/>
      <c r="S17" s="4"/>
      <c r="T17" s="4"/>
      <c r="U17" s="12"/>
      <c r="V17" s="4"/>
      <c r="X17" s="11"/>
    </row>
    <row r="18" spans="1:24" x14ac:dyDescent="0.3">
      <c r="B18" s="15"/>
      <c r="C18" s="15"/>
      <c r="D18" s="15"/>
      <c r="E18" s="47"/>
      <c r="F18" s="47"/>
      <c r="G18" s="15"/>
      <c r="H18" s="15"/>
      <c r="I18" s="15"/>
      <c r="J18" s="15"/>
      <c r="K18" s="15"/>
      <c r="L18" s="15"/>
      <c r="Q18" s="2"/>
      <c r="R18" s="4"/>
      <c r="S18" s="4"/>
      <c r="T18" s="4"/>
      <c r="U18" s="12"/>
      <c r="V18" s="4"/>
      <c r="X18" s="11"/>
    </row>
    <row r="19" spans="1:24" x14ac:dyDescent="0.3">
      <c r="B19" s="15"/>
      <c r="C19" s="15"/>
      <c r="D19" s="15"/>
      <c r="E19" s="47"/>
      <c r="F19" s="47"/>
      <c r="G19" s="15"/>
      <c r="H19" s="15"/>
      <c r="I19" s="15"/>
      <c r="J19" s="15"/>
      <c r="K19" s="15"/>
      <c r="L19" s="15"/>
      <c r="Q19" s="2"/>
      <c r="R19" s="4"/>
      <c r="S19" s="4"/>
      <c r="T19" s="4"/>
      <c r="U19" s="12"/>
      <c r="V19" s="4"/>
      <c r="X19" s="11"/>
    </row>
    <row r="20" spans="1:24" x14ac:dyDescent="0.3">
      <c r="A20" s="10" t="s">
        <v>203</v>
      </c>
      <c r="Q20" s="2"/>
      <c r="R20" s="4"/>
      <c r="S20" s="4"/>
      <c r="T20" s="4"/>
      <c r="U20" s="12"/>
      <c r="V20" s="4"/>
      <c r="X20" s="11"/>
    </row>
    <row r="21" spans="1:24" ht="18.600000000000001" customHeight="1" x14ac:dyDescent="0.3">
      <c r="B21" s="13">
        <v>2015</v>
      </c>
      <c r="C21" s="13">
        <v>2016</v>
      </c>
      <c r="D21" s="13">
        <f>C21+1</f>
        <v>2017</v>
      </c>
      <c r="E21" s="13">
        <f t="shared" ref="E21" si="9">D21+1</f>
        <v>2018</v>
      </c>
      <c r="F21" s="13">
        <f t="shared" ref="F21" si="10">E21+1</f>
        <v>2019</v>
      </c>
      <c r="G21" s="13">
        <f t="shared" ref="G21" si="11">F21+1</f>
        <v>2020</v>
      </c>
      <c r="H21" s="13">
        <f t="shared" ref="H21" si="12">G21+1</f>
        <v>2021</v>
      </c>
      <c r="I21" s="13">
        <f t="shared" ref="I21" si="13">H21+1</f>
        <v>2022</v>
      </c>
      <c r="J21" s="13">
        <f t="shared" ref="J21" si="14">I21+1</f>
        <v>2023</v>
      </c>
      <c r="K21" s="13">
        <f t="shared" ref="K21" si="15">J21+1</f>
        <v>2024</v>
      </c>
      <c r="L21" s="13">
        <f t="shared" ref="L21" si="16">K21+1</f>
        <v>2025</v>
      </c>
      <c r="Q21" s="6"/>
      <c r="R21" s="8"/>
      <c r="S21" s="7"/>
      <c r="T21" s="7"/>
      <c r="U21" s="7"/>
      <c r="V21" s="7"/>
    </row>
    <row r="22" spans="1:24" ht="27.6" customHeight="1" x14ac:dyDescent="0.3">
      <c r="A22" t="s">
        <v>65</v>
      </c>
      <c r="B22" s="23">
        <f>B3/$B$17</f>
        <v>0.21245421245421245</v>
      </c>
      <c r="C22" s="23">
        <f>C3/$C$17</f>
        <v>0.1877076411960133</v>
      </c>
      <c r="D22" s="23">
        <f>D3/$D$17</f>
        <v>0.32123411978221417</v>
      </c>
      <c r="E22" s="23">
        <f>E3/$E$17</f>
        <v>0.50686378035902846</v>
      </c>
      <c r="F22" s="23">
        <f>F3/$F$17</f>
        <v>0.44672818791946306</v>
      </c>
      <c r="G22" s="23">
        <f>G3/$G$17</f>
        <v>0.50720268006700164</v>
      </c>
      <c r="H22" s="23">
        <f>H3/$H$17</f>
        <v>0.4600438548604287</v>
      </c>
      <c r="I22" s="23">
        <f>I3/$I$17</f>
        <v>0.56837606837606836</v>
      </c>
      <c r="J22" s="23">
        <f>J3/$J$17</f>
        <v>0.47448542024013723</v>
      </c>
      <c r="K22" s="23">
        <f>K3/$K$17</f>
        <v>0.30508474576271188</v>
      </c>
      <c r="L22" s="46">
        <f>L3/$L$17</f>
        <v>0.26153846153846155</v>
      </c>
      <c r="Q22" s="6"/>
      <c r="R22" s="4"/>
    </row>
    <row r="23" spans="1:24" ht="15" customHeight="1" x14ac:dyDescent="0.3">
      <c r="A23" t="s">
        <v>15</v>
      </c>
      <c r="B23" s="23">
        <f>B5/$B$17</f>
        <v>0.21978021978021978</v>
      </c>
      <c r="C23" s="23">
        <f>C5/$C$17</f>
        <v>0.26079734219269102</v>
      </c>
      <c r="D23" s="23">
        <f>D5/$D$17</f>
        <v>0.28493647912885661</v>
      </c>
      <c r="E23" s="23">
        <f>E5/$E$17</f>
        <v>0.24604012671594508</v>
      </c>
      <c r="F23" s="23">
        <f>F5/$F$17</f>
        <v>0.17491610738255034</v>
      </c>
      <c r="G23" s="23">
        <f>G5/$G$17</f>
        <v>0.16984924623115577</v>
      </c>
      <c r="H23" s="23">
        <f>H5/$H$17</f>
        <v>0.15410616151690504</v>
      </c>
      <c r="I23" s="23">
        <f>I5/$I$17</f>
        <v>0.13480963480963482</v>
      </c>
      <c r="J23" s="23">
        <f>J5/$J$17</f>
        <v>0.18546312178387647</v>
      </c>
      <c r="K23" s="23">
        <f>K5/$K$17</f>
        <v>0.25423728813559321</v>
      </c>
      <c r="L23" s="46">
        <f>L5/$L$17</f>
        <v>0.27692307692307694</v>
      </c>
    </row>
    <row r="24" spans="1:24" ht="25.2" customHeight="1" x14ac:dyDescent="0.3">
      <c r="A24" t="s">
        <v>66</v>
      </c>
      <c r="B24" s="23">
        <f>B7/$B$17</f>
        <v>0.40293040293040294</v>
      </c>
      <c r="C24" s="23">
        <f>C7/$C$17</f>
        <v>0.37375415282392027</v>
      </c>
      <c r="D24" s="23">
        <f>D7/$D$17</f>
        <v>0.27949183303085301</v>
      </c>
      <c r="E24" s="23">
        <f>E7/$E$17</f>
        <v>0.12882787750791974</v>
      </c>
      <c r="F24" s="23">
        <f>F7/$F$17</f>
        <v>0.12961409395973153</v>
      </c>
      <c r="G24" s="23">
        <f>G7/$G$17</f>
        <v>4.3216080402010047E-2</v>
      </c>
      <c r="H24" s="23">
        <f>H7/$H$17</f>
        <v>5.7631155147941912E-2</v>
      </c>
      <c r="I24" s="23">
        <f>I7/$I$17</f>
        <v>0</v>
      </c>
      <c r="J24" s="23">
        <f>J7/$J$17</f>
        <v>0</v>
      </c>
      <c r="K24" s="23">
        <f>K7/$K$17</f>
        <v>0</v>
      </c>
      <c r="L24" s="23">
        <f>L7/$L$17</f>
        <v>0</v>
      </c>
    </row>
    <row r="25" spans="1:24" ht="15" customHeight="1" x14ac:dyDescent="0.3">
      <c r="A25" t="s">
        <v>17</v>
      </c>
      <c r="B25" s="23">
        <f>B9/$B$17</f>
        <v>0</v>
      </c>
      <c r="C25" s="23">
        <f>C9/$C$17</f>
        <v>0</v>
      </c>
      <c r="D25" s="23">
        <f>D9/$D$17</f>
        <v>0</v>
      </c>
      <c r="E25" s="23">
        <f>E9/$E$17</f>
        <v>0.11826821541710665</v>
      </c>
      <c r="F25" s="23">
        <f>F9/$F$17</f>
        <v>0.11703020134228188</v>
      </c>
      <c r="G25" s="23">
        <f>G9/$G$17</f>
        <v>0.14572864321608039</v>
      </c>
      <c r="H25" s="23">
        <f>H9/$H$17</f>
        <v>0.12140835971903773</v>
      </c>
      <c r="I25" s="23">
        <f>I9/$I$17</f>
        <v>0.12937062937062938</v>
      </c>
      <c r="J25" s="23">
        <f>J9/$J$17</f>
        <v>0.15716123499142368</v>
      </c>
      <c r="K25" s="23">
        <f>K9/$K$17</f>
        <v>0.23728813559322037</v>
      </c>
      <c r="L25" s="46">
        <f>L9/$L$17</f>
        <v>0.24615384615384617</v>
      </c>
    </row>
    <row r="26" spans="1:24" ht="15" customHeight="1" x14ac:dyDescent="0.3">
      <c r="A26" t="s">
        <v>14</v>
      </c>
      <c r="B26" s="23">
        <f>B11/$B$17</f>
        <v>5.8608058608058608E-2</v>
      </c>
      <c r="C26" s="23">
        <f>C11/$C$17</f>
        <v>7.3089700996677748E-2</v>
      </c>
      <c r="D26" s="23">
        <f>D11/$D$17</f>
        <v>0</v>
      </c>
      <c r="E26" s="23">
        <f>E11/$E$17</f>
        <v>0</v>
      </c>
      <c r="F26" s="23">
        <f>F11/$F$17</f>
        <v>0.13171140939597314</v>
      </c>
      <c r="G26" s="23">
        <f>G11/$G$17</f>
        <v>0.13400335008375208</v>
      </c>
      <c r="H26" s="23">
        <f>H11/$H$17</f>
        <v>0.13704643883975687</v>
      </c>
      <c r="I26" s="23">
        <f>I11/$I$17</f>
        <v>0.16744366744366745</v>
      </c>
      <c r="J26" s="23">
        <f>J11/$J$17</f>
        <v>0.18289022298456262</v>
      </c>
      <c r="K26" s="23">
        <f>K11/$K$17</f>
        <v>0.13559322033898305</v>
      </c>
      <c r="L26" s="23">
        <f>L11/$L$17</f>
        <v>0.13846153846153847</v>
      </c>
    </row>
    <row r="27" spans="1:24" ht="15" customHeight="1" x14ac:dyDescent="0.3">
      <c r="A27" t="s">
        <v>67</v>
      </c>
      <c r="B27" s="23">
        <f>B13/$B$17</f>
        <v>0.10622710622710622</v>
      </c>
      <c r="C27" s="23">
        <f>C13/$C$17</f>
        <v>0.10465116279069768</v>
      </c>
      <c r="D27" s="23">
        <f>D13/$D$17</f>
        <v>0.11433756805807622</v>
      </c>
      <c r="E27" s="23">
        <f>E13/$E$17</f>
        <v>0</v>
      </c>
      <c r="F27" s="23">
        <f>F13/$F$17</f>
        <v>0</v>
      </c>
      <c r="G27" s="23">
        <f>G13/$G$17</f>
        <v>0</v>
      </c>
      <c r="H27" s="23">
        <f>H13/$H$17</f>
        <v>6.9764029915929671E-2</v>
      </c>
      <c r="I27" s="23">
        <f>I13/$I$17</f>
        <v>0</v>
      </c>
      <c r="J27" s="23">
        <f>J13/$J$17</f>
        <v>0</v>
      </c>
      <c r="K27" s="23">
        <f>K13/$K$17</f>
        <v>6.7796610169491525E-2</v>
      </c>
      <c r="L27" s="23">
        <f>L13/$L$17</f>
        <v>7.6923076923076927E-2</v>
      </c>
    </row>
    <row r="28" spans="1:24" x14ac:dyDescent="0.3">
      <c r="A28" t="s">
        <v>68</v>
      </c>
      <c r="B28" s="23">
        <f>B15/$B$17</f>
        <v>0</v>
      </c>
      <c r="C28" s="23">
        <f>C15/$C$17</f>
        <v>3.4883720930232558E-2</v>
      </c>
      <c r="D28" s="23">
        <f>D15/$D$17</f>
        <v>8.8929219600725959E-2</v>
      </c>
      <c r="E28" s="23">
        <f>E15/$E$17</f>
        <v>0.1457233368532207</v>
      </c>
      <c r="F28" s="23">
        <f>F15/$F$17</f>
        <v>6.6694630872483215E-2</v>
      </c>
      <c r="G28" s="23">
        <f>G15/$G$17</f>
        <v>2.5530318257956448E-2</v>
      </c>
      <c r="H28" s="23">
        <f>H15/$H$17</f>
        <v>0</v>
      </c>
      <c r="I28" s="23">
        <f>I15/$I$17</f>
        <v>0</v>
      </c>
      <c r="J28" s="23">
        <f>J15/$J$17</f>
        <v>0</v>
      </c>
      <c r="K28" s="23">
        <f>K15/$K$17</f>
        <v>0</v>
      </c>
      <c r="L28" s="23">
        <f>L15/$L$17</f>
        <v>0</v>
      </c>
    </row>
    <row r="29" spans="1:24" x14ac:dyDescent="0.3">
      <c r="A29" t="s">
        <v>69</v>
      </c>
      <c r="B29" s="23">
        <f>B17/$B$17</f>
        <v>1</v>
      </c>
      <c r="C29" s="23">
        <f>C17/$C$17</f>
        <v>1</v>
      </c>
      <c r="D29" s="23">
        <f>D17/$D$17</f>
        <v>1</v>
      </c>
      <c r="E29" s="23">
        <f>E17/$E$17</f>
        <v>1</v>
      </c>
      <c r="F29" s="23">
        <f>F17/$F$17</f>
        <v>1</v>
      </c>
      <c r="G29" s="23">
        <f>G17/$G$17</f>
        <v>1</v>
      </c>
      <c r="H29" s="23">
        <f>H17/$H$17</f>
        <v>1</v>
      </c>
      <c r="I29" s="23">
        <f>I17/$I$17</f>
        <v>1</v>
      </c>
      <c r="J29" s="23">
        <f>J17/$J$17</f>
        <v>1</v>
      </c>
      <c r="K29" s="23">
        <f>K17/$K$17</f>
        <v>1</v>
      </c>
      <c r="L29" s="23">
        <f>L17/$L$17</f>
        <v>1</v>
      </c>
    </row>
  </sheetData>
  <hyperlinks>
    <hyperlink ref="N10" r:id="rId1" xr:uid="{29997033-5475-4B60-91F7-D3C15868868F}"/>
    <hyperlink ref="N11" r:id="rId2" xr:uid="{815C0424-4342-4199-A50C-8C2337222627}"/>
    <hyperlink ref="N4" r:id="rId3" xr:uid="{25CABF3C-1F11-40F6-9BD1-3B3DAC1479E6}"/>
    <hyperlink ref="N8" r:id="rId4" xr:uid="{8C4101EF-00E2-4348-BD3D-36026A51021F}"/>
    <hyperlink ref="N9" r:id="rId5" xr:uid="{D371C597-73BE-4EEE-85E2-2AE0C8FFF9C5}"/>
    <hyperlink ref="AG3" r:id="rId6" display="https://markets.financialcontent.com/stocks/article/bizwire-2024-6-4-worldwide-shipments-of-wearable-devices-grew-88-year-over-year-in-q1-2024-while-average-selling-prices-continue-to-decline-according-to-idc?utm_source=chatgpt.com" xr:uid="{185FF737-771E-4585-AD05-844F281E8C63}"/>
    <hyperlink ref="AG4" r:id="rId7" display="https://markets.financialcontent.com/stocks/article/bizwire-2024-6-4-worldwide-shipments-of-wearable-devices-grew-88-year-over-year-in-q1-2024-while-average-selling-prices-continue-to-decline-according-to-idc?utm_source=chatgpt.com" xr:uid="{68FF8ED8-58EE-462B-AFC9-22170EDD647C}"/>
    <hyperlink ref="AG5" r:id="rId8" display="https://markets.financialcontent.com/stocks/article/bizwire-2024-6-4-worldwide-shipments-of-wearable-devices-grew-88-year-over-year-in-q1-2024-while-average-selling-prices-continue-to-decline-according-to-idc?utm_source=chatgpt.com" xr:uid="{28C84AC0-0F79-415F-873E-ED69517BB74B}"/>
    <hyperlink ref="AG6" r:id="rId9" display="https://markets.financialcontent.com/stocks/article/bizwire-2024-6-4-worldwide-shipments-of-wearable-devices-grew-88-year-over-year-in-q1-2024-while-average-selling-prices-continue-to-decline-according-to-idc?utm_source=chatgpt.com" xr:uid="{6AC1C524-7423-4ED4-900A-1347E5899BCE}"/>
    <hyperlink ref="AG7" r:id="rId10" display="https://markets.financialcontent.com/stocks/article/bizwire-2024-6-4-worldwide-shipments-of-wearable-devices-grew-88-year-over-year-in-q1-2024-while-average-selling-prices-continue-to-decline-according-to-idc?utm_source=chatgpt.com" xr:uid="{EF73D40D-943D-407B-AFFE-B33CAFD3D44E}"/>
    <hyperlink ref="AG8" r:id="rId11" display="https://www.businesswire.com/news/home/20231204402509/en/Global-Shipments-of-Wearable-Devices-Show-Modest-Growth-and-Strong-Volume-in-Q3-2023-According-to-IDC/?utm_source=chatgpt.com" xr:uid="{3947CB0D-10DC-4CD9-8D19-2EC8767E2D70}"/>
    <hyperlink ref="AG9" r:id="rId12" display="https://www.businesswire.com/news/home/20231204402509/en/Global-Shipments-of-Wearable-Devices-Show-Modest-Growth-and-Strong-Volume-in-Q3-2023-According-to-IDC/?utm_source=chatgpt.com" xr:uid="{79C26A4D-E1C9-4572-8F84-5C49B5B6861B}"/>
    <hyperlink ref="AG10" r:id="rId13" display="https://www.businesswire.com/news/home/20231204402509/en/Global-Shipments-of-Wearable-Devices-Show-Modest-Growth-and-Strong-Volume-in-Q3-2023-According-to-IDC/?utm_source=chatgpt.com" xr:uid="{7E45D466-EB2E-4927-B48D-CACD4ADC4CE8}"/>
    <hyperlink ref="AG11" r:id="rId14" display="https://www.businesswire.com/news/home/20231204402509/en/Global-Shipments-of-Wearable-Devices-Show-Modest-Growth-and-Strong-Volume-in-Q3-2023-According-to-IDC/?utm_source=chatgpt.com" xr:uid="{D46A1147-CF99-434A-B1BB-9DD168EFA6FF}"/>
    <hyperlink ref="AG13" r:id="rId15" display="https://www.businesswire.com/news/home/20231204402509/en/Global-Shipments-of-Wearable-Devices-Show-Modest-Growth-and-Strong-Volume-in-Q3-2023-According-to-IDC/?utm_source=chatgpt.com" xr:uid="{E7AAA4D8-A5E3-4972-93EC-7AF595D81DA5}"/>
    <hyperlink ref="N7" r:id="rId16" xr:uid="{EEE6D7F7-23D5-4A51-A35E-A3692D7E3FAD}"/>
    <hyperlink ref="N5" r:id="rId17" xr:uid="{75873359-B729-44F2-98CC-6C3621F28621}"/>
    <hyperlink ref="N12" r:id="rId18" xr:uid="{09352A9B-2B5F-4268-8492-DFA3019DA225}"/>
    <hyperlink ref="N3" r:id="rId19" xr:uid="{612DB952-D9F3-4CB4-BB39-B12179DCA590}"/>
  </hyperlinks>
  <pageMargins left="0.7" right="0.7" top="0.75" bottom="0.75" header="0.3" footer="0.3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workbookViewId="0">
      <selection activeCell="A2" sqref="A2"/>
    </sheetView>
  </sheetViews>
  <sheetFormatPr defaultRowHeight="14.4" x14ac:dyDescent="0.3"/>
  <cols>
    <col min="1" max="1" width="35.77734375" customWidth="1"/>
    <col min="2" max="12" width="11.109375" bestFit="1" customWidth="1"/>
  </cols>
  <sheetData>
    <row r="1" spans="1:15" x14ac:dyDescent="0.3">
      <c r="A1" t="s">
        <v>80</v>
      </c>
      <c r="B1" s="24">
        <v>2025</v>
      </c>
      <c r="C1" s="25">
        <v>2026</v>
      </c>
      <c r="D1" s="25">
        <v>2027</v>
      </c>
      <c r="E1" s="25">
        <v>2028</v>
      </c>
      <c r="F1" s="25">
        <v>2029</v>
      </c>
      <c r="G1" s="25">
        <v>2030</v>
      </c>
      <c r="H1" s="25">
        <v>2031</v>
      </c>
      <c r="I1" s="25">
        <v>2032</v>
      </c>
      <c r="J1" s="25">
        <v>2033</v>
      </c>
      <c r="K1" s="25">
        <v>2034</v>
      </c>
      <c r="L1" s="25">
        <v>2035</v>
      </c>
      <c r="O1" s="10" t="s">
        <v>106</v>
      </c>
    </row>
    <row r="2" spans="1:15" x14ac:dyDescent="0.3">
      <c r="A2" t="s">
        <v>81</v>
      </c>
      <c r="B2" s="14">
        <v>203380</v>
      </c>
      <c r="C2" s="14">
        <v>231450</v>
      </c>
      <c r="D2" s="14">
        <v>263380</v>
      </c>
      <c r="E2" s="14">
        <v>299730</v>
      </c>
      <c r="F2" s="14">
        <v>341090</v>
      </c>
      <c r="G2" s="14">
        <v>388170</v>
      </c>
      <c r="H2" s="14">
        <v>441730</v>
      </c>
      <c r="I2" s="14">
        <v>502690</v>
      </c>
      <c r="J2" s="14">
        <v>572060</v>
      </c>
      <c r="K2" s="14">
        <v>635820</v>
      </c>
      <c r="L2" s="14">
        <v>703320</v>
      </c>
      <c r="O2" s="1" t="s">
        <v>0</v>
      </c>
    </row>
    <row r="3" spans="1:15" x14ac:dyDescent="0.3">
      <c r="C3" s="23">
        <f>IFERROR(C2/B2-1, "")</f>
        <v>0.13801750417936876</v>
      </c>
      <c r="D3" s="23">
        <f t="shared" ref="D3:L3" si="0">IFERROR(D2/C2-1, "")</f>
        <v>0.13795636206524087</v>
      </c>
      <c r="E3" s="23">
        <f t="shared" si="0"/>
        <v>0.13801351659199645</v>
      </c>
      <c r="F3" s="23">
        <f t="shared" si="0"/>
        <v>0.13799085843926195</v>
      </c>
      <c r="G3" s="23">
        <f t="shared" si="0"/>
        <v>0.13802808642880171</v>
      </c>
      <c r="H3" s="23">
        <f t="shared" si="0"/>
        <v>0.13798078161630212</v>
      </c>
      <c r="I3" s="23">
        <f t="shared" si="0"/>
        <v>0.13800285242116228</v>
      </c>
      <c r="J3" s="23">
        <f t="shared" si="0"/>
        <v>0.13799757305695359</v>
      </c>
      <c r="K3" s="23">
        <f t="shared" si="0"/>
        <v>0.1114568401915883</v>
      </c>
      <c r="L3" s="23">
        <f t="shared" si="0"/>
        <v>0.1061621213551005</v>
      </c>
    </row>
  </sheetData>
  <hyperlinks>
    <hyperlink ref="O2" r:id="rId1" xr:uid="{12D4C32B-FB95-40D5-8D25-593FC18428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E11A-F31F-49BB-A3B6-D2A1D39D893C}">
  <dimension ref="A1:P48"/>
  <sheetViews>
    <sheetView zoomScale="70" zoomScaleNormal="70" workbookViewId="0">
      <selection activeCell="I44" sqref="I44"/>
    </sheetView>
  </sheetViews>
  <sheetFormatPr defaultRowHeight="14.4" x14ac:dyDescent="0.3"/>
  <cols>
    <col min="1" max="1" width="40.77734375" customWidth="1"/>
    <col min="2" max="3" width="11.109375" bestFit="1" customWidth="1"/>
    <col min="4" max="4" width="15.77734375" customWidth="1"/>
    <col min="5" max="5" width="11.21875" bestFit="1" customWidth="1"/>
    <col min="6" max="6" width="15.77734375" customWidth="1"/>
    <col min="7" max="7" width="11.21875" bestFit="1" customWidth="1"/>
    <col min="8" max="8" width="15.77734375" customWidth="1"/>
    <col min="9" max="9" width="11.21875" bestFit="1" customWidth="1"/>
    <col min="10" max="10" width="12.77734375" customWidth="1"/>
    <col min="11" max="16" width="11.109375" bestFit="1" customWidth="1"/>
  </cols>
  <sheetData>
    <row r="1" spans="1:16" x14ac:dyDescent="0.3">
      <c r="A1" s="1" t="s">
        <v>1</v>
      </c>
    </row>
    <row r="2" spans="1:16" x14ac:dyDescent="0.3">
      <c r="A2" s="1"/>
    </row>
    <row r="3" spans="1:16" x14ac:dyDescent="0.3">
      <c r="A3" s="10" t="s">
        <v>94</v>
      </c>
    </row>
    <row r="4" spans="1:16" x14ac:dyDescent="0.3">
      <c r="B4" t="s">
        <v>82</v>
      </c>
      <c r="C4" t="s">
        <v>83</v>
      </c>
      <c r="D4" t="s">
        <v>84</v>
      </c>
      <c r="E4" t="s">
        <v>85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91</v>
      </c>
    </row>
    <row r="5" spans="1:16" x14ac:dyDescent="0.3">
      <c r="A5" t="s">
        <v>92</v>
      </c>
      <c r="B5" s="26">
        <v>0.56999999999999995</v>
      </c>
      <c r="C5" s="26">
        <v>0.53</v>
      </c>
      <c r="D5" s="26">
        <v>0.52</v>
      </c>
      <c r="E5" s="26">
        <v>0.5</v>
      </c>
      <c r="F5" s="26">
        <v>0.44</v>
      </c>
      <c r="G5" s="26">
        <v>0.42</v>
      </c>
      <c r="H5" s="26">
        <v>0.41</v>
      </c>
      <c r="I5" s="26">
        <v>0.41</v>
      </c>
      <c r="J5" s="26">
        <v>0.4</v>
      </c>
      <c r="K5" s="26">
        <v>0.33</v>
      </c>
    </row>
    <row r="6" spans="1:16" x14ac:dyDescent="0.3">
      <c r="A6" t="s">
        <v>93</v>
      </c>
      <c r="B6" s="26">
        <f>1-B5</f>
        <v>0.43000000000000005</v>
      </c>
      <c r="C6" s="26">
        <f t="shared" ref="C6:K6" si="0">1-C5</f>
        <v>0.47</v>
      </c>
      <c r="D6" s="26">
        <f t="shared" si="0"/>
        <v>0.48</v>
      </c>
      <c r="E6" s="26">
        <f t="shared" si="0"/>
        <v>0.5</v>
      </c>
      <c r="F6" s="26">
        <f t="shared" si="0"/>
        <v>0.56000000000000005</v>
      </c>
      <c r="G6" s="26">
        <f t="shared" si="0"/>
        <v>0.58000000000000007</v>
      </c>
      <c r="H6" s="26">
        <f t="shared" si="0"/>
        <v>0.59000000000000008</v>
      </c>
      <c r="I6" s="26">
        <f t="shared" si="0"/>
        <v>0.59000000000000008</v>
      </c>
      <c r="J6" s="26">
        <f t="shared" si="0"/>
        <v>0.6</v>
      </c>
      <c r="K6" s="26">
        <f t="shared" si="0"/>
        <v>0.66999999999999993</v>
      </c>
    </row>
    <row r="9" spans="1:16" x14ac:dyDescent="0.3">
      <c r="A9" s="10" t="s">
        <v>95</v>
      </c>
    </row>
    <row r="10" spans="1:16" x14ac:dyDescent="0.3"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</row>
    <row r="11" spans="1:16" x14ac:dyDescent="0.3">
      <c r="A11" t="s">
        <v>92</v>
      </c>
      <c r="B11" s="26">
        <v>0.5</v>
      </c>
      <c r="C11" s="26">
        <v>0.46</v>
      </c>
      <c r="D11" s="26">
        <v>0.42</v>
      </c>
      <c r="E11" s="26">
        <v>0.37</v>
      </c>
      <c r="F11" s="26">
        <v>0.35</v>
      </c>
      <c r="G11" s="26">
        <v>0.34</v>
      </c>
      <c r="H11" s="26">
        <v>0.34</v>
      </c>
      <c r="I11" s="26">
        <v>0.32</v>
      </c>
      <c r="J11" s="26">
        <v>0.32</v>
      </c>
      <c r="K11" s="26">
        <v>0.28000000000000003</v>
      </c>
    </row>
    <row r="12" spans="1:16" x14ac:dyDescent="0.3">
      <c r="A12" t="s">
        <v>93</v>
      </c>
      <c r="B12" s="26">
        <f>1-B11</f>
        <v>0.5</v>
      </c>
      <c r="C12" s="26">
        <f t="shared" ref="C12:K12" si="1">1-C11</f>
        <v>0.54</v>
      </c>
      <c r="D12" s="26">
        <f t="shared" si="1"/>
        <v>0.58000000000000007</v>
      </c>
      <c r="E12" s="26">
        <f t="shared" si="1"/>
        <v>0.63</v>
      </c>
      <c r="F12" s="26">
        <f t="shared" si="1"/>
        <v>0.65</v>
      </c>
      <c r="G12" s="26">
        <f t="shared" si="1"/>
        <v>0.65999999999999992</v>
      </c>
      <c r="H12" s="26">
        <f t="shared" si="1"/>
        <v>0.65999999999999992</v>
      </c>
      <c r="I12" s="26">
        <f t="shared" si="1"/>
        <v>0.67999999999999994</v>
      </c>
      <c r="J12" s="26">
        <f t="shared" si="1"/>
        <v>0.67999999999999994</v>
      </c>
      <c r="K12" s="26">
        <f t="shared" si="1"/>
        <v>0.72</v>
      </c>
    </row>
    <row r="13" spans="1:16" x14ac:dyDescent="0.3">
      <c r="B13" s="26"/>
      <c r="C13" s="26"/>
      <c r="D13" s="26"/>
      <c r="E13" s="26"/>
      <c r="F13" s="26"/>
      <c r="G13" s="26"/>
      <c r="H13" s="26"/>
      <c r="I13" s="26"/>
      <c r="J13" s="26"/>
      <c r="K13" s="26"/>
    </row>
    <row r="15" spans="1:16" x14ac:dyDescent="0.3">
      <c r="A15" s="10" t="s">
        <v>97</v>
      </c>
    </row>
    <row r="16" spans="1:16" x14ac:dyDescent="0.3">
      <c r="B16" s="24">
        <v>2014</v>
      </c>
      <c r="C16" s="24">
        <v>2015</v>
      </c>
      <c r="D16" s="24">
        <v>2016</v>
      </c>
      <c r="E16" s="24">
        <v>2017</v>
      </c>
      <c r="F16" s="24">
        <v>2018</v>
      </c>
      <c r="G16" s="24">
        <v>2019</v>
      </c>
      <c r="H16" s="24">
        <v>2020</v>
      </c>
      <c r="I16" s="24">
        <v>2021</v>
      </c>
      <c r="J16" s="24">
        <v>2022</v>
      </c>
      <c r="K16" s="24">
        <v>2023</v>
      </c>
      <c r="L16" s="24">
        <v>2024</v>
      </c>
      <c r="M16" s="25">
        <v>2025</v>
      </c>
      <c r="N16" s="25">
        <v>2026</v>
      </c>
      <c r="O16" s="25">
        <v>2027</v>
      </c>
      <c r="P16" s="25">
        <v>2028</v>
      </c>
    </row>
    <row r="17" spans="1:16" x14ac:dyDescent="0.3">
      <c r="A17" t="s">
        <v>96</v>
      </c>
      <c r="B17" s="14">
        <v>28800</v>
      </c>
      <c r="C17" s="14">
        <v>81900</v>
      </c>
      <c r="D17" s="14">
        <v>102400</v>
      </c>
      <c r="E17" s="14">
        <v>115400</v>
      </c>
      <c r="F17" s="14">
        <v>172200</v>
      </c>
      <c r="G17" s="14">
        <v>346400</v>
      </c>
      <c r="H17" s="14">
        <v>444700</v>
      </c>
      <c r="I17" s="14">
        <v>533600</v>
      </c>
      <c r="J17" s="14">
        <v>492100</v>
      </c>
      <c r="K17" s="14">
        <v>506600</v>
      </c>
      <c r="L17" s="14">
        <v>559700</v>
      </c>
      <c r="M17" s="14">
        <v>590700</v>
      </c>
      <c r="N17" s="14">
        <v>614100</v>
      </c>
      <c r="O17" s="14">
        <v>632300</v>
      </c>
      <c r="P17" s="14">
        <v>645700</v>
      </c>
    </row>
    <row r="18" spans="1:16" x14ac:dyDescent="0.3">
      <c r="A18" s="21" t="s">
        <v>79</v>
      </c>
      <c r="C18" s="23">
        <f>IFERROR(C17/B17-1, "")</f>
        <v>1.84375</v>
      </c>
      <c r="D18" s="23">
        <f t="shared" ref="D18:P18" si="2">IFERROR(D17/C17-1, "")</f>
        <v>0.2503052503052503</v>
      </c>
      <c r="E18" s="23">
        <f t="shared" si="2"/>
        <v>0.126953125</v>
      </c>
      <c r="F18" s="23">
        <f t="shared" si="2"/>
        <v>0.49220103986135189</v>
      </c>
      <c r="G18" s="23">
        <f t="shared" si="2"/>
        <v>1.0116144018583042</v>
      </c>
      <c r="H18" s="23">
        <f t="shared" si="2"/>
        <v>0.28377598152424932</v>
      </c>
      <c r="I18" s="23">
        <f t="shared" si="2"/>
        <v>0.19991005172026077</v>
      </c>
      <c r="J18" s="23">
        <f t="shared" si="2"/>
        <v>-7.7773613193403257E-2</v>
      </c>
      <c r="K18" s="23">
        <f t="shared" si="2"/>
        <v>2.9465555781345243E-2</v>
      </c>
      <c r="L18" s="23">
        <f t="shared" si="2"/>
        <v>0.10481642321358065</v>
      </c>
      <c r="M18" s="23">
        <f t="shared" si="2"/>
        <v>5.5386814364838388E-2</v>
      </c>
      <c r="N18" s="23">
        <f t="shared" si="2"/>
        <v>3.961401726764846E-2</v>
      </c>
      <c r="O18" s="23">
        <f t="shared" si="2"/>
        <v>2.9636866959778629E-2</v>
      </c>
      <c r="P18" s="23">
        <f t="shared" si="2"/>
        <v>2.1192471927882428E-2</v>
      </c>
    </row>
    <row r="21" spans="1:16" ht="28.8" x14ac:dyDescent="0.3">
      <c r="A21" s="27" t="s">
        <v>98</v>
      </c>
    </row>
    <row r="22" spans="1:16" x14ac:dyDescent="0.3">
      <c r="B22" s="24">
        <v>2021</v>
      </c>
      <c r="C22" s="24">
        <v>2022</v>
      </c>
      <c r="D22" s="24">
        <v>2023</v>
      </c>
      <c r="E22" s="24">
        <v>2024</v>
      </c>
      <c r="F22" s="25">
        <v>2025</v>
      </c>
      <c r="G22" s="25">
        <v>2026</v>
      </c>
      <c r="H22" s="25">
        <v>2027</v>
      </c>
      <c r="I22" s="25">
        <v>2028</v>
      </c>
    </row>
    <row r="23" spans="1:16" x14ac:dyDescent="0.3">
      <c r="A23" t="s">
        <v>99</v>
      </c>
      <c r="B23" s="14">
        <v>339620</v>
      </c>
      <c r="C23" s="14">
        <v>322740</v>
      </c>
      <c r="D23" s="14">
        <v>341550</v>
      </c>
      <c r="E23" s="14">
        <v>347280</v>
      </c>
      <c r="F23" s="14">
        <v>367850</v>
      </c>
      <c r="G23" s="14">
        <v>382400</v>
      </c>
      <c r="H23" s="14">
        <v>393790</v>
      </c>
      <c r="I23" s="14">
        <v>402250</v>
      </c>
    </row>
    <row r="24" spans="1:16" x14ac:dyDescent="0.3">
      <c r="A24" s="21" t="s">
        <v>79</v>
      </c>
      <c r="B24" s="14"/>
      <c r="C24" s="23">
        <f>IFERROR(C23/B23-1, "")</f>
        <v>-4.9702608798068426E-2</v>
      </c>
      <c r="D24" s="23">
        <f t="shared" ref="D24:I24" si="3">IFERROR(D23/C23-1, "")</f>
        <v>5.8282208588957163E-2</v>
      </c>
      <c r="E24" s="23">
        <f t="shared" si="3"/>
        <v>1.6776460254721126E-2</v>
      </c>
      <c r="F24" s="23">
        <f t="shared" si="3"/>
        <v>5.9231743837825368E-2</v>
      </c>
      <c r="G24" s="23">
        <f t="shared" si="3"/>
        <v>3.9554166100312704E-2</v>
      </c>
      <c r="H24" s="23">
        <f t="shared" si="3"/>
        <v>2.9785564853556545E-2</v>
      </c>
      <c r="I24" s="23">
        <f t="shared" si="3"/>
        <v>2.1483531831686831E-2</v>
      </c>
    </row>
    <row r="25" spans="1:16" x14ac:dyDescent="0.3">
      <c r="A25" t="s">
        <v>100</v>
      </c>
      <c r="B25" s="14">
        <v>135830</v>
      </c>
      <c r="C25" s="14">
        <v>151870</v>
      </c>
      <c r="D25" s="14">
        <v>165230</v>
      </c>
      <c r="E25" s="14">
        <v>176700</v>
      </c>
      <c r="F25" s="14">
        <v>187480</v>
      </c>
      <c r="G25" s="14">
        <v>196660</v>
      </c>
      <c r="H25" s="14">
        <v>203690</v>
      </c>
      <c r="I25" s="14">
        <v>208630</v>
      </c>
    </row>
    <row r="26" spans="1:16" x14ac:dyDescent="0.3">
      <c r="A26" s="21" t="s">
        <v>79</v>
      </c>
      <c r="B26" s="14"/>
      <c r="C26" s="23">
        <f>IFERROR(C25/B25-1, "")</f>
        <v>0.11808878745490681</v>
      </c>
      <c r="D26" s="23">
        <f t="shared" ref="D26:I26" si="4">IFERROR(D25/C25-1, "")</f>
        <v>8.7969974320142308E-2</v>
      </c>
      <c r="E26" s="23">
        <f t="shared" si="4"/>
        <v>6.9418386491557182E-2</v>
      </c>
      <c r="F26" s="23">
        <f t="shared" si="4"/>
        <v>6.1007357102433435E-2</v>
      </c>
      <c r="G26" s="23">
        <f t="shared" si="4"/>
        <v>4.8965222957115362E-2</v>
      </c>
      <c r="H26" s="23">
        <f t="shared" si="4"/>
        <v>3.5746974473710891E-2</v>
      </c>
      <c r="I26" s="23">
        <f t="shared" si="4"/>
        <v>2.4252540625460339E-2</v>
      </c>
    </row>
    <row r="27" spans="1:16" x14ac:dyDescent="0.3">
      <c r="A27" t="s">
        <v>101</v>
      </c>
      <c r="B27" s="14">
        <v>55200</v>
      </c>
      <c r="C27" s="14">
        <v>39020</v>
      </c>
      <c r="D27" s="14">
        <v>33780</v>
      </c>
      <c r="E27" s="14">
        <v>31800</v>
      </c>
      <c r="F27" s="14">
        <v>30670</v>
      </c>
      <c r="G27" s="14">
        <v>29790</v>
      </c>
      <c r="H27" s="14">
        <v>29100</v>
      </c>
      <c r="I27" s="14">
        <v>28670</v>
      </c>
    </row>
    <row r="28" spans="1:16" x14ac:dyDescent="0.3">
      <c r="A28" s="21" t="s">
        <v>79</v>
      </c>
      <c r="B28" s="14"/>
      <c r="C28" s="23">
        <f>IFERROR(C27/B27-1, "")</f>
        <v>-0.2931159420289855</v>
      </c>
      <c r="D28" s="23">
        <f t="shared" ref="D28:I28" si="5">IFERROR(D27/C27-1, "")</f>
        <v>-0.13429010763710914</v>
      </c>
      <c r="E28" s="23">
        <f t="shared" si="5"/>
        <v>-5.8614564831261151E-2</v>
      </c>
      <c r="F28" s="23">
        <f t="shared" si="5"/>
        <v>-3.5534591194968601E-2</v>
      </c>
      <c r="G28" s="23">
        <f t="shared" si="5"/>
        <v>-2.8692533420280442E-2</v>
      </c>
      <c r="H28" s="23">
        <f t="shared" si="5"/>
        <v>-2.3162134944612278E-2</v>
      </c>
      <c r="I28" s="23">
        <f t="shared" si="5"/>
        <v>-1.4776632302405446E-2</v>
      </c>
    </row>
    <row r="29" spans="1:16" x14ac:dyDescent="0.3">
      <c r="A29" t="s">
        <v>102</v>
      </c>
      <c r="B29" s="14">
        <v>0</v>
      </c>
      <c r="C29" s="14">
        <v>0</v>
      </c>
      <c r="D29" s="14">
        <v>438050</v>
      </c>
      <c r="E29" s="14">
        <v>343800</v>
      </c>
      <c r="F29" s="14">
        <v>350970</v>
      </c>
      <c r="G29" s="14">
        <v>358460</v>
      </c>
      <c r="H29" s="14">
        <v>365910</v>
      </c>
      <c r="I29" s="14">
        <v>374280</v>
      </c>
    </row>
    <row r="30" spans="1:16" x14ac:dyDescent="0.3">
      <c r="A30" s="21" t="s">
        <v>79</v>
      </c>
      <c r="B30" s="14"/>
      <c r="C30" s="14"/>
      <c r="D30" s="14"/>
      <c r="E30" s="23">
        <f>IFERROR(E29/D29-1, "")</f>
        <v>-0.21515808697637251</v>
      </c>
      <c r="F30" s="23">
        <f t="shared" ref="F30:I30" si="6">IFERROR(F29/E29-1, "")</f>
        <v>2.0855148342059371E-2</v>
      </c>
      <c r="G30" s="23">
        <f t="shared" si="6"/>
        <v>2.1340855343761511E-2</v>
      </c>
      <c r="H30" s="23">
        <f t="shared" si="6"/>
        <v>2.0783351001506523E-2</v>
      </c>
      <c r="I30" s="23">
        <f t="shared" si="6"/>
        <v>2.2874477330491194E-2</v>
      </c>
    </row>
    <row r="31" spans="1:16" x14ac:dyDescent="0.3">
      <c r="A31" t="s">
        <v>103</v>
      </c>
      <c r="B31" s="14">
        <v>0</v>
      </c>
      <c r="C31" s="14">
        <v>0</v>
      </c>
      <c r="D31" s="14">
        <v>1130</v>
      </c>
      <c r="E31" s="14">
        <v>1650</v>
      </c>
      <c r="F31" s="14">
        <v>1750</v>
      </c>
      <c r="G31" s="14">
        <v>1890</v>
      </c>
      <c r="H31" s="14">
        <v>2040</v>
      </c>
      <c r="I31" s="14">
        <v>2170</v>
      </c>
    </row>
    <row r="32" spans="1:16" x14ac:dyDescent="0.3">
      <c r="A32" s="21" t="s">
        <v>79</v>
      </c>
      <c r="B32" s="14"/>
      <c r="C32" s="14"/>
      <c r="D32" s="14"/>
      <c r="E32" s="23">
        <f>IFERROR(E31/D31-1, "")</f>
        <v>0.46017699115044253</v>
      </c>
      <c r="F32" s="23">
        <f t="shared" ref="F32:I32" si="7">IFERROR(F31/E31-1, "")</f>
        <v>6.0606060606060552E-2</v>
      </c>
      <c r="G32" s="23">
        <f t="shared" si="7"/>
        <v>8.0000000000000071E-2</v>
      </c>
      <c r="H32" s="23">
        <f t="shared" si="7"/>
        <v>7.9365079365079305E-2</v>
      </c>
      <c r="I32" s="23">
        <f t="shared" si="7"/>
        <v>6.3725490196078427E-2</v>
      </c>
    </row>
    <row r="33" spans="1:9" x14ac:dyDescent="0.3">
      <c r="A33" t="s">
        <v>104</v>
      </c>
      <c r="B33" s="14">
        <v>0</v>
      </c>
      <c r="C33" s="14">
        <v>0</v>
      </c>
      <c r="D33" s="14">
        <v>0</v>
      </c>
      <c r="E33" s="14">
        <v>1600</v>
      </c>
      <c r="F33" s="14">
        <v>2310</v>
      </c>
      <c r="G33" s="14">
        <v>2720</v>
      </c>
      <c r="H33" s="14">
        <v>3000</v>
      </c>
      <c r="I33" s="14">
        <v>3230</v>
      </c>
    </row>
    <row r="34" spans="1:9" x14ac:dyDescent="0.3">
      <c r="A34" s="21" t="s">
        <v>79</v>
      </c>
      <c r="B34" s="14"/>
      <c r="C34" s="14"/>
      <c r="D34" s="14"/>
      <c r="E34" s="23" t="str">
        <f>IFERROR(E33/D33-1, "")</f>
        <v/>
      </c>
      <c r="F34" s="23">
        <f>IFERROR(F33/E33-1, "")</f>
        <v>0.44375000000000009</v>
      </c>
      <c r="G34" s="23">
        <f t="shared" ref="G34:I34" si="8">IFERROR(G33/F33-1, "")</f>
        <v>0.17748917748917759</v>
      </c>
      <c r="H34" s="23">
        <f t="shared" si="8"/>
        <v>0.10294117647058831</v>
      </c>
      <c r="I34" s="23">
        <f t="shared" si="8"/>
        <v>7.6666666666666661E-2</v>
      </c>
    </row>
    <row r="35" spans="1:9" x14ac:dyDescent="0.3">
      <c r="A35" t="s">
        <v>105</v>
      </c>
      <c r="B35" s="14">
        <v>2780</v>
      </c>
      <c r="C35" s="14">
        <v>1920</v>
      </c>
      <c r="D35" s="14">
        <v>900</v>
      </c>
      <c r="E35" s="14">
        <v>270</v>
      </c>
      <c r="F35" s="14">
        <v>290</v>
      </c>
      <c r="G35" s="14">
        <v>310</v>
      </c>
      <c r="H35" s="14">
        <v>320</v>
      </c>
      <c r="I35" s="14">
        <v>330</v>
      </c>
    </row>
    <row r="36" spans="1:9" x14ac:dyDescent="0.3">
      <c r="A36" s="21" t="s">
        <v>79</v>
      </c>
      <c r="B36" s="14"/>
      <c r="C36" s="23">
        <f>IFERROR(C35/B35-1, "")</f>
        <v>-0.30935251798561147</v>
      </c>
      <c r="D36" s="23">
        <f t="shared" ref="D36:I36" si="9">IFERROR(D35/C35-1, "")</f>
        <v>-0.53125</v>
      </c>
      <c r="E36" s="23">
        <f t="shared" si="9"/>
        <v>-0.7</v>
      </c>
      <c r="F36" s="23">
        <f t="shared" si="9"/>
        <v>7.4074074074074181E-2</v>
      </c>
      <c r="G36" s="23">
        <f t="shared" si="9"/>
        <v>6.8965517241379226E-2</v>
      </c>
      <c r="H36" s="23">
        <f t="shared" si="9"/>
        <v>3.2258064516129004E-2</v>
      </c>
      <c r="I36" s="23">
        <f t="shared" si="9"/>
        <v>3.125E-2</v>
      </c>
    </row>
    <row r="37" spans="1:9" x14ac:dyDescent="0.3">
      <c r="A37" t="s">
        <v>69</v>
      </c>
      <c r="B37" s="15">
        <f>B35+B33+B31+B29+B27+B25+B23</f>
        <v>533430</v>
      </c>
      <c r="C37" s="15">
        <f t="shared" ref="C37:I37" si="10">C35+C33+C31+C29+C27+C25+C23</f>
        <v>515550</v>
      </c>
      <c r="D37" s="15">
        <f t="shared" si="10"/>
        <v>980640</v>
      </c>
      <c r="E37" s="15">
        <f t="shared" si="10"/>
        <v>903100</v>
      </c>
      <c r="F37" s="15">
        <f t="shared" si="10"/>
        <v>941320</v>
      </c>
      <c r="G37" s="15">
        <f t="shared" si="10"/>
        <v>972230</v>
      </c>
      <c r="H37" s="15">
        <f t="shared" si="10"/>
        <v>997850</v>
      </c>
      <c r="I37" s="15">
        <f t="shared" si="10"/>
        <v>1019560</v>
      </c>
    </row>
    <row r="38" spans="1:9" x14ac:dyDescent="0.3">
      <c r="A38" s="21" t="s">
        <v>79</v>
      </c>
      <c r="C38" s="23">
        <f>IFERROR(C37/B37-1, "")</f>
        <v>-3.3518924694899033E-2</v>
      </c>
      <c r="D38" s="23">
        <f t="shared" ref="D38:I38" si="11">IFERROR(D37/C37-1, "")</f>
        <v>0.90212394530113471</v>
      </c>
      <c r="E38" s="23">
        <f t="shared" si="11"/>
        <v>-7.9070810899004695E-2</v>
      </c>
      <c r="F38" s="23">
        <f t="shared" si="11"/>
        <v>4.232089469604694E-2</v>
      </c>
      <c r="G38" s="23">
        <f t="shared" si="11"/>
        <v>3.2836867377724843E-2</v>
      </c>
      <c r="H38" s="23">
        <f t="shared" si="11"/>
        <v>2.6351789185686592E-2</v>
      </c>
      <c r="I38" s="23">
        <f t="shared" si="11"/>
        <v>2.1756777070702116E-2</v>
      </c>
    </row>
    <row r="40" spans="1:9" x14ac:dyDescent="0.3">
      <c r="A40" s="10" t="s">
        <v>201</v>
      </c>
    </row>
    <row r="41" spans="1:9" x14ac:dyDescent="0.3">
      <c r="A41" t="s">
        <v>99</v>
      </c>
      <c r="B41" s="23">
        <f>B23/$B$37</f>
        <v>0.63667210318129841</v>
      </c>
      <c r="C41" s="23">
        <f>C23/$C$37</f>
        <v>0.62601105615362229</v>
      </c>
      <c r="D41" s="23">
        <f>D23/$D$37</f>
        <v>0.34829295154185019</v>
      </c>
      <c r="E41" s="23">
        <f>E23/$E$37</f>
        <v>0.38454213265419113</v>
      </c>
      <c r="F41" s="23">
        <f>F23/$F$37</f>
        <v>0.39078103089278887</v>
      </c>
      <c r="G41" s="23">
        <f>G23/$G$37</f>
        <v>0.39332256770517265</v>
      </c>
      <c r="H41" s="23">
        <f>H23/$H$37</f>
        <v>0.39463847271634012</v>
      </c>
      <c r="I41" s="46">
        <f>I23/$I$37</f>
        <v>0.39453293577621718</v>
      </c>
    </row>
    <row r="42" spans="1:9" x14ac:dyDescent="0.3">
      <c r="A42" t="s">
        <v>100</v>
      </c>
      <c r="B42" s="23">
        <f>B25/$B$37</f>
        <v>0.2546350973885983</v>
      </c>
      <c r="C42" s="23">
        <f>C25/$C$37</f>
        <v>0.2945786053729027</v>
      </c>
      <c r="D42" s="23">
        <f>D25/$D$37</f>
        <v>0.1684920052210801</v>
      </c>
      <c r="E42" s="23">
        <f>E25/$E$37</f>
        <v>0.19565939541579006</v>
      </c>
      <c r="F42" s="23">
        <f>F25/$F$37</f>
        <v>0.1991671270131305</v>
      </c>
      <c r="G42" s="23">
        <f>G25/$G$37</f>
        <v>0.20227723892494576</v>
      </c>
      <c r="H42" s="23">
        <f>H25/$H$37</f>
        <v>0.20412887708573432</v>
      </c>
      <c r="I42" s="46">
        <f>I25/$I$37</f>
        <v>0.20462748636666797</v>
      </c>
    </row>
    <row r="43" spans="1:9" x14ac:dyDescent="0.3">
      <c r="A43" t="s">
        <v>101</v>
      </c>
      <c r="B43" s="23">
        <f>B27/$B$37</f>
        <v>0.10348124402452055</v>
      </c>
      <c r="C43" s="23">
        <f>C27/$C$37</f>
        <v>7.5686160411211331E-2</v>
      </c>
      <c r="D43" s="23">
        <f>D27/$D$37</f>
        <v>3.4446891825746451E-2</v>
      </c>
      <c r="E43" s="23">
        <f>E27/$E$37</f>
        <v>3.5212047392315357E-2</v>
      </c>
      <c r="F43" s="23">
        <f>F27/$F$37</f>
        <v>3.2581906259295461E-2</v>
      </c>
      <c r="G43" s="23">
        <f>G27/$G$37</f>
        <v>3.0640897729961019E-2</v>
      </c>
      <c r="H43" s="23">
        <f>H27/$H$37</f>
        <v>2.9162699804579847E-2</v>
      </c>
      <c r="I43" s="23">
        <f>I27/$I$37</f>
        <v>2.8119973321825101E-2</v>
      </c>
    </row>
    <row r="44" spans="1:9" x14ac:dyDescent="0.3">
      <c r="A44" t="s">
        <v>102</v>
      </c>
      <c r="B44" s="23">
        <f>B29/$B$37</f>
        <v>0</v>
      </c>
      <c r="C44" s="23">
        <f>C29/$C$37</f>
        <v>0</v>
      </c>
      <c r="D44" s="23">
        <f>D29/$D$37</f>
        <v>0.44669807472670908</v>
      </c>
      <c r="E44" s="23">
        <f>E29/$E$37</f>
        <v>0.38068873878861698</v>
      </c>
      <c r="F44" s="23">
        <f>F29/$F$37</f>
        <v>0.37284876556325158</v>
      </c>
      <c r="G44" s="23">
        <f>G29/$G$37</f>
        <v>0.3686987646955967</v>
      </c>
      <c r="H44" s="23">
        <f>H29/$H$37</f>
        <v>0.36669840156336125</v>
      </c>
      <c r="I44" s="46">
        <f>I29/$I$37</f>
        <v>0.36709953313193927</v>
      </c>
    </row>
    <row r="45" spans="1:9" x14ac:dyDescent="0.3">
      <c r="A45" t="s">
        <v>103</v>
      </c>
      <c r="B45" s="23">
        <f>B31/$B$37</f>
        <v>0</v>
      </c>
      <c r="C45" s="23">
        <f>C31/$C$37</f>
        <v>0</v>
      </c>
      <c r="D45" s="23">
        <f>D31/$D$37</f>
        <v>1.1523086963615599E-3</v>
      </c>
      <c r="E45" s="23">
        <f>E31/$E$37</f>
        <v>1.8270401948842874E-3</v>
      </c>
      <c r="F45" s="23">
        <f>F31/$F$37</f>
        <v>1.8590914885479963E-3</v>
      </c>
      <c r="G45" s="23">
        <f>G31/$G$37</f>
        <v>1.9439844481244149E-3</v>
      </c>
      <c r="H45" s="23">
        <f>H31/$H$37</f>
        <v>2.0443954502179684E-3</v>
      </c>
      <c r="I45" s="23">
        <f>I31/$I$37</f>
        <v>2.1283691003962492E-3</v>
      </c>
    </row>
    <row r="46" spans="1:9" x14ac:dyDescent="0.3">
      <c r="A46" t="s">
        <v>104</v>
      </c>
      <c r="B46" s="23">
        <f>B33/$B$37</f>
        <v>0</v>
      </c>
      <c r="C46" s="23">
        <f>C33/$C$37</f>
        <v>0</v>
      </c>
      <c r="D46" s="23">
        <f>D33/$D$37</f>
        <v>0</v>
      </c>
      <c r="E46" s="23">
        <f>E33/$E$37</f>
        <v>1.7716753404938546E-3</v>
      </c>
      <c r="F46" s="23">
        <f>F33/$F$37</f>
        <v>2.4540007648833555E-3</v>
      </c>
      <c r="G46" s="23">
        <f>G33/$G$37</f>
        <v>2.7976919041790521E-3</v>
      </c>
      <c r="H46" s="23">
        <f>H33/$H$37</f>
        <v>3.0064638973793657E-3</v>
      </c>
      <c r="I46" s="23">
        <f>I33/$I$37</f>
        <v>3.1680332692534032E-3</v>
      </c>
    </row>
    <row r="47" spans="1:9" x14ac:dyDescent="0.3">
      <c r="A47" t="s">
        <v>105</v>
      </c>
      <c r="B47" s="23">
        <f>B35/$B$37</f>
        <v>5.2115554055827381E-3</v>
      </c>
      <c r="C47" s="23">
        <f>C35/$C$37</f>
        <v>3.7241780622636021E-3</v>
      </c>
      <c r="D47" s="23">
        <f>D35/$D$37</f>
        <v>9.1776798825256973E-4</v>
      </c>
      <c r="E47" s="23">
        <f>E35/$E$37</f>
        <v>2.9897021370833794E-4</v>
      </c>
      <c r="F47" s="23">
        <f>F35/$F$37</f>
        <v>3.0807801810223942E-4</v>
      </c>
      <c r="G47" s="23">
        <f>G35/$G$37</f>
        <v>3.1885459202040669E-4</v>
      </c>
      <c r="H47" s="23">
        <f>H35/$H$37</f>
        <v>3.2068948238713233E-4</v>
      </c>
      <c r="I47" s="23">
        <f>I35/$I$37</f>
        <v>3.2366903370081211E-4</v>
      </c>
    </row>
    <row r="48" spans="1:9" x14ac:dyDescent="0.3">
      <c r="A48" t="s">
        <v>69</v>
      </c>
      <c r="B48" s="23">
        <f>B37/$B$37</f>
        <v>1</v>
      </c>
      <c r="C48" s="23">
        <f>C37/$C$37</f>
        <v>1</v>
      </c>
      <c r="D48" s="23">
        <f>D37/$D$37</f>
        <v>1</v>
      </c>
      <c r="E48" s="23">
        <f>E37/$E$37</f>
        <v>1</v>
      </c>
      <c r="F48" s="23">
        <f>F37/$F$37</f>
        <v>1</v>
      </c>
      <c r="G48" s="23">
        <f>G37/$G$37</f>
        <v>1</v>
      </c>
      <c r="H48" s="23">
        <f>H37/$H$37</f>
        <v>1</v>
      </c>
      <c r="I48" s="23">
        <f>I37/$I$37</f>
        <v>1</v>
      </c>
    </row>
  </sheetData>
  <hyperlinks>
    <hyperlink ref="A1" r:id="rId1" xr:uid="{BB09CC0B-2B7A-43CB-B52C-E6E5A4C895D4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79CF-3E6A-49C5-BBBE-0F8C20BB34D0}">
  <dimension ref="A1:AE53"/>
  <sheetViews>
    <sheetView zoomScale="80" zoomScaleNormal="80" workbookViewId="0">
      <selection activeCell="U59" sqref="U59"/>
    </sheetView>
  </sheetViews>
  <sheetFormatPr defaultRowHeight="14.4" x14ac:dyDescent="0.3"/>
  <cols>
    <col min="1" max="1" width="23.77734375" customWidth="1"/>
    <col min="2" max="4" width="10.109375" bestFit="1" customWidth="1"/>
    <col min="11" max="12" width="11.109375" bestFit="1" customWidth="1"/>
    <col min="29" max="29" width="24.5546875" customWidth="1"/>
    <col min="30" max="30" width="21.5546875" customWidth="1"/>
    <col min="31" max="31" width="17" customWidth="1"/>
  </cols>
  <sheetData>
    <row r="1" spans="1:31" x14ac:dyDescent="0.3">
      <c r="A1" s="10" t="s">
        <v>24</v>
      </c>
    </row>
    <row r="2" spans="1:31" x14ac:dyDescent="0.3">
      <c r="A2" s="1"/>
    </row>
    <row r="3" spans="1:31" x14ac:dyDescent="0.3">
      <c r="A3" s="28" t="s">
        <v>110</v>
      </c>
      <c r="N3" s="10" t="s">
        <v>72</v>
      </c>
    </row>
    <row r="4" spans="1:31" x14ac:dyDescent="0.3">
      <c r="B4" s="13">
        <v>2015</v>
      </c>
      <c r="C4" s="13">
        <v>2016</v>
      </c>
      <c r="D4" s="13">
        <f>C4+1</f>
        <v>2017</v>
      </c>
      <c r="E4" s="13">
        <f t="shared" ref="E4:K4" si="0">D4+1</f>
        <v>2018</v>
      </c>
      <c r="F4" s="13">
        <f t="shared" si="0"/>
        <v>2019</v>
      </c>
      <c r="G4" s="13">
        <f t="shared" si="0"/>
        <v>2020</v>
      </c>
      <c r="H4" s="13">
        <f t="shared" si="0"/>
        <v>2021</v>
      </c>
      <c r="I4" s="13">
        <f t="shared" si="0"/>
        <v>2022</v>
      </c>
      <c r="J4" s="13">
        <f t="shared" si="0"/>
        <v>2023</v>
      </c>
      <c r="K4" s="13">
        <f t="shared" si="0"/>
        <v>2024</v>
      </c>
      <c r="N4" s="1" t="s">
        <v>29</v>
      </c>
      <c r="O4" t="s">
        <v>30</v>
      </c>
    </row>
    <row r="5" spans="1:31" x14ac:dyDescent="0.3">
      <c r="A5" t="s">
        <v>107</v>
      </c>
      <c r="B5" s="14">
        <v>0</v>
      </c>
      <c r="C5" s="14">
        <v>20000</v>
      </c>
      <c r="D5" s="14">
        <v>30000</v>
      </c>
      <c r="E5" s="14">
        <v>56000</v>
      </c>
      <c r="F5" s="14">
        <v>68000</v>
      </c>
      <c r="G5" s="14">
        <v>72000</v>
      </c>
      <c r="H5" s="14">
        <v>78000</v>
      </c>
      <c r="I5" s="14">
        <v>88000</v>
      </c>
      <c r="J5" s="14">
        <v>93000</v>
      </c>
      <c r="K5" s="14">
        <v>95000</v>
      </c>
      <c r="N5" s="1" t="s">
        <v>52</v>
      </c>
      <c r="O5" t="s">
        <v>53</v>
      </c>
    </row>
    <row r="6" spans="1:31" x14ac:dyDescent="0.3">
      <c r="A6" s="21" t="s">
        <v>79</v>
      </c>
      <c r="B6" s="14"/>
      <c r="C6" s="14"/>
      <c r="D6" s="23">
        <f>IFERROR(D5/C5-1, "")</f>
        <v>0.5</v>
      </c>
      <c r="E6" s="23">
        <f t="shared" ref="E6:K6" si="1">IFERROR(E5/D5-1, "")</f>
        <v>0.8666666666666667</v>
      </c>
      <c r="F6" s="23">
        <f t="shared" si="1"/>
        <v>0.21428571428571419</v>
      </c>
      <c r="G6" s="23">
        <f t="shared" si="1"/>
        <v>5.8823529411764719E-2</v>
      </c>
      <c r="H6" s="23">
        <f t="shared" si="1"/>
        <v>8.3333333333333259E-2</v>
      </c>
      <c r="I6" s="23">
        <f t="shared" si="1"/>
        <v>0.12820512820512819</v>
      </c>
      <c r="J6" s="23">
        <f t="shared" si="1"/>
        <v>5.6818181818181879E-2</v>
      </c>
      <c r="K6" s="23">
        <f t="shared" si="1"/>
        <v>2.1505376344086002E-2</v>
      </c>
      <c r="N6" s="1" t="s">
        <v>55</v>
      </c>
      <c r="O6" t="s">
        <v>54</v>
      </c>
    </row>
    <row r="7" spans="1:31" x14ac:dyDescent="0.3">
      <c r="A7" t="s">
        <v>108</v>
      </c>
      <c r="B7" s="14">
        <v>77000</v>
      </c>
      <c r="C7" s="14">
        <v>104000</v>
      </c>
      <c r="D7" s="14">
        <v>138000</v>
      </c>
      <c r="E7" s="14">
        <v>180000</v>
      </c>
      <c r="F7" s="14">
        <v>232000</v>
      </c>
      <c r="G7" s="14">
        <v>299000</v>
      </c>
      <c r="H7" s="14">
        <v>365000</v>
      </c>
      <c r="I7" s="14">
        <v>433000</v>
      </c>
      <c r="J7" s="14">
        <v>551000</v>
      </c>
      <c r="K7" s="14">
        <v>626000</v>
      </c>
    </row>
    <row r="8" spans="1:31" x14ac:dyDescent="0.3">
      <c r="A8" s="21" t="s">
        <v>79</v>
      </c>
      <c r="B8" s="14"/>
      <c r="C8" s="23">
        <f t="shared" ref="C8:K8" si="2">IFERROR(C7/B7-1, "")</f>
        <v>0.35064935064935066</v>
      </c>
      <c r="D8" s="23">
        <f t="shared" si="2"/>
        <v>0.32692307692307687</v>
      </c>
      <c r="E8" s="23">
        <f t="shared" si="2"/>
        <v>0.30434782608695654</v>
      </c>
      <c r="F8" s="23">
        <f t="shared" si="2"/>
        <v>0.28888888888888897</v>
      </c>
      <c r="G8" s="23">
        <f t="shared" si="2"/>
        <v>0.2887931034482758</v>
      </c>
      <c r="H8" s="23">
        <f t="shared" si="2"/>
        <v>0.22073578595317733</v>
      </c>
      <c r="I8" s="23">
        <f t="shared" si="2"/>
        <v>0.1863013698630136</v>
      </c>
      <c r="J8" s="23">
        <f t="shared" si="2"/>
        <v>0.27251732101616621</v>
      </c>
      <c r="K8" s="23">
        <f t="shared" si="2"/>
        <v>0.13611615245009068</v>
      </c>
      <c r="N8" s="1"/>
    </row>
    <row r="9" spans="1:31" x14ac:dyDescent="0.3">
      <c r="A9" t="s">
        <v>109</v>
      </c>
      <c r="B9" s="14">
        <v>0</v>
      </c>
      <c r="C9" s="14">
        <v>0</v>
      </c>
      <c r="D9" s="14">
        <v>15900</v>
      </c>
      <c r="E9" s="14">
        <v>26900</v>
      </c>
      <c r="F9" s="14">
        <v>32600</v>
      </c>
      <c r="G9" s="14">
        <v>47300</v>
      </c>
      <c r="H9" s="14">
        <v>38100</v>
      </c>
      <c r="I9" s="14">
        <v>42400</v>
      </c>
      <c r="J9" s="14">
        <v>37600</v>
      </c>
      <c r="K9" s="14">
        <v>27100</v>
      </c>
    </row>
    <row r="10" spans="1:31" x14ac:dyDescent="0.3">
      <c r="A10" s="21" t="s">
        <v>79</v>
      </c>
      <c r="B10" s="14"/>
      <c r="C10" s="14"/>
      <c r="D10" s="14"/>
      <c r="E10" s="23">
        <f>IFERROR(E9/D9-1, "")</f>
        <v>0.69182389937106925</v>
      </c>
      <c r="F10" s="23">
        <f t="shared" ref="F10:K10" si="3">IFERROR(F9/E9-1, "")</f>
        <v>0.21189591078066905</v>
      </c>
      <c r="G10" s="23">
        <f t="shared" si="3"/>
        <v>0.45092024539877307</v>
      </c>
      <c r="H10" s="23">
        <f t="shared" si="3"/>
        <v>-0.19450317124735728</v>
      </c>
      <c r="I10" s="23">
        <f t="shared" si="3"/>
        <v>0.11286089238845154</v>
      </c>
      <c r="J10" s="23">
        <f t="shared" si="3"/>
        <v>-0.1132075471698113</v>
      </c>
      <c r="K10" s="23">
        <f t="shared" si="3"/>
        <v>-0.2792553191489362</v>
      </c>
      <c r="AB10" s="4" t="s">
        <v>123</v>
      </c>
      <c r="AC10" s="4" t="s">
        <v>125</v>
      </c>
      <c r="AD10" s="4" t="s">
        <v>124</v>
      </c>
      <c r="AE10" s="4" t="s">
        <v>126</v>
      </c>
    </row>
    <row r="11" spans="1:31" x14ac:dyDescent="0.3">
      <c r="A11" s="21"/>
      <c r="B11" s="14"/>
      <c r="C11" s="14"/>
      <c r="D11" s="14"/>
      <c r="E11" s="23"/>
      <c r="F11" s="23"/>
      <c r="G11" s="23"/>
      <c r="H11" s="23"/>
      <c r="I11" s="23"/>
      <c r="J11" s="23"/>
      <c r="K11" s="23"/>
      <c r="AB11" s="3">
        <v>2016</v>
      </c>
      <c r="AC11">
        <v>2940</v>
      </c>
      <c r="AD11" s="3">
        <v>0.9042</v>
      </c>
      <c r="AE11">
        <v>3250</v>
      </c>
    </row>
    <row r="12" spans="1:31" x14ac:dyDescent="0.3">
      <c r="A12" s="21"/>
      <c r="B12" s="14"/>
      <c r="C12" s="14"/>
      <c r="D12" s="14"/>
      <c r="E12" s="23"/>
      <c r="F12" s="23"/>
      <c r="G12" s="23"/>
      <c r="H12" s="23"/>
      <c r="I12" s="23"/>
      <c r="J12" s="23"/>
      <c r="K12" s="23"/>
      <c r="AB12" s="3">
        <v>2017</v>
      </c>
      <c r="AC12">
        <v>4620</v>
      </c>
      <c r="AD12" s="3">
        <v>0.88680000000000003</v>
      </c>
      <c r="AE12">
        <v>5210</v>
      </c>
    </row>
    <row r="13" spans="1:31" x14ac:dyDescent="0.3">
      <c r="AB13" s="3">
        <v>2018</v>
      </c>
      <c r="AC13">
        <v>5250</v>
      </c>
      <c r="AD13" s="3">
        <v>0.84750000000000003</v>
      </c>
      <c r="AE13">
        <v>6190</v>
      </c>
    </row>
    <row r="14" spans="1:31" x14ac:dyDescent="0.3">
      <c r="A14" s="10" t="s">
        <v>121</v>
      </c>
      <c r="AB14" s="3">
        <v>2019</v>
      </c>
      <c r="AC14">
        <v>6760</v>
      </c>
      <c r="AD14" s="3">
        <v>0.89290000000000003</v>
      </c>
      <c r="AE14">
        <v>7570</v>
      </c>
    </row>
    <row r="15" spans="1:31" ht="19.95" customHeight="1" x14ac:dyDescent="0.3">
      <c r="C15" s="13">
        <v>2016</v>
      </c>
      <c r="D15" s="13">
        <f>C15+1</f>
        <v>2017</v>
      </c>
      <c r="E15" s="13">
        <f t="shared" ref="E15:K15" si="4">D15+1</f>
        <v>2018</v>
      </c>
      <c r="F15" s="13">
        <f t="shared" si="4"/>
        <v>2019</v>
      </c>
      <c r="G15" s="13">
        <f t="shared" si="4"/>
        <v>2020</v>
      </c>
      <c r="H15" s="13">
        <f t="shared" si="4"/>
        <v>2021</v>
      </c>
      <c r="I15" s="13">
        <f t="shared" si="4"/>
        <v>2022</v>
      </c>
      <c r="J15" s="13">
        <f t="shared" si="4"/>
        <v>2023</v>
      </c>
      <c r="K15" s="13">
        <f t="shared" si="4"/>
        <v>2024</v>
      </c>
      <c r="N15" s="10" t="s">
        <v>72</v>
      </c>
      <c r="AB15" s="3">
        <v>2020</v>
      </c>
      <c r="AC15">
        <v>7880</v>
      </c>
      <c r="AD15" s="3">
        <v>0.87680000000000002</v>
      </c>
      <c r="AE15">
        <v>8990</v>
      </c>
    </row>
    <row r="16" spans="1:31" x14ac:dyDescent="0.3">
      <c r="A16" t="s">
        <v>120</v>
      </c>
      <c r="C16" s="14">
        <v>1700</v>
      </c>
      <c r="D16" s="14">
        <v>2300</v>
      </c>
      <c r="E16" s="14">
        <v>3500</v>
      </c>
      <c r="F16" s="14">
        <v>4400</v>
      </c>
      <c r="G16" s="14">
        <v>6300</v>
      </c>
      <c r="H16" s="14">
        <v>7000</v>
      </c>
      <c r="I16" s="14">
        <v>8300</v>
      </c>
      <c r="J16" s="14">
        <v>9200</v>
      </c>
      <c r="N16" s="1" t="s">
        <v>29</v>
      </c>
      <c r="O16" t="s">
        <v>30</v>
      </c>
      <c r="AB16" s="3">
        <v>2021</v>
      </c>
      <c r="AC16">
        <v>9660</v>
      </c>
      <c r="AD16" s="3">
        <v>0.84570000000000001</v>
      </c>
      <c r="AE16">
        <v>11420</v>
      </c>
    </row>
    <row r="17" spans="1:31" x14ac:dyDescent="0.3">
      <c r="A17" s="21" t="s">
        <v>79</v>
      </c>
      <c r="D17" s="23">
        <f>IFERROR(D16/C16-1, "")</f>
        <v>0.35294117647058831</v>
      </c>
      <c r="E17" s="23">
        <f t="shared" ref="E17:J17" si="5">IFERROR(E16/D16-1, "")</f>
        <v>0.52173913043478271</v>
      </c>
      <c r="F17" s="23">
        <f t="shared" si="5"/>
        <v>0.25714285714285712</v>
      </c>
      <c r="G17" s="23">
        <f t="shared" si="5"/>
        <v>0.43181818181818188</v>
      </c>
      <c r="H17" s="23">
        <f t="shared" si="5"/>
        <v>0.11111111111111116</v>
      </c>
      <c r="I17" s="23">
        <f t="shared" si="5"/>
        <v>0.18571428571428572</v>
      </c>
      <c r="J17" s="23">
        <f t="shared" si="5"/>
        <v>0.10843373493975905</v>
      </c>
      <c r="N17" s="1" t="s">
        <v>52</v>
      </c>
      <c r="O17" t="s">
        <v>53</v>
      </c>
      <c r="AB17" s="3">
        <v>2022</v>
      </c>
      <c r="AC17">
        <v>11720</v>
      </c>
      <c r="AD17" s="3">
        <v>0.95109999999999995</v>
      </c>
      <c r="AE17">
        <v>12320</v>
      </c>
    </row>
    <row r="18" spans="1:31" x14ac:dyDescent="0.3">
      <c r="A18" t="s">
        <v>122</v>
      </c>
      <c r="C18" s="14">
        <f>AE11</f>
        <v>3250</v>
      </c>
      <c r="D18" s="14">
        <f>AE12</f>
        <v>5210</v>
      </c>
      <c r="E18" s="14">
        <f>AE13</f>
        <v>6190</v>
      </c>
      <c r="F18" s="14">
        <f>AE14</f>
        <v>7570</v>
      </c>
      <c r="G18" s="14">
        <f>AE15</f>
        <v>8990</v>
      </c>
      <c r="H18" s="14">
        <f>AE16</f>
        <v>11420</v>
      </c>
      <c r="I18" s="14">
        <f>AE17</f>
        <v>12320</v>
      </c>
      <c r="J18" s="14">
        <f>AE18</f>
        <v>14330</v>
      </c>
      <c r="K18" s="14">
        <f>AE19</f>
        <v>16900</v>
      </c>
      <c r="N18" s="1" t="s">
        <v>55</v>
      </c>
      <c r="O18" t="s">
        <v>54</v>
      </c>
      <c r="AB18" s="3">
        <v>2023</v>
      </c>
      <c r="AC18">
        <v>13240</v>
      </c>
      <c r="AD18" s="3">
        <v>0.92420000000000002</v>
      </c>
      <c r="AE18">
        <v>14330</v>
      </c>
    </row>
    <row r="19" spans="1:31" x14ac:dyDescent="0.3">
      <c r="A19" s="21" t="s">
        <v>79</v>
      </c>
      <c r="D19" s="23">
        <f>IFERROR(D18/C18-1, "")</f>
        <v>0.60307692307692307</v>
      </c>
      <c r="E19" s="23">
        <f t="shared" ref="E19:K19" si="6">IFERROR(E18/D18-1, "")</f>
        <v>0.18809980806142024</v>
      </c>
      <c r="F19" s="23">
        <f t="shared" si="6"/>
        <v>0.22294022617124387</v>
      </c>
      <c r="G19" s="23">
        <f t="shared" si="6"/>
        <v>0.18758256274768814</v>
      </c>
      <c r="H19" s="23">
        <f t="shared" si="6"/>
        <v>0.27030033370411566</v>
      </c>
      <c r="I19" s="23">
        <f t="shared" si="6"/>
        <v>7.8809106830122655E-2</v>
      </c>
      <c r="J19" s="23">
        <f t="shared" si="6"/>
        <v>0.16314935064935066</v>
      </c>
      <c r="K19" s="23">
        <f t="shared" si="6"/>
        <v>0.17934403349616179</v>
      </c>
      <c r="AB19" s="3">
        <v>2024</v>
      </c>
      <c r="AC19">
        <v>15620</v>
      </c>
      <c r="AD19" s="3">
        <v>0.92430000000000001</v>
      </c>
      <c r="AE19">
        <v>16900</v>
      </c>
    </row>
    <row r="20" spans="1:31" x14ac:dyDescent="0.3">
      <c r="A20" t="s">
        <v>127</v>
      </c>
      <c r="C20" s="14"/>
      <c r="D20" s="14"/>
      <c r="E20" s="14">
        <v>340</v>
      </c>
      <c r="F20" s="14">
        <v>890</v>
      </c>
      <c r="G20" s="14">
        <v>1550</v>
      </c>
      <c r="H20" s="14">
        <v>1890</v>
      </c>
      <c r="I20" s="14">
        <v>2750</v>
      </c>
      <c r="J20" s="14">
        <v>3330</v>
      </c>
      <c r="K20" s="14">
        <v>3860</v>
      </c>
    </row>
    <row r="21" spans="1:31" x14ac:dyDescent="0.3">
      <c r="A21" s="21" t="s">
        <v>79</v>
      </c>
      <c r="C21" s="14"/>
      <c r="D21" s="14"/>
      <c r="E21" s="14"/>
      <c r="F21" s="23">
        <f>IFERROR(F20/E20-1, "")</f>
        <v>1.6176470588235294</v>
      </c>
      <c r="G21" s="23">
        <f t="shared" ref="G21:K21" si="7">IFERROR(G20/F20-1, "")</f>
        <v>0.7415730337078652</v>
      </c>
      <c r="H21" s="23">
        <f t="shared" si="7"/>
        <v>0.21935483870967731</v>
      </c>
      <c r="I21" s="23">
        <f t="shared" si="7"/>
        <v>0.45502645502645511</v>
      </c>
      <c r="J21" s="23">
        <f t="shared" si="7"/>
        <v>0.21090909090909093</v>
      </c>
      <c r="K21" s="23">
        <f t="shared" si="7"/>
        <v>0.15915915915915924</v>
      </c>
    </row>
    <row r="24" spans="1:31" x14ac:dyDescent="0.3">
      <c r="A24" s="10" t="s">
        <v>118</v>
      </c>
    </row>
    <row r="25" spans="1:31" x14ac:dyDescent="0.3">
      <c r="C25" s="13">
        <v>2016</v>
      </c>
      <c r="D25" s="13">
        <f>C25+1</f>
        <v>2017</v>
      </c>
      <c r="E25" s="13">
        <f t="shared" ref="E25:L25" si="8">D25+1</f>
        <v>2018</v>
      </c>
      <c r="F25" s="13">
        <f t="shared" si="8"/>
        <v>2019</v>
      </c>
      <c r="G25" s="13">
        <f t="shared" si="8"/>
        <v>2020</v>
      </c>
      <c r="H25" s="13">
        <f t="shared" si="8"/>
        <v>2021</v>
      </c>
      <c r="I25" s="13">
        <f t="shared" si="8"/>
        <v>2022</v>
      </c>
      <c r="J25" s="13">
        <f t="shared" si="8"/>
        <v>2023</v>
      </c>
      <c r="K25" s="13">
        <f t="shared" si="8"/>
        <v>2024</v>
      </c>
      <c r="L25" s="13">
        <f t="shared" si="8"/>
        <v>2025</v>
      </c>
      <c r="N25" s="10" t="s">
        <v>72</v>
      </c>
    </row>
    <row r="26" spans="1:31" x14ac:dyDescent="0.3">
      <c r="A26" t="s">
        <v>111</v>
      </c>
      <c r="B26" s="14"/>
      <c r="C26" s="14">
        <v>36000</v>
      </c>
      <c r="D26" s="14">
        <v>59000</v>
      </c>
      <c r="E26" s="14">
        <v>83000</v>
      </c>
      <c r="F26" s="14">
        <v>108000</v>
      </c>
      <c r="G26" s="14">
        <v>138000</v>
      </c>
      <c r="H26" s="14">
        <v>165000</v>
      </c>
      <c r="I26" s="14">
        <v>188000</v>
      </c>
      <c r="J26" s="14">
        <v>220000</v>
      </c>
      <c r="K26" s="14">
        <v>246000</v>
      </c>
      <c r="L26" s="14">
        <v>276000</v>
      </c>
      <c r="N26" s="1" t="s">
        <v>55</v>
      </c>
    </row>
    <row r="27" spans="1:31" x14ac:dyDescent="0.3">
      <c r="A27" s="21" t="s">
        <v>79</v>
      </c>
      <c r="B27" s="14"/>
      <c r="C27" s="14"/>
      <c r="D27" s="23">
        <f>IFERROR(D26/C26-1, "")</f>
        <v>0.63888888888888884</v>
      </c>
      <c r="E27" s="23">
        <f t="shared" ref="E27:L27" si="9">IFERROR(E26/D26-1, "")</f>
        <v>0.40677966101694918</v>
      </c>
      <c r="F27" s="23">
        <f t="shared" si="9"/>
        <v>0.3012048192771084</v>
      </c>
      <c r="G27" s="23">
        <f t="shared" si="9"/>
        <v>0.27777777777777768</v>
      </c>
      <c r="H27" s="23">
        <f t="shared" si="9"/>
        <v>0.19565217391304346</v>
      </c>
      <c r="I27" s="23">
        <f t="shared" si="9"/>
        <v>0.1393939393939394</v>
      </c>
      <c r="J27" s="23">
        <f t="shared" si="9"/>
        <v>0.17021276595744683</v>
      </c>
      <c r="K27" s="23">
        <f t="shared" si="9"/>
        <v>0.11818181818181817</v>
      </c>
      <c r="L27" s="23">
        <f t="shared" si="9"/>
        <v>0.12195121951219523</v>
      </c>
      <c r="N27" s="1"/>
    </row>
    <row r="28" spans="1:31" x14ac:dyDescent="0.3">
      <c r="A28" t="s">
        <v>112</v>
      </c>
      <c r="B28" s="14"/>
      <c r="C28" s="14">
        <v>20000</v>
      </c>
      <c r="D28" s="14">
        <v>30000</v>
      </c>
      <c r="E28" s="14">
        <v>56000</v>
      </c>
      <c r="F28" s="14">
        <v>68000</v>
      </c>
      <c r="G28" s="14">
        <v>72000</v>
      </c>
      <c r="H28" s="14">
        <v>78000</v>
      </c>
      <c r="I28" s="14">
        <v>88000</v>
      </c>
      <c r="J28" s="14">
        <v>93000</v>
      </c>
      <c r="K28" s="14">
        <v>95000</v>
      </c>
      <c r="L28" s="14">
        <v>103000</v>
      </c>
    </row>
    <row r="29" spans="1:31" x14ac:dyDescent="0.3">
      <c r="A29" s="21" t="s">
        <v>79</v>
      </c>
      <c r="B29" s="14"/>
      <c r="C29" s="14"/>
      <c r="D29" s="23">
        <f>IFERROR(D28/C28-1, "")</f>
        <v>0.5</v>
      </c>
      <c r="E29" s="23">
        <f t="shared" ref="E29:L29" si="10">IFERROR(E28/D28-1, "")</f>
        <v>0.8666666666666667</v>
      </c>
      <c r="F29" s="23">
        <f t="shared" si="10"/>
        <v>0.21428571428571419</v>
      </c>
      <c r="G29" s="23">
        <f t="shared" si="10"/>
        <v>5.8823529411764719E-2</v>
      </c>
      <c r="H29" s="23">
        <f t="shared" si="10"/>
        <v>8.3333333333333259E-2</v>
      </c>
      <c r="I29" s="23">
        <f t="shared" si="10"/>
        <v>0.12820512820512819</v>
      </c>
      <c r="J29" s="23">
        <f t="shared" si="10"/>
        <v>5.6818181818181879E-2</v>
      </c>
      <c r="K29" s="23">
        <f t="shared" si="10"/>
        <v>2.1505376344086002E-2</v>
      </c>
      <c r="L29" s="23">
        <f t="shared" si="10"/>
        <v>8.4210526315789513E-2</v>
      </c>
    </row>
    <row r="30" spans="1:31" x14ac:dyDescent="0.3">
      <c r="A30" t="s">
        <v>114</v>
      </c>
      <c r="B30" s="14"/>
      <c r="C30" s="14">
        <v>0</v>
      </c>
      <c r="D30" s="14">
        <v>0</v>
      </c>
      <c r="E30" s="14">
        <v>23300</v>
      </c>
      <c r="F30" s="14">
        <v>31000</v>
      </c>
      <c r="G30" s="14">
        <v>47100</v>
      </c>
      <c r="H30" s="14">
        <v>60900</v>
      </c>
      <c r="I30" s="14">
        <v>82700</v>
      </c>
      <c r="J30" s="14">
        <v>106700</v>
      </c>
      <c r="K30" s="14">
        <v>120000</v>
      </c>
      <c r="L30" s="14">
        <v>122000</v>
      </c>
    </row>
    <row r="31" spans="1:31" x14ac:dyDescent="0.3">
      <c r="A31" s="21" t="s">
        <v>79</v>
      </c>
      <c r="B31" s="14"/>
      <c r="C31" s="14"/>
      <c r="D31" s="14"/>
      <c r="E31" s="14"/>
      <c r="F31" s="23">
        <f>IFERROR(F30/E30-1, "")</f>
        <v>0.33047210300429186</v>
      </c>
      <c r="G31" s="23">
        <f t="shared" ref="G31:L31" si="11">IFERROR(G30/F30-1, "")</f>
        <v>0.51935483870967736</v>
      </c>
      <c r="H31" s="23">
        <f t="shared" si="11"/>
        <v>0.29299363057324834</v>
      </c>
      <c r="I31" s="23">
        <f t="shared" si="11"/>
        <v>0.35796387520525452</v>
      </c>
      <c r="J31" s="23">
        <f t="shared" si="11"/>
        <v>0.29020556227327687</v>
      </c>
      <c r="K31" s="23">
        <f t="shared" si="11"/>
        <v>0.1246485473289598</v>
      </c>
      <c r="L31" s="23">
        <f t="shared" si="11"/>
        <v>1.6666666666666607E-2</v>
      </c>
    </row>
    <row r="32" spans="1:31" x14ac:dyDescent="0.3">
      <c r="A32" t="s">
        <v>115</v>
      </c>
      <c r="B32" s="14"/>
      <c r="C32" s="14">
        <v>3000</v>
      </c>
      <c r="D32" s="14">
        <v>2800</v>
      </c>
      <c r="E32" s="14">
        <v>10000</v>
      </c>
      <c r="F32" s="14">
        <v>18000</v>
      </c>
      <c r="G32" s="14">
        <v>30000</v>
      </c>
      <c r="H32" s="14">
        <v>50000</v>
      </c>
      <c r="I32" s="14">
        <v>80000</v>
      </c>
      <c r="J32" s="14">
        <v>100000</v>
      </c>
      <c r="K32" s="14">
        <v>120000</v>
      </c>
      <c r="L32" s="14">
        <v>145000</v>
      </c>
    </row>
    <row r="33" spans="1:12" x14ac:dyDescent="0.3">
      <c r="A33" s="21" t="s">
        <v>79</v>
      </c>
      <c r="B33" s="14"/>
      <c r="C33" s="14"/>
      <c r="D33" s="23">
        <f>IFERROR(D32/C32-1, "")</f>
        <v>-6.6666666666666652E-2</v>
      </c>
      <c r="E33" s="23">
        <f t="shared" ref="E33:L33" si="12">IFERROR(E32/D32-1, "")</f>
        <v>2.5714285714285716</v>
      </c>
      <c r="F33" s="23">
        <f t="shared" si="12"/>
        <v>0.8</v>
      </c>
      <c r="G33" s="23">
        <f t="shared" si="12"/>
        <v>0.66666666666666674</v>
      </c>
      <c r="H33" s="23">
        <f t="shared" si="12"/>
        <v>0.66666666666666674</v>
      </c>
      <c r="I33" s="23">
        <f t="shared" si="12"/>
        <v>0.60000000000000009</v>
      </c>
      <c r="J33" s="23">
        <f t="shared" si="12"/>
        <v>0.25</v>
      </c>
      <c r="K33" s="23">
        <f t="shared" si="12"/>
        <v>0.19999999999999996</v>
      </c>
      <c r="L33" s="23">
        <f t="shared" si="12"/>
        <v>0.20833333333333326</v>
      </c>
    </row>
    <row r="34" spans="1:12" x14ac:dyDescent="0.3">
      <c r="A34" t="s">
        <v>113</v>
      </c>
      <c r="B34" s="14"/>
      <c r="C34" s="14">
        <v>0</v>
      </c>
      <c r="D34" s="14">
        <v>0</v>
      </c>
      <c r="E34" s="14">
        <v>0</v>
      </c>
      <c r="F34" s="14">
        <v>7000</v>
      </c>
      <c r="G34" s="14">
        <v>16000</v>
      </c>
      <c r="H34" s="14">
        <v>26100</v>
      </c>
      <c r="I34" s="14">
        <v>37600</v>
      </c>
      <c r="J34" s="14">
        <v>44100</v>
      </c>
      <c r="K34" s="14">
        <v>48600</v>
      </c>
      <c r="L34" s="14">
        <v>52000</v>
      </c>
    </row>
    <row r="35" spans="1:12" x14ac:dyDescent="0.3">
      <c r="A35" s="21" t="s">
        <v>79</v>
      </c>
      <c r="B35" s="14"/>
      <c r="C35" s="14"/>
      <c r="D35" s="14"/>
      <c r="E35" s="14"/>
      <c r="F35" s="14"/>
      <c r="G35" s="29">
        <f>IFERROR(G34/F34-1, "")</f>
        <v>1.2857142857142856</v>
      </c>
      <c r="H35" s="29">
        <f t="shared" ref="H35:L35" si="13">IFERROR(H34/G34-1, "")</f>
        <v>0.63125000000000009</v>
      </c>
      <c r="I35" s="29">
        <f t="shared" si="13"/>
        <v>0.44061302681992331</v>
      </c>
      <c r="J35" s="29">
        <f t="shared" si="13"/>
        <v>0.1728723404255319</v>
      </c>
      <c r="K35" s="29">
        <f t="shared" si="13"/>
        <v>0.1020408163265305</v>
      </c>
      <c r="L35" s="29">
        <f t="shared" si="13"/>
        <v>6.9958847736625529E-2</v>
      </c>
    </row>
    <row r="36" spans="1:12" x14ac:dyDescent="0.3">
      <c r="A36" t="s">
        <v>116</v>
      </c>
      <c r="B36" s="14"/>
      <c r="C36" s="14">
        <v>0</v>
      </c>
      <c r="D36" s="14">
        <v>0</v>
      </c>
      <c r="E36" s="14">
        <v>0</v>
      </c>
      <c r="F36" s="14">
        <v>7000</v>
      </c>
      <c r="G36" s="14">
        <v>8800</v>
      </c>
      <c r="H36" s="14">
        <v>14000</v>
      </c>
      <c r="I36" s="14">
        <v>20000</v>
      </c>
      <c r="J36" s="14">
        <v>25000</v>
      </c>
      <c r="K36" s="14">
        <v>32000</v>
      </c>
      <c r="L36" s="14">
        <v>38000</v>
      </c>
    </row>
    <row r="37" spans="1:12" x14ac:dyDescent="0.3">
      <c r="A37" s="21" t="s">
        <v>79</v>
      </c>
      <c r="B37" s="14"/>
      <c r="C37" s="14"/>
      <c r="D37" s="14"/>
      <c r="E37" s="14"/>
      <c r="F37" s="14"/>
      <c r="G37" s="29">
        <f>IFERROR(G36/F36-1, "")</f>
        <v>0.25714285714285712</v>
      </c>
      <c r="H37" s="29">
        <f t="shared" ref="H37:L37" si="14">IFERROR(H36/G36-1, "")</f>
        <v>0.59090909090909083</v>
      </c>
      <c r="I37" s="29">
        <f t="shared" si="14"/>
        <v>0.4285714285714286</v>
      </c>
      <c r="J37" s="29">
        <f t="shared" si="14"/>
        <v>0.25</v>
      </c>
      <c r="K37" s="29">
        <f t="shared" si="14"/>
        <v>0.28000000000000003</v>
      </c>
      <c r="L37" s="29">
        <f t="shared" si="14"/>
        <v>0.1875</v>
      </c>
    </row>
    <row r="38" spans="1:12" x14ac:dyDescent="0.3">
      <c r="A38" t="s">
        <v>117</v>
      </c>
      <c r="B38" s="14"/>
      <c r="C38" s="14">
        <v>0</v>
      </c>
      <c r="D38" s="14">
        <v>0</v>
      </c>
      <c r="E38" s="14">
        <v>0</v>
      </c>
      <c r="F38" s="14">
        <v>7000</v>
      </c>
      <c r="G38" s="14">
        <v>8800</v>
      </c>
      <c r="H38" s="14">
        <v>9600</v>
      </c>
      <c r="I38" s="14">
        <v>9400</v>
      </c>
      <c r="J38" s="14">
        <v>10500</v>
      </c>
      <c r="K38" s="14">
        <v>9700</v>
      </c>
      <c r="L38" s="14">
        <v>10800</v>
      </c>
    </row>
    <row r="39" spans="1:12" x14ac:dyDescent="0.3">
      <c r="A39" s="21" t="s">
        <v>79</v>
      </c>
      <c r="B39" s="14"/>
      <c r="C39" s="14"/>
      <c r="D39" s="14"/>
      <c r="E39" s="14"/>
      <c r="F39" s="14"/>
      <c r="G39" s="29">
        <f>IFERROR(G38/F38-1, "")</f>
        <v>0.25714285714285712</v>
      </c>
      <c r="H39" s="29">
        <f t="shared" ref="H39:L39" si="15">IFERROR(H38/G38-1, "")</f>
        <v>9.0909090909090828E-2</v>
      </c>
      <c r="I39" s="29">
        <f t="shared" si="15"/>
        <v>-2.083333333333337E-2</v>
      </c>
      <c r="J39" s="29">
        <f t="shared" si="15"/>
        <v>0.11702127659574457</v>
      </c>
      <c r="K39" s="29">
        <f t="shared" si="15"/>
        <v>-7.6190476190476142E-2</v>
      </c>
      <c r="L39" s="29">
        <f t="shared" si="15"/>
        <v>0.11340206185567014</v>
      </c>
    </row>
    <row r="40" spans="1:12" x14ac:dyDescent="0.3">
      <c r="A40" t="s">
        <v>69</v>
      </c>
      <c r="C40" s="15">
        <f>C38+C36+C34+C32+C30+C28+C26</f>
        <v>59000</v>
      </c>
      <c r="D40" s="15">
        <f t="shared" ref="D40:L40" si="16">D38+D36+D34+D32+D30+D28+D26</f>
        <v>91800</v>
      </c>
      <c r="E40" s="15">
        <f t="shared" si="16"/>
        <v>172300</v>
      </c>
      <c r="F40" s="15">
        <f t="shared" si="16"/>
        <v>246000</v>
      </c>
      <c r="G40" s="15">
        <f t="shared" si="16"/>
        <v>320700</v>
      </c>
      <c r="H40" s="15">
        <f t="shared" si="16"/>
        <v>403600</v>
      </c>
      <c r="I40" s="15">
        <f t="shared" si="16"/>
        <v>505700</v>
      </c>
      <c r="J40" s="15">
        <f t="shared" si="16"/>
        <v>599300</v>
      </c>
      <c r="K40" s="15">
        <f t="shared" si="16"/>
        <v>671300</v>
      </c>
      <c r="L40" s="15">
        <f t="shared" si="16"/>
        <v>746800</v>
      </c>
    </row>
    <row r="41" spans="1:12" x14ac:dyDescent="0.3">
      <c r="A41" s="21" t="s">
        <v>79</v>
      </c>
      <c r="D41" s="29">
        <f>IFERROR(D40/C40-1, "")</f>
        <v>0.5559322033898304</v>
      </c>
      <c r="E41" s="29">
        <f t="shared" ref="E41:L41" si="17">IFERROR(E40/D40-1, "")</f>
        <v>0.87690631808278874</v>
      </c>
      <c r="F41" s="29">
        <f t="shared" si="17"/>
        <v>0.42774230992455031</v>
      </c>
      <c r="G41" s="29">
        <f t="shared" si="17"/>
        <v>0.3036585365853659</v>
      </c>
      <c r="H41" s="29">
        <f t="shared" si="17"/>
        <v>0.2584970377299658</v>
      </c>
      <c r="I41" s="29">
        <f t="shared" si="17"/>
        <v>0.25297324083250738</v>
      </c>
      <c r="J41" s="29">
        <f t="shared" si="17"/>
        <v>0.18508997429305918</v>
      </c>
      <c r="K41" s="29">
        <f t="shared" si="17"/>
        <v>0.1201401635241115</v>
      </c>
      <c r="L41" s="29">
        <f t="shared" si="17"/>
        <v>0.11246834500223457</v>
      </c>
    </row>
    <row r="44" spans="1:12" x14ac:dyDescent="0.3">
      <c r="A44" s="10" t="s">
        <v>119</v>
      </c>
    </row>
    <row r="45" spans="1:12" x14ac:dyDescent="0.3">
      <c r="C45" s="13">
        <v>2016</v>
      </c>
      <c r="D45" s="13">
        <f>C45+1</f>
        <v>2017</v>
      </c>
      <c r="E45" s="13">
        <f t="shared" ref="E45:L45" si="18">D45+1</f>
        <v>2018</v>
      </c>
      <c r="F45" s="13">
        <f t="shared" si="18"/>
        <v>2019</v>
      </c>
      <c r="G45" s="13">
        <f t="shared" si="18"/>
        <v>2020</v>
      </c>
      <c r="H45" s="13">
        <f t="shared" si="18"/>
        <v>2021</v>
      </c>
      <c r="I45" s="13">
        <f t="shared" si="18"/>
        <v>2022</v>
      </c>
      <c r="J45" s="13">
        <f t="shared" si="18"/>
        <v>2023</v>
      </c>
      <c r="K45" s="13">
        <f t="shared" si="18"/>
        <v>2024</v>
      </c>
      <c r="L45" s="13">
        <f t="shared" si="18"/>
        <v>2025</v>
      </c>
    </row>
    <row r="46" spans="1:12" x14ac:dyDescent="0.3">
      <c r="A46" t="s">
        <v>111</v>
      </c>
      <c r="C46" s="22">
        <f>C26/$C$40</f>
        <v>0.61016949152542377</v>
      </c>
      <c r="D46" s="22">
        <f>D26/$D$40</f>
        <v>0.64270152505446621</v>
      </c>
      <c r="E46" s="22">
        <f>E26/$E$40</f>
        <v>0.48171793383633199</v>
      </c>
      <c r="F46" s="22">
        <f>F26/$F$40</f>
        <v>0.43902439024390244</v>
      </c>
      <c r="G46" s="22">
        <f>G26/$G$40</f>
        <v>0.43030869971936392</v>
      </c>
      <c r="H46" s="22">
        <f>H26/$H$40</f>
        <v>0.40882061446977203</v>
      </c>
      <c r="I46" s="22">
        <f>I26/$I$40</f>
        <v>0.37176191417836663</v>
      </c>
      <c r="J46" s="22">
        <f>J26/$J$40</f>
        <v>0.36709494410145171</v>
      </c>
      <c r="K46" s="22">
        <f>K26/$K$40</f>
        <v>0.36645315060330702</v>
      </c>
      <c r="L46" s="30">
        <f>L26/$L$40</f>
        <v>0.36957686127477235</v>
      </c>
    </row>
    <row r="47" spans="1:12" x14ac:dyDescent="0.3">
      <c r="A47" t="s">
        <v>112</v>
      </c>
      <c r="C47" s="22">
        <f>C28/$C$40</f>
        <v>0.33898305084745761</v>
      </c>
      <c r="D47" s="22">
        <f>D28/$D$40</f>
        <v>0.32679738562091504</v>
      </c>
      <c r="E47" s="22">
        <f>E28/$E$40</f>
        <v>0.32501450957632039</v>
      </c>
      <c r="F47" s="22">
        <f>F28/$F$40</f>
        <v>0.27642276422764228</v>
      </c>
      <c r="G47" s="22">
        <f>G28/$G$40</f>
        <v>0.22450888681010289</v>
      </c>
      <c r="H47" s="22">
        <f>H28/$H$40</f>
        <v>0.19326065411298315</v>
      </c>
      <c r="I47" s="22">
        <f>I28/$I$40</f>
        <v>0.17401621514732055</v>
      </c>
      <c r="J47" s="22">
        <f>J28/$J$40</f>
        <v>0.15518104455197732</v>
      </c>
      <c r="K47" s="22">
        <f>K28/$K$40</f>
        <v>0.14151646059883807</v>
      </c>
      <c r="L47" s="22">
        <f>L28/$L$40</f>
        <v>0.1379217996786288</v>
      </c>
    </row>
    <row r="48" spans="1:12" x14ac:dyDescent="0.3">
      <c r="A48" t="s">
        <v>114</v>
      </c>
      <c r="C48" s="14">
        <f>C30/$C$40</f>
        <v>0</v>
      </c>
      <c r="D48" s="14">
        <f>D30/$D$40</f>
        <v>0</v>
      </c>
      <c r="E48" s="22">
        <f>E30/$E$40</f>
        <v>0.13522925130586186</v>
      </c>
      <c r="F48" s="22">
        <f>F30/$F$40</f>
        <v>0.12601626016260162</v>
      </c>
      <c r="G48" s="22">
        <f>G30/$G$40</f>
        <v>0.14686623012160899</v>
      </c>
      <c r="H48" s="22">
        <f>H30/$H$40</f>
        <v>0.15089197224975223</v>
      </c>
      <c r="I48" s="22">
        <f>I30/$I$40</f>
        <v>0.16353569309867511</v>
      </c>
      <c r="J48" s="22">
        <f>J30/$J$40</f>
        <v>0.17804104788920408</v>
      </c>
      <c r="K48" s="22">
        <f>K30/$K$40</f>
        <v>0.17875763444063758</v>
      </c>
      <c r="L48" s="22">
        <f>L30/$L$40</f>
        <v>0.16336368505623997</v>
      </c>
    </row>
    <row r="49" spans="1:12" x14ac:dyDescent="0.3">
      <c r="A49" t="s">
        <v>115</v>
      </c>
      <c r="C49" s="22">
        <f>C32/$C$40</f>
        <v>5.0847457627118647E-2</v>
      </c>
      <c r="D49" s="22">
        <f>D32/$D$40</f>
        <v>3.0501089324618737E-2</v>
      </c>
      <c r="E49" s="22">
        <f>E32/$E$40</f>
        <v>5.8038305281485777E-2</v>
      </c>
      <c r="F49" s="22">
        <f>F32/$F$40</f>
        <v>7.3170731707317069E-2</v>
      </c>
      <c r="G49" s="22">
        <f>G32/$G$40</f>
        <v>9.3545369504209538E-2</v>
      </c>
      <c r="H49" s="22">
        <f>H32/$H$40</f>
        <v>0.12388503468780972</v>
      </c>
      <c r="I49" s="22">
        <f>I32/$I$40</f>
        <v>0.15819655922483686</v>
      </c>
      <c r="J49" s="22">
        <f>J32/$J$40</f>
        <v>0.16686133822793259</v>
      </c>
      <c r="K49" s="22">
        <f>K32/$K$40</f>
        <v>0.17875763444063758</v>
      </c>
      <c r="L49" s="22">
        <f>L32/$L$40</f>
        <v>0.19416175682913767</v>
      </c>
    </row>
    <row r="50" spans="1:12" x14ac:dyDescent="0.3">
      <c r="A50" t="s">
        <v>113</v>
      </c>
      <c r="C50" s="14">
        <f>C34/$C$40</f>
        <v>0</v>
      </c>
      <c r="D50" s="14">
        <f>D34/$D$40</f>
        <v>0</v>
      </c>
      <c r="E50" s="14">
        <f>E34/$E$40</f>
        <v>0</v>
      </c>
      <c r="F50" s="22">
        <f>F34/$F$40</f>
        <v>2.8455284552845527E-2</v>
      </c>
      <c r="G50" s="22">
        <f>G34/$G$40</f>
        <v>4.9890863735578425E-2</v>
      </c>
      <c r="H50" s="22">
        <f>H34/$H$40</f>
        <v>6.4667988107036667E-2</v>
      </c>
      <c r="I50" s="22">
        <f>I34/$I$40</f>
        <v>7.4352382835673331E-2</v>
      </c>
      <c r="J50" s="22">
        <f>J34/$J$40</f>
        <v>7.3585850158518276E-2</v>
      </c>
      <c r="K50" s="22">
        <f>K34/$K$40</f>
        <v>7.2396841948458218E-2</v>
      </c>
      <c r="L50" s="22">
        <f>L34/$L$40</f>
        <v>6.9630423138725223E-2</v>
      </c>
    </row>
    <row r="51" spans="1:12" x14ac:dyDescent="0.3">
      <c r="A51" t="s">
        <v>116</v>
      </c>
      <c r="C51" s="14">
        <f>C36/$C$40</f>
        <v>0</v>
      </c>
      <c r="D51" s="14">
        <f>D36/$D$40</f>
        <v>0</v>
      </c>
      <c r="E51" s="14">
        <f>E36/$E$40</f>
        <v>0</v>
      </c>
      <c r="F51" s="22">
        <f>F36/$F$40</f>
        <v>2.8455284552845527E-2</v>
      </c>
      <c r="G51" s="22">
        <f>G36/$G$40</f>
        <v>2.7439975054568133E-2</v>
      </c>
      <c r="H51" s="22">
        <f>H36/$H$40</f>
        <v>3.4687809712586719E-2</v>
      </c>
      <c r="I51" s="22">
        <f>I36/$I$40</f>
        <v>3.9549139806209214E-2</v>
      </c>
      <c r="J51" s="22">
        <f>J36/$J$40</f>
        <v>4.1715334556983147E-2</v>
      </c>
      <c r="K51" s="22">
        <f>K36/$K$40</f>
        <v>4.7668702517503353E-2</v>
      </c>
      <c r="L51" s="22">
        <f>L36/$L$40</f>
        <v>5.0883770755222282E-2</v>
      </c>
    </row>
    <row r="52" spans="1:12" x14ac:dyDescent="0.3">
      <c r="A52" t="s">
        <v>117</v>
      </c>
      <c r="C52" s="14">
        <f>C38/$C$40</f>
        <v>0</v>
      </c>
      <c r="D52" s="14">
        <f>D38/$D$40</f>
        <v>0</v>
      </c>
      <c r="E52" s="14">
        <f>E38/$E$40</f>
        <v>0</v>
      </c>
      <c r="F52" s="22">
        <f>F38/$F$40</f>
        <v>2.8455284552845527E-2</v>
      </c>
      <c r="G52" s="22">
        <f>G38/$G$40</f>
        <v>2.7439975054568133E-2</v>
      </c>
      <c r="H52" s="22">
        <f>H38/$H$40</f>
        <v>2.3785926660059464E-2</v>
      </c>
      <c r="I52" s="22">
        <f>I38/$I$40</f>
        <v>1.8588095708918333E-2</v>
      </c>
      <c r="J52" s="22">
        <f>J38/$J$40</f>
        <v>1.7520440513932922E-2</v>
      </c>
      <c r="K52" s="22">
        <f>K38/$K$40</f>
        <v>1.4449575450618203E-2</v>
      </c>
      <c r="L52" s="22">
        <f>L38/$L$40</f>
        <v>1.4461703267273701E-2</v>
      </c>
    </row>
    <row r="53" spans="1:12" x14ac:dyDescent="0.3">
      <c r="A53" t="s">
        <v>69</v>
      </c>
      <c r="C53" s="22">
        <f>C40/$C$40</f>
        <v>1</v>
      </c>
      <c r="D53" s="22">
        <f>D40/$D$40</f>
        <v>1</v>
      </c>
      <c r="E53" s="22">
        <f>E40/$E$40</f>
        <v>1</v>
      </c>
      <c r="F53" s="22">
        <f>F40/$F$40</f>
        <v>1</v>
      </c>
      <c r="G53" s="22">
        <f>G40/$G$40</f>
        <v>1</v>
      </c>
      <c r="H53" s="22">
        <f>H40/$H$40</f>
        <v>1</v>
      </c>
      <c r="I53" s="22">
        <f>I40/$I$40</f>
        <v>1</v>
      </c>
      <c r="J53" s="22">
        <f>J40/$J$40</f>
        <v>1</v>
      </c>
      <c r="K53" s="22">
        <f>K40/$K$40</f>
        <v>1</v>
      </c>
      <c r="L53" s="22">
        <f>L40/$L$40</f>
        <v>1</v>
      </c>
    </row>
  </sheetData>
  <hyperlinks>
    <hyperlink ref="N4" r:id="rId1" xr:uid="{4B786B07-A418-4586-B454-F22376D195AA}"/>
    <hyperlink ref="N5" r:id="rId2" xr:uid="{FB746694-FCDC-483B-850B-9BEB35CFABE0}"/>
    <hyperlink ref="N6" r:id="rId3" xr:uid="{524A03A3-12AA-4C00-9AD6-C816AF1C98A7}"/>
    <hyperlink ref="N26" r:id="rId4" xr:uid="{66188737-50AF-42A8-8CA4-99B1EF320884}"/>
    <hyperlink ref="N16" r:id="rId5" xr:uid="{FB52652E-44C1-4FD0-943F-673ADC293C08}"/>
    <hyperlink ref="N17" r:id="rId6" xr:uid="{4D2EEDFE-D56F-43D8-8418-B66660A20322}"/>
    <hyperlink ref="N18" r:id="rId7" xr:uid="{282B3225-723D-4159-8839-C3E410DEC013}"/>
  </hyperlinks>
  <pageMargins left="0.7" right="0.7" top="0.75" bottom="0.75" header="0.3" footer="0.3"/>
  <drawing r:id="rId8"/>
  <legacy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02DB-3E72-4B6F-9DA8-34C1DF3E8C06}">
  <dimension ref="A1:Y41"/>
  <sheetViews>
    <sheetView topLeftCell="A4" zoomScale="70" zoomScaleNormal="70" workbookViewId="0">
      <selection activeCell="L13" sqref="L13"/>
    </sheetView>
  </sheetViews>
  <sheetFormatPr defaultRowHeight="14.4" x14ac:dyDescent="0.3"/>
  <cols>
    <col min="1" max="1" width="15.77734375" customWidth="1"/>
    <col min="2" max="2" width="10.21875" bestFit="1" customWidth="1"/>
    <col min="3" max="5" width="11.21875" bestFit="1" customWidth="1"/>
    <col min="6" max="8" width="9.44140625" bestFit="1" customWidth="1"/>
    <col min="9" max="9" width="11.21875" bestFit="1" customWidth="1"/>
    <col min="10" max="11" width="9.44140625" bestFit="1" customWidth="1"/>
    <col min="12" max="13" width="10.109375" bestFit="1" customWidth="1"/>
    <col min="14" max="14" width="11.21875" bestFit="1" customWidth="1"/>
    <col min="15" max="17" width="10.109375" bestFit="1" customWidth="1"/>
  </cols>
  <sheetData>
    <row r="1" spans="1:25" x14ac:dyDescent="0.3">
      <c r="A1" s="10" t="s">
        <v>25</v>
      </c>
    </row>
    <row r="2" spans="1:25" x14ac:dyDescent="0.3">
      <c r="A2" s="1"/>
    </row>
    <row r="3" spans="1:25" x14ac:dyDescent="0.3">
      <c r="A3" s="10" t="s">
        <v>141</v>
      </c>
    </row>
    <row r="4" spans="1:25" x14ac:dyDescent="0.3">
      <c r="B4" s="13">
        <v>2023</v>
      </c>
      <c r="C4" s="13">
        <f>B4+1</f>
        <v>2024</v>
      </c>
      <c r="D4" s="13">
        <f>C4+1</f>
        <v>2025</v>
      </c>
      <c r="E4" s="31">
        <f t="shared" ref="E4:N4" si="0">D4+1</f>
        <v>2026</v>
      </c>
      <c r="F4" s="31">
        <f t="shared" si="0"/>
        <v>2027</v>
      </c>
      <c r="G4" s="31">
        <f t="shared" si="0"/>
        <v>2028</v>
      </c>
      <c r="H4" s="31">
        <f t="shared" si="0"/>
        <v>2029</v>
      </c>
      <c r="I4" s="31">
        <f t="shared" si="0"/>
        <v>2030</v>
      </c>
      <c r="J4" s="31">
        <f t="shared" si="0"/>
        <v>2031</v>
      </c>
      <c r="K4" s="31">
        <f t="shared" si="0"/>
        <v>2032</v>
      </c>
      <c r="L4" s="31">
        <f t="shared" si="0"/>
        <v>2033</v>
      </c>
      <c r="M4" s="31">
        <f t="shared" si="0"/>
        <v>2034</v>
      </c>
      <c r="N4" s="31">
        <f t="shared" si="0"/>
        <v>2035</v>
      </c>
      <c r="X4" s="10" t="s">
        <v>72</v>
      </c>
    </row>
    <row r="5" spans="1:25" x14ac:dyDescent="0.3">
      <c r="A5" t="s">
        <v>142</v>
      </c>
      <c r="B5" s="14">
        <v>95880</v>
      </c>
      <c r="C5" s="14">
        <v>108500</v>
      </c>
      <c r="D5" s="14">
        <v>159980</v>
      </c>
      <c r="E5" s="14">
        <v>195850</v>
      </c>
      <c r="F5" s="14">
        <f>E5*(1+F6)</f>
        <v>239720.4</v>
      </c>
      <c r="G5" s="14">
        <f t="shared" ref="G5:J5" si="1">F5*(1+G6)</f>
        <v>293417.7696</v>
      </c>
      <c r="H5" s="14">
        <f t="shared" si="1"/>
        <v>359143.34999040002</v>
      </c>
      <c r="I5" s="14">
        <v>450000</v>
      </c>
      <c r="J5" s="14">
        <f t="shared" si="1"/>
        <v>533250</v>
      </c>
      <c r="K5" s="14">
        <f t="shared" ref="K5" si="2">J5*(1+K6)</f>
        <v>631901.25</v>
      </c>
      <c r="L5" s="14">
        <f t="shared" ref="L5" si="3">K5*(1+L6)</f>
        <v>739324.46249999991</v>
      </c>
      <c r="M5" s="14">
        <f t="shared" ref="M5" si="4">L5*(1+M6)</f>
        <v>865009.62112499983</v>
      </c>
      <c r="N5" s="14">
        <v>873210</v>
      </c>
      <c r="X5" s="1" t="s">
        <v>128</v>
      </c>
      <c r="Y5" t="s">
        <v>129</v>
      </c>
    </row>
    <row r="6" spans="1:25" x14ac:dyDescent="0.3">
      <c r="C6" s="23">
        <f>C5/B5-1</f>
        <v>0.13162286191072181</v>
      </c>
      <c r="D6" s="23">
        <f t="shared" ref="D6:E6" si="5">D5/C5-1</f>
        <v>0.4744700460829494</v>
      </c>
      <c r="E6" s="23">
        <f t="shared" si="5"/>
        <v>0.22421552694086766</v>
      </c>
      <c r="F6" s="33">
        <v>0.224</v>
      </c>
      <c r="G6" s="33">
        <v>0.224</v>
      </c>
      <c r="H6" s="33">
        <v>0.224</v>
      </c>
      <c r="I6" s="33">
        <f>I5/H5-1</f>
        <v>0.25298157410412481</v>
      </c>
      <c r="J6" s="33">
        <v>0.185</v>
      </c>
      <c r="K6" s="33">
        <v>0.185</v>
      </c>
      <c r="L6" s="33">
        <v>0.17</v>
      </c>
      <c r="M6" s="33">
        <v>0.17</v>
      </c>
      <c r="N6" s="33">
        <f>N5/M5-1</f>
        <v>9.4801013476994989E-3</v>
      </c>
    </row>
    <row r="9" spans="1:25" x14ac:dyDescent="0.3">
      <c r="X9" s="10" t="s">
        <v>72</v>
      </c>
    </row>
    <row r="10" spans="1:25" x14ac:dyDescent="0.3">
      <c r="A10" s="10" t="s">
        <v>143</v>
      </c>
      <c r="X10" s="1" t="s">
        <v>133</v>
      </c>
      <c r="Y10" t="s">
        <v>56</v>
      </c>
    </row>
    <row r="11" spans="1:25" x14ac:dyDescent="0.3">
      <c r="B11" s="13">
        <v>2010</v>
      </c>
      <c r="C11" s="13">
        <f>B11+1</f>
        <v>2011</v>
      </c>
      <c r="D11" s="13">
        <f t="shared" ref="D11:Q11" si="6">C11+1</f>
        <v>2012</v>
      </c>
      <c r="E11" s="13">
        <f t="shared" si="6"/>
        <v>2013</v>
      </c>
      <c r="F11" s="13">
        <f t="shared" si="6"/>
        <v>2014</v>
      </c>
      <c r="G11" s="13">
        <f t="shared" si="6"/>
        <v>2015</v>
      </c>
      <c r="H11" s="13">
        <f t="shared" si="6"/>
        <v>2016</v>
      </c>
      <c r="I11" s="13">
        <f t="shared" si="6"/>
        <v>2017</v>
      </c>
      <c r="J11" s="13">
        <f t="shared" si="6"/>
        <v>2018</v>
      </c>
      <c r="K11" s="13">
        <f t="shared" si="6"/>
        <v>2019</v>
      </c>
      <c r="L11" s="13">
        <f t="shared" si="6"/>
        <v>2020</v>
      </c>
      <c r="M11" s="13">
        <f t="shared" si="6"/>
        <v>2021</v>
      </c>
      <c r="N11" s="13">
        <f t="shared" si="6"/>
        <v>2022</v>
      </c>
      <c r="O11" s="13">
        <f t="shared" si="6"/>
        <v>2023</v>
      </c>
      <c r="P11" s="13">
        <f t="shared" si="6"/>
        <v>2024</v>
      </c>
      <c r="Q11" s="13">
        <f t="shared" si="6"/>
        <v>2025</v>
      </c>
      <c r="X11" s="1" t="s">
        <v>138</v>
      </c>
      <c r="Y11" t="s">
        <v>60</v>
      </c>
    </row>
    <row r="12" spans="1:25" x14ac:dyDescent="0.3">
      <c r="A12" t="s">
        <v>56</v>
      </c>
      <c r="B12" s="14"/>
      <c r="C12" s="14"/>
      <c r="D12" s="14"/>
      <c r="E12" s="14"/>
      <c r="F12" s="14"/>
      <c r="G12" s="14"/>
      <c r="H12" s="14"/>
      <c r="I12" s="14"/>
      <c r="J12" s="14"/>
      <c r="K12" s="14">
        <v>3700</v>
      </c>
      <c r="L12" s="14">
        <v>4400</v>
      </c>
      <c r="M12" s="14">
        <v>5800</v>
      </c>
      <c r="N12" s="14">
        <v>6300</v>
      </c>
      <c r="O12" s="14">
        <v>6300</v>
      </c>
      <c r="P12" s="14">
        <v>6800</v>
      </c>
      <c r="Q12" s="14">
        <v>7100</v>
      </c>
      <c r="X12" s="1" t="s">
        <v>132</v>
      </c>
      <c r="Y12" s="34" t="s">
        <v>59</v>
      </c>
    </row>
    <row r="13" spans="1:25" x14ac:dyDescent="0.3">
      <c r="A13" s="21" t="s">
        <v>79</v>
      </c>
      <c r="L13" s="23">
        <f>IFERROR(L12/K12-1, " ")</f>
        <v>0.18918918918918926</v>
      </c>
      <c r="M13" s="23">
        <f t="shared" ref="M13:Q13" si="7">IFERROR(M12/L12-1, " ")</f>
        <v>0.31818181818181812</v>
      </c>
      <c r="N13" s="23">
        <f t="shared" si="7"/>
        <v>8.6206896551724199E-2</v>
      </c>
      <c r="O13" s="23">
        <f t="shared" si="7"/>
        <v>0</v>
      </c>
      <c r="P13" s="23">
        <f t="shared" si="7"/>
        <v>7.9365079365079305E-2</v>
      </c>
      <c r="Q13" s="23">
        <f t="shared" si="7"/>
        <v>4.4117647058823595E-2</v>
      </c>
      <c r="X13" s="1" t="s">
        <v>131</v>
      </c>
      <c r="Y13" t="s">
        <v>58</v>
      </c>
    </row>
    <row r="14" spans="1:25" x14ac:dyDescent="0.3">
      <c r="A14" t="s">
        <v>60</v>
      </c>
      <c r="L14" s="14">
        <v>6090</v>
      </c>
      <c r="M14" s="14">
        <v>7700</v>
      </c>
      <c r="N14" s="14">
        <v>7300</v>
      </c>
      <c r="O14" s="14">
        <v>8300</v>
      </c>
      <c r="P14" s="14">
        <v>8800</v>
      </c>
      <c r="X14" s="1" t="s">
        <v>130</v>
      </c>
      <c r="Y14" t="s">
        <v>57</v>
      </c>
    </row>
    <row r="15" spans="1:25" x14ac:dyDescent="0.3">
      <c r="A15" s="21" t="s">
        <v>79</v>
      </c>
      <c r="M15" s="23">
        <f>IFERROR(M14/L14-1, " ")</f>
        <v>0.26436781609195403</v>
      </c>
      <c r="N15" s="23">
        <f t="shared" ref="N15:P15" si="8">IFERROR(N14/M14-1, " ")</f>
        <v>-5.1948051948051965E-2</v>
      </c>
      <c r="O15" s="23">
        <f t="shared" si="8"/>
        <v>0.13698630136986312</v>
      </c>
      <c r="P15" s="23">
        <f t="shared" si="8"/>
        <v>6.024096385542177E-2</v>
      </c>
      <c r="X15" s="1" t="s">
        <v>134</v>
      </c>
      <c r="Y15" t="s">
        <v>135</v>
      </c>
    </row>
    <row r="16" spans="1:25" x14ac:dyDescent="0.3">
      <c r="A16" t="s">
        <v>58</v>
      </c>
      <c r="L16" s="14">
        <v>2800</v>
      </c>
      <c r="M16" s="14">
        <v>5200</v>
      </c>
      <c r="N16" s="14">
        <v>7400</v>
      </c>
      <c r="O16" s="14">
        <v>8400</v>
      </c>
      <c r="P16" s="14">
        <v>10400</v>
      </c>
      <c r="Q16" s="14">
        <v>11900</v>
      </c>
      <c r="X16" s="1" t="s">
        <v>137</v>
      </c>
      <c r="Y16" s="34" t="s">
        <v>136</v>
      </c>
    </row>
    <row r="17" spans="1:25" x14ac:dyDescent="0.3">
      <c r="A17" s="21" t="s">
        <v>79</v>
      </c>
      <c r="M17" s="23">
        <f>IFERROR(M16/L16-1, " ")</f>
        <v>0.85714285714285721</v>
      </c>
      <c r="N17" s="23">
        <f t="shared" ref="N17:Q17" si="9">IFERROR(N16/M16-1, " ")</f>
        <v>0.42307692307692313</v>
      </c>
      <c r="O17" s="23">
        <f t="shared" si="9"/>
        <v>0.13513513513513509</v>
      </c>
      <c r="P17" s="23">
        <f t="shared" si="9"/>
        <v>0.23809523809523814</v>
      </c>
      <c r="Q17" s="23">
        <f t="shared" si="9"/>
        <v>0.14423076923076916</v>
      </c>
      <c r="X17" s="1" t="s">
        <v>139</v>
      </c>
      <c r="Y17" t="s">
        <v>140</v>
      </c>
    </row>
    <row r="18" spans="1:25" x14ac:dyDescent="0.3">
      <c r="A18" t="s">
        <v>57</v>
      </c>
      <c r="C18" s="14">
        <v>3100</v>
      </c>
      <c r="D18" s="14">
        <v>3500</v>
      </c>
      <c r="E18" s="14">
        <v>4300</v>
      </c>
      <c r="F18" s="14">
        <v>5400</v>
      </c>
      <c r="G18" s="14">
        <v>6700</v>
      </c>
      <c r="H18" s="14">
        <v>8800</v>
      </c>
      <c r="I18" s="14">
        <v>11600</v>
      </c>
      <c r="J18" s="14">
        <v>15700</v>
      </c>
      <c r="K18" s="14">
        <v>20100</v>
      </c>
      <c r="L18" s="14">
        <v>24900</v>
      </c>
      <c r="M18" s="14">
        <v>29600</v>
      </c>
      <c r="N18" s="14">
        <v>31600</v>
      </c>
      <c r="O18" s="14">
        <v>33700</v>
      </c>
      <c r="P18" s="14">
        <v>39000</v>
      </c>
      <c r="Q18" s="14">
        <v>45100</v>
      </c>
    </row>
    <row r="19" spans="1:25" x14ac:dyDescent="0.3">
      <c r="A19" s="21" t="s">
        <v>79</v>
      </c>
      <c r="D19" s="23">
        <f>IFERROR(D18/C18-1, " ")</f>
        <v>0.12903225806451624</v>
      </c>
      <c r="E19" s="23">
        <f t="shared" ref="E19:Q19" si="10">IFERROR(E18/D18-1, " ")</f>
        <v>0.22857142857142865</v>
      </c>
      <c r="F19" s="23">
        <f t="shared" si="10"/>
        <v>0.2558139534883721</v>
      </c>
      <c r="G19" s="23">
        <f t="shared" si="10"/>
        <v>0.2407407407407407</v>
      </c>
      <c r="H19" s="23">
        <f t="shared" si="10"/>
        <v>0.31343283582089554</v>
      </c>
      <c r="I19" s="23">
        <f t="shared" si="10"/>
        <v>0.31818181818181812</v>
      </c>
      <c r="J19" s="23">
        <f t="shared" si="10"/>
        <v>0.35344827586206895</v>
      </c>
      <c r="K19" s="23">
        <f t="shared" si="10"/>
        <v>0.28025477707006363</v>
      </c>
      <c r="L19" s="23">
        <f t="shared" si="10"/>
        <v>0.23880597014925375</v>
      </c>
      <c r="M19" s="23">
        <f t="shared" si="10"/>
        <v>0.18875502008032119</v>
      </c>
      <c r="N19" s="23">
        <f t="shared" si="10"/>
        <v>6.7567567567567544E-2</v>
      </c>
      <c r="O19" s="23">
        <f t="shared" si="10"/>
        <v>6.6455696202531556E-2</v>
      </c>
      <c r="P19" s="23">
        <f t="shared" si="10"/>
        <v>0.15727002967359049</v>
      </c>
      <c r="Q19" s="23">
        <f t="shared" si="10"/>
        <v>0.15641025641025652</v>
      </c>
    </row>
    <row r="20" spans="1:25" x14ac:dyDescent="0.3">
      <c r="A20" t="s">
        <v>135</v>
      </c>
      <c r="B20" s="14">
        <v>800</v>
      </c>
      <c r="C20" s="14">
        <v>1300</v>
      </c>
      <c r="D20" s="14">
        <v>1700</v>
      </c>
      <c r="E20" s="14">
        <v>3100</v>
      </c>
      <c r="F20" s="14">
        <v>4200</v>
      </c>
      <c r="G20" s="14">
        <v>5500</v>
      </c>
      <c r="H20" s="14">
        <v>6700</v>
      </c>
      <c r="I20" s="14">
        <v>8100</v>
      </c>
      <c r="J20" s="14">
        <v>11100</v>
      </c>
      <c r="K20" s="14">
        <v>15100</v>
      </c>
      <c r="L20" s="14">
        <v>19700</v>
      </c>
      <c r="M20" s="14">
        <v>28800</v>
      </c>
      <c r="N20" s="14">
        <v>29200</v>
      </c>
      <c r="O20" s="14">
        <v>31500</v>
      </c>
      <c r="P20" s="14">
        <v>36100</v>
      </c>
      <c r="Q20" s="14">
        <v>40300</v>
      </c>
    </row>
    <row r="21" spans="1:25" x14ac:dyDescent="0.3">
      <c r="A21" s="21" t="s">
        <v>79</v>
      </c>
      <c r="C21" s="23">
        <f>IFERROR(C20/B20-1, " ")</f>
        <v>0.625</v>
      </c>
      <c r="D21" s="23">
        <f t="shared" ref="D21:Q21" si="11">IFERROR(D20/C20-1, " ")</f>
        <v>0.30769230769230771</v>
      </c>
      <c r="E21" s="23">
        <f t="shared" si="11"/>
        <v>0.82352941176470584</v>
      </c>
      <c r="F21" s="23">
        <f t="shared" si="11"/>
        <v>0.35483870967741926</v>
      </c>
      <c r="G21" s="23">
        <f t="shared" si="11"/>
        <v>0.30952380952380953</v>
      </c>
      <c r="H21" s="23">
        <f t="shared" si="11"/>
        <v>0.21818181818181825</v>
      </c>
      <c r="I21" s="23">
        <f t="shared" si="11"/>
        <v>0.20895522388059695</v>
      </c>
      <c r="J21" s="23">
        <f t="shared" si="11"/>
        <v>0.37037037037037046</v>
      </c>
      <c r="K21" s="23">
        <f t="shared" si="11"/>
        <v>0.36036036036036045</v>
      </c>
      <c r="L21" s="23">
        <f t="shared" si="11"/>
        <v>0.30463576158940397</v>
      </c>
      <c r="M21" s="23">
        <f t="shared" si="11"/>
        <v>0.46192893401015223</v>
      </c>
      <c r="N21" s="23">
        <f t="shared" si="11"/>
        <v>1.388888888888884E-2</v>
      </c>
      <c r="O21" s="23">
        <f t="shared" si="11"/>
        <v>7.8767123287671215E-2</v>
      </c>
      <c r="P21" s="23">
        <f t="shared" si="11"/>
        <v>0.14603174603174596</v>
      </c>
      <c r="Q21" s="23">
        <f t="shared" si="11"/>
        <v>0.11634349030470914</v>
      </c>
    </row>
    <row r="22" spans="1:25" x14ac:dyDescent="0.3">
      <c r="A22" t="s">
        <v>140</v>
      </c>
      <c r="H22" s="14">
        <v>275</v>
      </c>
      <c r="I22" s="14">
        <v>300</v>
      </c>
      <c r="J22" s="14">
        <v>880</v>
      </c>
      <c r="K22" s="14">
        <v>1230</v>
      </c>
      <c r="L22" s="14">
        <v>1890</v>
      </c>
      <c r="M22" s="14">
        <v>2050</v>
      </c>
      <c r="N22" s="14">
        <v>1900</v>
      </c>
      <c r="O22" s="14">
        <v>1960</v>
      </c>
      <c r="P22" s="14">
        <v>1800</v>
      </c>
    </row>
    <row r="23" spans="1:25" x14ac:dyDescent="0.3">
      <c r="A23" s="21" t="s">
        <v>79</v>
      </c>
      <c r="I23" s="23">
        <f>IFERROR(I22/H22-1, " ")</f>
        <v>9.0909090909090828E-2</v>
      </c>
      <c r="J23" s="23">
        <f t="shared" ref="J23:P23" si="12">IFERROR(J22/I22-1, " ")</f>
        <v>1.9333333333333331</v>
      </c>
      <c r="K23" s="23">
        <f t="shared" si="12"/>
        <v>0.39772727272727271</v>
      </c>
      <c r="L23" s="23">
        <f t="shared" si="12"/>
        <v>0.53658536585365857</v>
      </c>
      <c r="M23" s="23">
        <f t="shared" si="12"/>
        <v>8.4656084656084651E-2</v>
      </c>
      <c r="N23" s="23">
        <f t="shared" si="12"/>
        <v>-7.3170731707317027E-2</v>
      </c>
      <c r="O23" s="23">
        <f t="shared" si="12"/>
        <v>3.1578947368421151E-2</v>
      </c>
      <c r="P23" s="23">
        <f t="shared" si="12"/>
        <v>-8.1632653061224469E-2</v>
      </c>
    </row>
    <row r="24" spans="1:25" x14ac:dyDescent="0.3">
      <c r="A24" s="21"/>
    </row>
    <row r="26" spans="1:25" x14ac:dyDescent="0.3">
      <c r="A26" s="10" t="s">
        <v>147</v>
      </c>
    </row>
    <row r="27" spans="1:25" x14ac:dyDescent="0.3">
      <c r="B27" s="35">
        <v>2021</v>
      </c>
      <c r="C27" s="36">
        <v>2021</v>
      </c>
      <c r="D27" s="37">
        <v>2021</v>
      </c>
      <c r="E27" s="38">
        <v>2021</v>
      </c>
      <c r="F27" s="35">
        <v>2022</v>
      </c>
      <c r="G27" s="36">
        <v>2022</v>
      </c>
      <c r="H27" s="37">
        <v>2022</v>
      </c>
      <c r="I27" s="38">
        <v>2022</v>
      </c>
      <c r="J27" s="35">
        <v>2023</v>
      </c>
      <c r="K27" s="36">
        <v>2023</v>
      </c>
      <c r="L27" s="37">
        <v>2023</v>
      </c>
      <c r="M27" s="38">
        <v>2023</v>
      </c>
      <c r="N27" s="35">
        <v>2024</v>
      </c>
      <c r="O27" s="36">
        <v>2024</v>
      </c>
      <c r="P27" s="37">
        <v>2024</v>
      </c>
      <c r="Q27" s="38">
        <v>2024</v>
      </c>
      <c r="R27" s="35">
        <v>2025</v>
      </c>
      <c r="S27" s="36">
        <v>2025</v>
      </c>
      <c r="T27" s="37">
        <v>2025</v>
      </c>
      <c r="U27" s="38">
        <v>2025</v>
      </c>
      <c r="X27" s="10" t="s">
        <v>72</v>
      </c>
    </row>
    <row r="28" spans="1:25" x14ac:dyDescent="0.3">
      <c r="A28" t="s">
        <v>57</v>
      </c>
      <c r="B28">
        <v>31</v>
      </c>
      <c r="C28">
        <v>28</v>
      </c>
      <c r="D28">
        <v>27</v>
      </c>
      <c r="E28">
        <v>25</v>
      </c>
      <c r="F28">
        <v>23</v>
      </c>
      <c r="G28">
        <v>21</v>
      </c>
      <c r="H28">
        <v>21</v>
      </c>
      <c r="I28">
        <v>20</v>
      </c>
      <c r="J28">
        <v>20</v>
      </c>
      <c r="K28">
        <v>20</v>
      </c>
      <c r="L28">
        <v>21</v>
      </c>
      <c r="M28">
        <v>21</v>
      </c>
      <c r="N28">
        <v>21</v>
      </c>
      <c r="O28">
        <v>22</v>
      </c>
      <c r="P28">
        <v>21</v>
      </c>
      <c r="Q28">
        <v>21</v>
      </c>
      <c r="R28">
        <v>20</v>
      </c>
      <c r="S28">
        <v>20</v>
      </c>
      <c r="T28">
        <v>19</v>
      </c>
      <c r="U28">
        <v>20</v>
      </c>
      <c r="X28" s="1" t="s">
        <v>133</v>
      </c>
    </row>
    <row r="29" spans="1:25" x14ac:dyDescent="0.3">
      <c r="A29" s="21" t="s">
        <v>79</v>
      </c>
      <c r="C29" s="23">
        <f>IFERROR(C28/B28-1, " ")</f>
        <v>-9.6774193548387122E-2</v>
      </c>
      <c r="D29" s="23">
        <f t="shared" ref="D29:U29" si="13">IFERROR(D28/C28-1, " ")</f>
        <v>-3.5714285714285698E-2</v>
      </c>
      <c r="E29" s="23">
        <f t="shared" si="13"/>
        <v>-7.407407407407407E-2</v>
      </c>
      <c r="F29" s="23">
        <f t="shared" si="13"/>
        <v>-7.999999999999996E-2</v>
      </c>
      <c r="G29" s="23">
        <f t="shared" si="13"/>
        <v>-8.6956521739130488E-2</v>
      </c>
      <c r="H29" s="23">
        <f t="shared" si="13"/>
        <v>0</v>
      </c>
      <c r="I29" s="23">
        <f t="shared" si="13"/>
        <v>-4.7619047619047672E-2</v>
      </c>
      <c r="J29" s="23">
        <f t="shared" si="13"/>
        <v>0</v>
      </c>
      <c r="K29" s="23">
        <f t="shared" si="13"/>
        <v>0</v>
      </c>
      <c r="L29" s="23">
        <f t="shared" si="13"/>
        <v>5.0000000000000044E-2</v>
      </c>
      <c r="M29" s="23">
        <f t="shared" si="13"/>
        <v>0</v>
      </c>
      <c r="N29" s="23">
        <f t="shared" si="13"/>
        <v>0</v>
      </c>
      <c r="O29" s="23">
        <f t="shared" si="13"/>
        <v>4.7619047619047672E-2</v>
      </c>
      <c r="P29" s="23">
        <f t="shared" si="13"/>
        <v>-4.5454545454545414E-2</v>
      </c>
      <c r="Q29" s="23">
        <f t="shared" si="13"/>
        <v>0</v>
      </c>
      <c r="R29" s="23">
        <f t="shared" si="13"/>
        <v>-4.7619047619047672E-2</v>
      </c>
      <c r="S29" s="23">
        <f t="shared" si="13"/>
        <v>0</v>
      </c>
      <c r="T29" s="23">
        <f t="shared" si="13"/>
        <v>-5.0000000000000044E-2</v>
      </c>
      <c r="U29" s="23">
        <f t="shared" si="13"/>
        <v>5.2631578947368363E-2</v>
      </c>
      <c r="Y29" t="s">
        <v>56</v>
      </c>
    </row>
    <row r="30" spans="1:25" x14ac:dyDescent="0.3">
      <c r="A30" t="s">
        <v>144</v>
      </c>
      <c r="B30">
        <v>21</v>
      </c>
      <c r="C30">
        <v>20</v>
      </c>
      <c r="D30">
        <v>21</v>
      </c>
      <c r="E30">
        <v>19</v>
      </c>
      <c r="F30">
        <v>19</v>
      </c>
      <c r="G30">
        <v>20</v>
      </c>
      <c r="H30">
        <v>19</v>
      </c>
      <c r="I30">
        <v>21</v>
      </c>
      <c r="J30">
        <v>21</v>
      </c>
      <c r="K30">
        <v>21</v>
      </c>
      <c r="L30">
        <v>22</v>
      </c>
      <c r="M30">
        <v>22</v>
      </c>
      <c r="N30">
        <v>22</v>
      </c>
      <c r="O30">
        <v>22</v>
      </c>
      <c r="P30">
        <v>22</v>
      </c>
      <c r="Q30">
        <v>22</v>
      </c>
      <c r="R30">
        <v>21</v>
      </c>
      <c r="S30">
        <v>21</v>
      </c>
      <c r="T30">
        <v>20</v>
      </c>
      <c r="U30">
        <v>19</v>
      </c>
    </row>
    <row r="31" spans="1:25" x14ac:dyDescent="0.3">
      <c r="A31" s="21" t="s">
        <v>79</v>
      </c>
      <c r="C31" s="23">
        <f>IFERROR(C30/B30-1, " ")</f>
        <v>-4.7619047619047672E-2</v>
      </c>
      <c r="D31" s="23">
        <f t="shared" ref="D31" si="14">IFERROR(D30/C30-1, " ")</f>
        <v>5.0000000000000044E-2</v>
      </c>
      <c r="E31" s="23">
        <f t="shared" ref="E31" si="15">IFERROR(E30/D30-1, " ")</f>
        <v>-9.5238095238095233E-2</v>
      </c>
      <c r="F31" s="23">
        <f t="shared" ref="F31" si="16">IFERROR(F30/E30-1, " ")</f>
        <v>0</v>
      </c>
      <c r="G31" s="23">
        <f t="shared" ref="G31" si="17">IFERROR(G30/F30-1, " ")</f>
        <v>5.2631578947368363E-2</v>
      </c>
      <c r="H31" s="23">
        <f t="shared" ref="H31" si="18">IFERROR(H30/G30-1, " ")</f>
        <v>-5.0000000000000044E-2</v>
      </c>
      <c r="I31" s="23">
        <f t="shared" ref="I31" si="19">IFERROR(I30/H30-1, " ")</f>
        <v>0.10526315789473695</v>
      </c>
      <c r="J31" s="23">
        <f t="shared" ref="J31" si="20">IFERROR(J30/I30-1, " ")</f>
        <v>0</v>
      </c>
      <c r="K31" s="23">
        <f t="shared" ref="K31" si="21">IFERROR(K30/J30-1, " ")</f>
        <v>0</v>
      </c>
      <c r="L31" s="23">
        <f t="shared" ref="L31" si="22">IFERROR(L30/K30-1, " ")</f>
        <v>4.7619047619047672E-2</v>
      </c>
      <c r="M31" s="23">
        <f t="shared" ref="M31" si="23">IFERROR(M30/L30-1, " ")</f>
        <v>0</v>
      </c>
      <c r="N31" s="23">
        <f t="shared" ref="N31" si="24">IFERROR(N30/M30-1, " ")</f>
        <v>0</v>
      </c>
      <c r="O31" s="23">
        <f t="shared" ref="O31" si="25">IFERROR(O30/N30-1, " ")</f>
        <v>0</v>
      </c>
      <c r="P31" s="23">
        <f t="shared" ref="P31" si="26">IFERROR(P30/O30-1, " ")</f>
        <v>0</v>
      </c>
      <c r="Q31" s="23">
        <f t="shared" ref="Q31" si="27">IFERROR(Q30/P30-1, " ")</f>
        <v>0</v>
      </c>
      <c r="R31" s="23">
        <f t="shared" ref="R31" si="28">IFERROR(R30/Q30-1, " ")</f>
        <v>-4.5454545454545414E-2</v>
      </c>
      <c r="S31" s="23">
        <f t="shared" ref="S31" si="29">IFERROR(S30/R30-1, " ")</f>
        <v>0</v>
      </c>
      <c r="T31" s="23">
        <f t="shared" ref="T31" si="30">IFERROR(T30/S30-1, " ")</f>
        <v>-4.7619047619047672E-2</v>
      </c>
      <c r="U31" s="23">
        <f t="shared" ref="U31" si="31">IFERROR(U30/T30-1, " ")</f>
        <v>-5.0000000000000044E-2</v>
      </c>
    </row>
    <row r="32" spans="1:25" x14ac:dyDescent="0.3">
      <c r="A32" t="s">
        <v>58</v>
      </c>
      <c r="B32">
        <v>13</v>
      </c>
      <c r="C32">
        <v>14</v>
      </c>
      <c r="D32">
        <v>14</v>
      </c>
      <c r="E32">
        <v>13</v>
      </c>
      <c r="F32">
        <v>13</v>
      </c>
      <c r="G32">
        <v>14</v>
      </c>
      <c r="H32">
        <v>15</v>
      </c>
      <c r="I32">
        <v>15</v>
      </c>
      <c r="J32">
        <v>15</v>
      </c>
      <c r="K32">
        <v>13</v>
      </c>
      <c r="L32">
        <v>12</v>
      </c>
      <c r="M32">
        <v>12</v>
      </c>
      <c r="N32">
        <v>11</v>
      </c>
      <c r="O32">
        <v>11</v>
      </c>
      <c r="P32">
        <v>12</v>
      </c>
      <c r="Q32">
        <v>12</v>
      </c>
      <c r="R32">
        <v>12</v>
      </c>
      <c r="S32">
        <v>14</v>
      </c>
      <c r="T32">
        <v>14</v>
      </c>
      <c r="U32">
        <v>14</v>
      </c>
    </row>
    <row r="33" spans="1:21" x14ac:dyDescent="0.3">
      <c r="A33" s="21" t="s">
        <v>79</v>
      </c>
      <c r="C33" s="23">
        <f>IFERROR(C32/B32-1, " ")</f>
        <v>7.6923076923076872E-2</v>
      </c>
      <c r="D33" s="23">
        <f t="shared" ref="D33" si="32">IFERROR(D32/C32-1, " ")</f>
        <v>0</v>
      </c>
      <c r="E33" s="23">
        <f t="shared" ref="E33" si="33">IFERROR(E32/D32-1, " ")</f>
        <v>-7.1428571428571397E-2</v>
      </c>
      <c r="F33" s="23">
        <f t="shared" ref="F33" si="34">IFERROR(F32/E32-1, " ")</f>
        <v>0</v>
      </c>
      <c r="G33" s="23">
        <f t="shared" ref="G33" si="35">IFERROR(G32/F32-1, " ")</f>
        <v>7.6923076923076872E-2</v>
      </c>
      <c r="H33" s="23">
        <f t="shared" ref="H33" si="36">IFERROR(H32/G32-1, " ")</f>
        <v>7.1428571428571397E-2</v>
      </c>
      <c r="I33" s="23">
        <f t="shared" ref="I33" si="37">IFERROR(I32/H32-1, " ")</f>
        <v>0</v>
      </c>
      <c r="J33" s="23">
        <f t="shared" ref="J33" si="38">IFERROR(J32/I32-1, " ")</f>
        <v>0</v>
      </c>
      <c r="K33" s="23">
        <f t="shared" ref="K33" si="39">IFERROR(K32/J32-1, " ")</f>
        <v>-0.1333333333333333</v>
      </c>
      <c r="L33" s="23">
        <f t="shared" ref="L33" si="40">IFERROR(L32/K32-1, " ")</f>
        <v>-7.6923076923076872E-2</v>
      </c>
      <c r="M33" s="23">
        <f t="shared" ref="M33" si="41">IFERROR(M32/L32-1, " ")</f>
        <v>0</v>
      </c>
      <c r="N33" s="23">
        <f t="shared" ref="N33" si="42">IFERROR(N32/M32-1, " ")</f>
        <v>-8.333333333333337E-2</v>
      </c>
      <c r="O33" s="23">
        <f t="shared" ref="O33" si="43">IFERROR(O32/N32-1, " ")</f>
        <v>0</v>
      </c>
      <c r="P33" s="23">
        <f t="shared" ref="P33" si="44">IFERROR(P32/O32-1, " ")</f>
        <v>9.0909090909090828E-2</v>
      </c>
      <c r="Q33" s="23">
        <f t="shared" ref="Q33" si="45">IFERROR(Q32/P32-1, " ")</f>
        <v>0</v>
      </c>
      <c r="R33" s="23">
        <f t="shared" ref="R33" si="46">IFERROR(R32/Q32-1, " ")</f>
        <v>0</v>
      </c>
      <c r="S33" s="23">
        <f t="shared" ref="S33" si="47">IFERROR(S32/R32-1, " ")</f>
        <v>0.16666666666666674</v>
      </c>
      <c r="T33" s="23">
        <f t="shared" ref="T33" si="48">IFERROR(T32/S32-1, " ")</f>
        <v>0</v>
      </c>
      <c r="U33" s="23">
        <f t="shared" ref="U33" si="49">IFERROR(U32/T32-1, " ")</f>
        <v>0</v>
      </c>
    </row>
    <row r="34" spans="1:21" x14ac:dyDescent="0.3">
      <c r="A34" t="s">
        <v>56</v>
      </c>
      <c r="B34">
        <v>13</v>
      </c>
      <c r="C34">
        <v>13</v>
      </c>
      <c r="D34">
        <v>13</v>
      </c>
      <c r="E34">
        <v>13</v>
      </c>
      <c r="F34">
        <v>11</v>
      </c>
      <c r="G34">
        <v>10</v>
      </c>
      <c r="H34">
        <v>10</v>
      </c>
      <c r="I34">
        <v>11</v>
      </c>
      <c r="J34">
        <v>11</v>
      </c>
      <c r="K34">
        <v>11</v>
      </c>
      <c r="L34">
        <v>11</v>
      </c>
      <c r="M34">
        <v>11</v>
      </c>
      <c r="N34">
        <v>10</v>
      </c>
      <c r="O34">
        <v>10</v>
      </c>
      <c r="P34">
        <v>10</v>
      </c>
      <c r="Q34">
        <v>11</v>
      </c>
      <c r="R34">
        <v>11</v>
      </c>
      <c r="S34">
        <v>11</v>
      </c>
      <c r="T34">
        <v>11</v>
      </c>
      <c r="U34">
        <v>12</v>
      </c>
    </row>
    <row r="35" spans="1:21" x14ac:dyDescent="0.3">
      <c r="A35" s="21" t="s">
        <v>79</v>
      </c>
      <c r="C35" s="23">
        <f>IFERROR(C34/B34-1, " ")</f>
        <v>0</v>
      </c>
      <c r="D35" s="23">
        <f t="shared" ref="D35" si="50">IFERROR(D34/C34-1, " ")</f>
        <v>0</v>
      </c>
      <c r="E35" s="23">
        <f t="shared" ref="E35" si="51">IFERROR(E34/D34-1, " ")</f>
        <v>0</v>
      </c>
      <c r="F35" s="23">
        <f t="shared" ref="F35" si="52">IFERROR(F34/E34-1, " ")</f>
        <v>-0.15384615384615385</v>
      </c>
      <c r="G35" s="23">
        <f t="shared" ref="G35" si="53">IFERROR(G34/F34-1, " ")</f>
        <v>-9.0909090909090939E-2</v>
      </c>
      <c r="H35" s="23">
        <f t="shared" ref="H35" si="54">IFERROR(H34/G34-1, " ")</f>
        <v>0</v>
      </c>
      <c r="I35" s="23">
        <f t="shared" ref="I35" si="55">IFERROR(I34/H34-1, " ")</f>
        <v>0.10000000000000009</v>
      </c>
      <c r="J35" s="23">
        <f t="shared" ref="J35" si="56">IFERROR(J34/I34-1, " ")</f>
        <v>0</v>
      </c>
      <c r="K35" s="23">
        <f t="shared" ref="K35" si="57">IFERROR(K34/J34-1, " ")</f>
        <v>0</v>
      </c>
      <c r="L35" s="23">
        <f t="shared" ref="L35" si="58">IFERROR(L34/K34-1, " ")</f>
        <v>0</v>
      </c>
      <c r="M35" s="23">
        <f t="shared" ref="M35" si="59">IFERROR(M34/L34-1, " ")</f>
        <v>0</v>
      </c>
      <c r="N35" s="23">
        <f t="shared" ref="N35" si="60">IFERROR(N34/M34-1, " ")</f>
        <v>-9.0909090909090939E-2</v>
      </c>
      <c r="O35" s="23">
        <f t="shared" ref="O35" si="61">IFERROR(O34/N34-1, " ")</f>
        <v>0</v>
      </c>
      <c r="P35" s="23">
        <f t="shared" ref="P35" si="62">IFERROR(P34/O34-1, " ")</f>
        <v>0</v>
      </c>
      <c r="Q35" s="23">
        <f t="shared" ref="Q35" si="63">IFERROR(Q34/P34-1, " ")</f>
        <v>0.10000000000000009</v>
      </c>
      <c r="R35" s="23">
        <f t="shared" ref="R35" si="64">IFERROR(R34/Q34-1, " ")</f>
        <v>0</v>
      </c>
      <c r="S35" s="23">
        <f t="shared" ref="S35" si="65">IFERROR(S34/R34-1, " ")</f>
        <v>0</v>
      </c>
      <c r="T35" s="23">
        <f t="shared" ref="T35" si="66">IFERROR(T34/S34-1, " ")</f>
        <v>0</v>
      </c>
      <c r="U35" s="23">
        <f t="shared" ref="U35" si="67">IFERROR(U34/T34-1, " ")</f>
        <v>9.0909090909090828E-2</v>
      </c>
    </row>
    <row r="36" spans="1:21" x14ac:dyDescent="0.3">
      <c r="A36" t="s">
        <v>60</v>
      </c>
      <c r="B36">
        <v>8</v>
      </c>
      <c r="C36">
        <v>9</v>
      </c>
      <c r="D36">
        <v>10</v>
      </c>
      <c r="E36">
        <v>12</v>
      </c>
      <c r="F36">
        <v>14</v>
      </c>
      <c r="G36">
        <v>15</v>
      </c>
      <c r="H36">
        <v>15</v>
      </c>
      <c r="I36">
        <v>14</v>
      </c>
      <c r="J36">
        <v>14</v>
      </c>
      <c r="K36">
        <v>15</v>
      </c>
      <c r="L36">
        <v>15</v>
      </c>
      <c r="M36">
        <v>15</v>
      </c>
      <c r="N36">
        <v>14</v>
      </c>
      <c r="O36">
        <v>14</v>
      </c>
      <c r="P36">
        <v>13</v>
      </c>
      <c r="Q36">
        <v>13</v>
      </c>
      <c r="R36">
        <v>12</v>
      </c>
      <c r="S36">
        <v>12</v>
      </c>
      <c r="T36">
        <v>13</v>
      </c>
      <c r="U36">
        <v>13</v>
      </c>
    </row>
    <row r="37" spans="1:21" x14ac:dyDescent="0.3">
      <c r="A37" s="21" t="s">
        <v>79</v>
      </c>
      <c r="C37" s="23">
        <f>IFERROR(C36/B36-1, " ")</f>
        <v>0.125</v>
      </c>
      <c r="D37" s="23">
        <f t="shared" ref="D37" si="68">IFERROR(D36/C36-1, " ")</f>
        <v>0.11111111111111116</v>
      </c>
      <c r="E37" s="23">
        <f t="shared" ref="E37" si="69">IFERROR(E36/D36-1, " ")</f>
        <v>0.19999999999999996</v>
      </c>
      <c r="F37" s="23">
        <f t="shared" ref="F37" si="70">IFERROR(F36/E36-1, " ")</f>
        <v>0.16666666666666674</v>
      </c>
      <c r="G37" s="23">
        <f t="shared" ref="G37" si="71">IFERROR(G36/F36-1, " ")</f>
        <v>7.1428571428571397E-2</v>
      </c>
      <c r="H37" s="23">
        <f t="shared" ref="H37" si="72">IFERROR(H36/G36-1, " ")</f>
        <v>0</v>
      </c>
      <c r="I37" s="23">
        <f t="shared" ref="I37" si="73">IFERROR(I36/H36-1, " ")</f>
        <v>-6.6666666666666652E-2</v>
      </c>
      <c r="J37" s="23">
        <f t="shared" ref="J37" si="74">IFERROR(J36/I36-1, " ")</f>
        <v>0</v>
      </c>
      <c r="K37" s="23">
        <f t="shared" ref="K37" si="75">IFERROR(K36/J36-1, " ")</f>
        <v>7.1428571428571397E-2</v>
      </c>
      <c r="L37" s="23">
        <f t="shared" ref="L37" si="76">IFERROR(L36/K36-1, " ")</f>
        <v>0</v>
      </c>
      <c r="M37" s="23">
        <f t="shared" ref="M37" si="77">IFERROR(M36/L36-1, " ")</f>
        <v>0</v>
      </c>
      <c r="N37" s="23">
        <f t="shared" ref="N37" si="78">IFERROR(N36/M36-1, " ")</f>
        <v>-6.6666666666666652E-2</v>
      </c>
      <c r="O37" s="23">
        <f t="shared" ref="O37" si="79">IFERROR(O36/N36-1, " ")</f>
        <v>0</v>
      </c>
      <c r="P37" s="23">
        <f t="shared" ref="P37" si="80">IFERROR(P36/O36-1, " ")</f>
        <v>-7.1428571428571397E-2</v>
      </c>
      <c r="Q37" s="23">
        <f t="shared" ref="Q37" si="81">IFERROR(Q36/P36-1, " ")</f>
        <v>0</v>
      </c>
      <c r="R37" s="23">
        <f t="shared" ref="R37" si="82">IFERROR(R36/Q36-1, " ")</f>
        <v>-7.6923076923076872E-2</v>
      </c>
      <c r="S37" s="23">
        <f t="shared" ref="S37" si="83">IFERROR(S36/R36-1, " ")</f>
        <v>0</v>
      </c>
      <c r="T37" s="23">
        <f t="shared" ref="T37" si="84">IFERROR(T36/S36-1, " ")</f>
        <v>8.3333333333333259E-2</v>
      </c>
      <c r="U37" s="23">
        <f t="shared" ref="U37" si="85">IFERROR(U36/T36-1, " ")</f>
        <v>0</v>
      </c>
    </row>
    <row r="38" spans="1:21" x14ac:dyDescent="0.3">
      <c r="A38" t="s">
        <v>145</v>
      </c>
      <c r="E38">
        <v>2</v>
      </c>
      <c r="F38">
        <v>3</v>
      </c>
      <c r="G38">
        <v>4</v>
      </c>
      <c r="H38">
        <v>4</v>
      </c>
      <c r="I38">
        <v>5</v>
      </c>
      <c r="J38">
        <v>7</v>
      </c>
      <c r="K38">
        <v>7</v>
      </c>
      <c r="L38">
        <v>8</v>
      </c>
      <c r="M38">
        <v>8</v>
      </c>
      <c r="N38">
        <v>8</v>
      </c>
      <c r="O38">
        <v>9</v>
      </c>
      <c r="P38">
        <v>9</v>
      </c>
      <c r="Q38">
        <v>9</v>
      </c>
      <c r="R38">
        <v>8</v>
      </c>
      <c r="S38">
        <v>7</v>
      </c>
      <c r="T38">
        <v>6</v>
      </c>
      <c r="U38">
        <v>5</v>
      </c>
    </row>
    <row r="39" spans="1:21" x14ac:dyDescent="0.3">
      <c r="A39" s="21" t="s">
        <v>79</v>
      </c>
      <c r="C39" s="23" t="str">
        <f>IFERROR(C38/B38-1, " ")</f>
        <v xml:space="preserve"> </v>
      </c>
      <c r="D39" s="23" t="str">
        <f t="shared" ref="D39" si="86">IFERROR(D38/C38-1, " ")</f>
        <v xml:space="preserve"> </v>
      </c>
      <c r="E39" s="23" t="str">
        <f t="shared" ref="E39" si="87">IFERROR(E38/D38-1, " ")</f>
        <v xml:space="preserve"> </v>
      </c>
      <c r="F39" s="23">
        <f t="shared" ref="F39" si="88">IFERROR(F38/E38-1, " ")</f>
        <v>0.5</v>
      </c>
      <c r="G39" s="23">
        <f t="shared" ref="G39" si="89">IFERROR(G38/F38-1, " ")</f>
        <v>0.33333333333333326</v>
      </c>
      <c r="H39" s="23">
        <f t="shared" ref="H39" si="90">IFERROR(H38/G38-1, " ")</f>
        <v>0</v>
      </c>
      <c r="I39" s="23">
        <f t="shared" ref="I39" si="91">IFERROR(I38/H38-1, " ")</f>
        <v>0.25</v>
      </c>
      <c r="J39" s="23">
        <f t="shared" ref="J39" si="92">IFERROR(J38/I38-1, " ")</f>
        <v>0.39999999999999991</v>
      </c>
      <c r="K39" s="23">
        <f t="shared" ref="K39" si="93">IFERROR(K38/J38-1, " ")</f>
        <v>0</v>
      </c>
      <c r="L39" s="23">
        <f t="shared" ref="L39" si="94">IFERROR(L38/K38-1, " ")</f>
        <v>0.14285714285714279</v>
      </c>
      <c r="M39" s="23">
        <f t="shared" ref="M39" si="95">IFERROR(M38/L38-1, " ")</f>
        <v>0</v>
      </c>
      <c r="N39" s="23">
        <f t="shared" ref="N39" si="96">IFERROR(N38/M38-1, " ")</f>
        <v>0</v>
      </c>
      <c r="O39" s="23">
        <f t="shared" ref="O39" si="97">IFERROR(O38/N38-1, " ")</f>
        <v>0.125</v>
      </c>
      <c r="P39" s="23">
        <f t="shared" ref="P39" si="98">IFERROR(P38/O38-1, " ")</f>
        <v>0</v>
      </c>
      <c r="Q39" s="23">
        <f t="shared" ref="Q39" si="99">IFERROR(Q38/P38-1, " ")</f>
        <v>0</v>
      </c>
      <c r="R39" s="23">
        <f t="shared" ref="R39" si="100">IFERROR(R38/Q38-1, " ")</f>
        <v>-0.11111111111111116</v>
      </c>
      <c r="S39" s="23">
        <f t="shared" ref="S39" si="101">IFERROR(S38/R38-1, " ")</f>
        <v>-0.125</v>
      </c>
      <c r="T39" s="23">
        <f t="shared" ref="T39" si="102">IFERROR(T38/S38-1, " ")</f>
        <v>-0.1428571428571429</v>
      </c>
      <c r="U39" s="23">
        <f t="shared" ref="U39" si="103">IFERROR(U38/T38-1, " ")</f>
        <v>-0.16666666666666663</v>
      </c>
    </row>
    <row r="40" spans="1:21" x14ac:dyDescent="0.3">
      <c r="A40" t="s">
        <v>146</v>
      </c>
      <c r="B40">
        <v>3</v>
      </c>
      <c r="C40">
        <v>3</v>
      </c>
      <c r="D40">
        <v>4</v>
      </c>
      <c r="E40">
        <v>5</v>
      </c>
      <c r="F40">
        <v>5</v>
      </c>
      <c r="G40">
        <v>6</v>
      </c>
      <c r="H40">
        <v>7</v>
      </c>
      <c r="I40">
        <v>6</v>
      </c>
      <c r="J40">
        <v>6</v>
      </c>
      <c r="K40">
        <v>6</v>
      </c>
      <c r="L40">
        <v>7</v>
      </c>
      <c r="M40">
        <v>7</v>
      </c>
      <c r="N40">
        <v>8</v>
      </c>
      <c r="O40">
        <v>9</v>
      </c>
      <c r="P40">
        <v>8</v>
      </c>
      <c r="Q40">
        <v>7</v>
      </c>
      <c r="R40">
        <v>7</v>
      </c>
      <c r="S40">
        <v>8</v>
      </c>
      <c r="T40">
        <v>8</v>
      </c>
      <c r="U40">
        <v>9</v>
      </c>
    </row>
    <row r="41" spans="1:21" x14ac:dyDescent="0.3">
      <c r="A41" s="21" t="s">
        <v>79</v>
      </c>
      <c r="C41" s="23">
        <f>IFERROR(C40/B40-1, " ")</f>
        <v>0</v>
      </c>
      <c r="D41" s="23">
        <f t="shared" ref="D41" si="104">IFERROR(D40/C40-1, " ")</f>
        <v>0.33333333333333326</v>
      </c>
      <c r="E41" s="23">
        <f t="shared" ref="E41" si="105">IFERROR(E40/D40-1, " ")</f>
        <v>0.25</v>
      </c>
      <c r="F41" s="23">
        <f t="shared" ref="F41" si="106">IFERROR(F40/E40-1, " ")</f>
        <v>0</v>
      </c>
      <c r="G41" s="23">
        <f t="shared" ref="G41" si="107">IFERROR(G40/F40-1, " ")</f>
        <v>0.19999999999999996</v>
      </c>
      <c r="H41" s="23">
        <f t="shared" ref="H41" si="108">IFERROR(H40/G40-1, " ")</f>
        <v>0.16666666666666674</v>
      </c>
      <c r="I41" s="23">
        <f t="shared" ref="I41" si="109">IFERROR(I40/H40-1, " ")</f>
        <v>-0.1428571428571429</v>
      </c>
      <c r="J41" s="23">
        <f t="shared" ref="J41" si="110">IFERROR(J40/I40-1, " ")</f>
        <v>0</v>
      </c>
      <c r="K41" s="23">
        <f t="shared" ref="K41" si="111">IFERROR(K40/J40-1, " ")</f>
        <v>0</v>
      </c>
      <c r="L41" s="23">
        <f t="shared" ref="L41" si="112">IFERROR(L40/K40-1, " ")</f>
        <v>0.16666666666666674</v>
      </c>
      <c r="M41" s="23">
        <f t="shared" ref="M41" si="113">IFERROR(M40/L40-1, " ")</f>
        <v>0</v>
      </c>
      <c r="N41" s="23">
        <f t="shared" ref="N41" si="114">IFERROR(N40/M40-1, " ")</f>
        <v>0.14285714285714279</v>
      </c>
      <c r="O41" s="23">
        <f t="shared" ref="O41" si="115">IFERROR(O40/N40-1, " ")</f>
        <v>0.125</v>
      </c>
      <c r="P41" s="23">
        <f t="shared" ref="P41" si="116">IFERROR(P40/O40-1, " ")</f>
        <v>-0.11111111111111116</v>
      </c>
      <c r="Q41" s="23">
        <f t="shared" ref="Q41" si="117">IFERROR(Q40/P40-1, " ")</f>
        <v>-0.125</v>
      </c>
      <c r="R41" s="23">
        <f t="shared" ref="R41" si="118">IFERROR(R40/Q40-1, " ")</f>
        <v>0</v>
      </c>
      <c r="S41" s="23">
        <f t="shared" ref="S41" si="119">IFERROR(S40/R40-1, " ")</f>
        <v>0.14285714285714279</v>
      </c>
      <c r="T41" s="23">
        <f t="shared" ref="T41" si="120">IFERROR(T40/S40-1, " ")</f>
        <v>0</v>
      </c>
      <c r="U41" s="23">
        <f t="shared" ref="U41" si="121">IFERROR(U40/T40-1, " ")</f>
        <v>0.125</v>
      </c>
    </row>
  </sheetData>
  <hyperlinks>
    <hyperlink ref="X5" r:id="rId1" xr:uid="{A0B52C91-164B-41DD-B680-1A894D54B79D}"/>
    <hyperlink ref="X14" r:id="rId2" xr:uid="{405CCEEC-3CEC-4DDE-BEEB-1FB4B8FF48C3}"/>
    <hyperlink ref="X13" r:id="rId3" xr:uid="{ADCF943A-6E6C-4233-8872-88EE7A1B5850}"/>
    <hyperlink ref="X12" r:id="rId4" xr:uid="{5E3642C1-358F-42F8-9145-B192B13F3AD4}"/>
    <hyperlink ref="X10" r:id="rId5" xr:uid="{A82D645F-B9C3-4E35-BAB1-B511C8C39F12}"/>
    <hyperlink ref="X15" r:id="rId6" xr:uid="{5A02C481-CE44-4031-847B-5006D633624A}"/>
    <hyperlink ref="X16" r:id="rId7" xr:uid="{6E0041B5-EC8D-470F-8D13-3E7FA63C92CB}"/>
    <hyperlink ref="X11" r:id="rId8" xr:uid="{F6B07C0F-4EB8-40FD-B689-51F2548A1ECD}"/>
    <hyperlink ref="X17" r:id="rId9" xr:uid="{FB23AB84-1DBE-4D33-BA54-86E98C829A2C}"/>
    <hyperlink ref="X28" r:id="rId10" xr:uid="{57271BF4-8B4B-474B-991C-2CF3D8A06B11}"/>
  </hyperlinks>
  <pageMargins left="0.7" right="0.7" top="0.75" bottom="0.75" header="0.3" footer="0.3"/>
  <legacy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E48D-271C-437C-846A-E4849E85E392}">
  <dimension ref="A1:B7"/>
  <sheetViews>
    <sheetView workbookViewId="0">
      <selection activeCell="A3" sqref="A3"/>
    </sheetView>
  </sheetViews>
  <sheetFormatPr defaultRowHeight="14.4" x14ac:dyDescent="0.3"/>
  <sheetData>
    <row r="1" spans="1:2" x14ac:dyDescent="0.3">
      <c r="A1" s="10" t="s">
        <v>26</v>
      </c>
    </row>
    <row r="2" spans="1:2" x14ac:dyDescent="0.3">
      <c r="A2" s="1" t="s">
        <v>31</v>
      </c>
      <c r="B2" t="s">
        <v>32</v>
      </c>
    </row>
    <row r="3" spans="1:2" x14ac:dyDescent="0.3">
      <c r="A3" s="1" t="s">
        <v>33</v>
      </c>
      <c r="B3" t="s">
        <v>34</v>
      </c>
    </row>
    <row r="5" spans="1:2" x14ac:dyDescent="0.3">
      <c r="B5" t="s">
        <v>62</v>
      </c>
    </row>
    <row r="6" spans="1:2" x14ac:dyDescent="0.3">
      <c r="A6" s="1"/>
      <c r="B6" t="s">
        <v>63</v>
      </c>
    </row>
    <row r="7" spans="1:2" x14ac:dyDescent="0.3">
      <c r="B7" t="s">
        <v>64</v>
      </c>
    </row>
  </sheetData>
  <hyperlinks>
    <hyperlink ref="A2" r:id="rId1" xr:uid="{C15C6568-A69E-429A-80F4-75ED7FB869BE}"/>
    <hyperlink ref="A3" r:id="rId2" xr:uid="{6360BAFA-83C7-4204-BF72-F8D3CBA38108}"/>
  </hyperlinks>
  <pageMargins left="0.7" right="0.7" top="0.75" bottom="0.75" header="0.3" footer="0.3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1EDC-649C-4651-B3CC-3E902440B42B}">
  <dimension ref="A1:R51"/>
  <sheetViews>
    <sheetView tabSelected="1" zoomScale="70" zoomScaleNormal="70" workbookViewId="0">
      <selection activeCell="C8" sqref="C8"/>
    </sheetView>
  </sheetViews>
  <sheetFormatPr defaultRowHeight="14.4" x14ac:dyDescent="0.3"/>
  <cols>
    <col min="1" max="1" width="18.21875" customWidth="1"/>
    <col min="2" max="2" width="8.88671875" customWidth="1"/>
    <col min="3" max="4" width="11.21875" bestFit="1" customWidth="1"/>
    <col min="5" max="5" width="12.5546875" bestFit="1" customWidth="1"/>
    <col min="6" max="7" width="11.21875" bestFit="1" customWidth="1"/>
    <col min="8" max="8" width="14.109375" customWidth="1"/>
    <col min="9" max="9" width="11.109375" bestFit="1" customWidth="1"/>
  </cols>
  <sheetData>
    <row r="1" spans="1:13" x14ac:dyDescent="0.3">
      <c r="A1" s="10" t="s">
        <v>27</v>
      </c>
    </row>
    <row r="4" spans="1:13" x14ac:dyDescent="0.3">
      <c r="A4" s="10" t="s">
        <v>150</v>
      </c>
      <c r="L4" s="10" t="s">
        <v>72</v>
      </c>
    </row>
    <row r="5" spans="1:13" x14ac:dyDescent="0.3">
      <c r="B5" s="13">
        <v>2017</v>
      </c>
      <c r="C5" s="13">
        <f>B5+1</f>
        <v>2018</v>
      </c>
      <c r="D5" s="13">
        <f t="shared" ref="D5:G5" si="0">C5+1</f>
        <v>2019</v>
      </c>
      <c r="E5" s="13">
        <f t="shared" si="0"/>
        <v>2020</v>
      </c>
      <c r="F5" s="13">
        <f t="shared" si="0"/>
        <v>2021</v>
      </c>
      <c r="G5" s="13">
        <f t="shared" si="0"/>
        <v>2022</v>
      </c>
      <c r="L5" s="1" t="s">
        <v>37</v>
      </c>
      <c r="M5" t="s">
        <v>38</v>
      </c>
    </row>
    <row r="6" spans="1:13" x14ac:dyDescent="0.3">
      <c r="A6" t="s">
        <v>148</v>
      </c>
      <c r="B6">
        <v>3.5</v>
      </c>
      <c r="C6">
        <v>2.6</v>
      </c>
      <c r="D6">
        <v>2.8</v>
      </c>
      <c r="E6">
        <v>2.9</v>
      </c>
      <c r="F6">
        <v>2.6</v>
      </c>
      <c r="G6">
        <v>2.7</v>
      </c>
    </row>
    <row r="7" spans="1:13" x14ac:dyDescent="0.3">
      <c r="A7" s="21" t="s">
        <v>79</v>
      </c>
      <c r="C7" s="23">
        <f>IFERROR(C6/B6-1, " ")</f>
        <v>-0.25714285714285712</v>
      </c>
      <c r="D7" s="23">
        <f t="shared" ref="D7:G7" si="1">IFERROR(D6/C6-1, " ")</f>
        <v>7.6923076923076872E-2</v>
      </c>
      <c r="E7" s="23">
        <f t="shared" si="1"/>
        <v>3.5714285714285809E-2</v>
      </c>
      <c r="F7" s="23">
        <f t="shared" si="1"/>
        <v>-0.10344827586206895</v>
      </c>
      <c r="G7" s="23">
        <f t="shared" si="1"/>
        <v>3.8461538461538547E-2</v>
      </c>
    </row>
    <row r="8" spans="1:13" x14ac:dyDescent="0.3">
      <c r="A8" t="s">
        <v>149</v>
      </c>
      <c r="B8">
        <v>3.2</v>
      </c>
      <c r="C8">
        <v>3.2</v>
      </c>
      <c r="D8">
        <v>3.9</v>
      </c>
      <c r="E8">
        <v>4.3</v>
      </c>
      <c r="F8">
        <v>4.5</v>
      </c>
      <c r="G8">
        <v>4.8</v>
      </c>
    </row>
    <row r="9" spans="1:13" x14ac:dyDescent="0.3">
      <c r="A9" s="21" t="s">
        <v>79</v>
      </c>
      <c r="C9" s="23">
        <f>IFERROR(C8/B8-1, " ")</f>
        <v>0</v>
      </c>
      <c r="D9" s="23">
        <f t="shared" ref="D9:G9" si="2">IFERROR(D8/C8-1, " ")</f>
        <v>0.21875</v>
      </c>
      <c r="E9" s="23">
        <f t="shared" si="2"/>
        <v>0.10256410256410264</v>
      </c>
      <c r="F9" s="23">
        <f t="shared" si="2"/>
        <v>4.6511627906976827E-2</v>
      </c>
      <c r="G9" s="23">
        <f t="shared" si="2"/>
        <v>6.6666666666666652E-2</v>
      </c>
    </row>
    <row r="10" spans="1:13" x14ac:dyDescent="0.3">
      <c r="A10" t="s">
        <v>69</v>
      </c>
      <c r="B10">
        <f>B8+B6</f>
        <v>6.7</v>
      </c>
      <c r="C10">
        <f t="shared" ref="C10:G10" si="3">C8+C6</f>
        <v>5.8000000000000007</v>
      </c>
      <c r="D10">
        <f t="shared" si="3"/>
        <v>6.6999999999999993</v>
      </c>
      <c r="E10">
        <f t="shared" si="3"/>
        <v>7.1999999999999993</v>
      </c>
      <c r="F10">
        <f t="shared" si="3"/>
        <v>7.1</v>
      </c>
      <c r="G10">
        <f t="shared" si="3"/>
        <v>7.5</v>
      </c>
    </row>
    <row r="11" spans="1:13" x14ac:dyDescent="0.3">
      <c r="A11" s="21" t="s">
        <v>79</v>
      </c>
      <c r="C11" s="23">
        <f>IFERROR(C10/B10-1, " ")</f>
        <v>-0.13432835820895517</v>
      </c>
      <c r="D11" s="23">
        <f t="shared" ref="D11:G11" si="4">IFERROR(D10/C10-1, " ")</f>
        <v>0.1551724137931032</v>
      </c>
      <c r="E11" s="23">
        <f t="shared" si="4"/>
        <v>7.4626865671641784E-2</v>
      </c>
      <c r="F11" s="23">
        <f t="shared" si="4"/>
        <v>-1.388888888888884E-2</v>
      </c>
      <c r="G11" s="23">
        <f t="shared" si="4"/>
        <v>5.6338028169014231E-2</v>
      </c>
    </row>
    <row r="14" spans="1:13" x14ac:dyDescent="0.3">
      <c r="A14" s="2" t="s">
        <v>160</v>
      </c>
    </row>
    <row r="15" spans="1:13" x14ac:dyDescent="0.3">
      <c r="B15" s="13">
        <v>2019</v>
      </c>
      <c r="C15" s="13">
        <v>2020</v>
      </c>
      <c r="D15" s="13">
        <v>2021</v>
      </c>
      <c r="E15" s="13">
        <v>2022</v>
      </c>
      <c r="H15" s="2"/>
      <c r="I15" s="2"/>
      <c r="J15" s="6"/>
      <c r="K15" s="5"/>
      <c r="L15" s="10" t="s">
        <v>72</v>
      </c>
    </row>
    <row r="16" spans="1:13" ht="28.8" x14ac:dyDescent="0.3">
      <c r="A16" s="6" t="s">
        <v>151</v>
      </c>
      <c r="B16" s="39">
        <v>61000</v>
      </c>
      <c r="C16" s="39">
        <v>86000</v>
      </c>
      <c r="D16" s="39">
        <v>102000</v>
      </c>
      <c r="E16" s="39">
        <v>104000</v>
      </c>
      <c r="G16" s="3"/>
      <c r="H16" s="6"/>
      <c r="I16" s="3"/>
      <c r="J16" s="3"/>
      <c r="K16" s="3"/>
      <c r="L16" s="1" t="s">
        <v>35</v>
      </c>
      <c r="M16" t="s">
        <v>36</v>
      </c>
    </row>
    <row r="17" spans="1:18" x14ac:dyDescent="0.3">
      <c r="A17" s="21" t="s">
        <v>79</v>
      </c>
      <c r="B17" s="39"/>
      <c r="C17" s="23">
        <f t="shared" ref="C17:E17" si="5">IFERROR(C16/B16-1, " ")</f>
        <v>0.4098360655737705</v>
      </c>
      <c r="D17" s="23">
        <f t="shared" si="5"/>
        <v>0.18604651162790709</v>
      </c>
      <c r="E17" s="23">
        <f t="shared" si="5"/>
        <v>1.9607843137254832E-2</v>
      </c>
      <c r="G17" s="3"/>
      <c r="H17" s="6"/>
      <c r="I17" s="3"/>
      <c r="J17" s="3"/>
      <c r="K17" s="3"/>
      <c r="L17" s="1"/>
    </row>
    <row r="18" spans="1:18" ht="28.8" x14ac:dyDescent="0.3">
      <c r="A18" s="6" t="s">
        <v>152</v>
      </c>
      <c r="B18" s="39">
        <f>B20+B22+B24+B26+B28+B30</f>
        <v>414000</v>
      </c>
      <c r="C18" s="39">
        <f t="shared" ref="C18:E18" si="6">C20+C22+C24+C26+C28+C30</f>
        <v>510000</v>
      </c>
      <c r="D18" s="39">
        <f t="shared" si="6"/>
        <v>678000</v>
      </c>
      <c r="E18" s="39">
        <f t="shared" si="6"/>
        <v>910000</v>
      </c>
      <c r="H18" s="5"/>
      <c r="I18" s="3"/>
      <c r="J18" s="3"/>
      <c r="K18" s="3"/>
      <c r="L18" s="3"/>
      <c r="M18" s="3"/>
      <c r="N18" s="5"/>
      <c r="O18" s="5"/>
      <c r="P18" s="5"/>
      <c r="Q18" s="6"/>
      <c r="R18" s="6"/>
    </row>
    <row r="19" spans="1:18" x14ac:dyDescent="0.3">
      <c r="A19" s="21" t="s">
        <v>79</v>
      </c>
      <c r="B19" s="39"/>
      <c r="C19" s="23">
        <f t="shared" ref="C19:E19" si="7">IFERROR(C18/B18-1, " ")</f>
        <v>0.23188405797101441</v>
      </c>
      <c r="D19" s="23">
        <f t="shared" si="7"/>
        <v>0.32941176470588229</v>
      </c>
      <c r="E19" s="23">
        <f t="shared" si="7"/>
        <v>0.34218289085545717</v>
      </c>
      <c r="H19" s="5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5" t="s">
        <v>153</v>
      </c>
      <c r="B20" s="39">
        <v>268000</v>
      </c>
      <c r="C20" s="39">
        <v>383000</v>
      </c>
      <c r="D20" s="39">
        <v>471000</v>
      </c>
      <c r="E20" s="39">
        <v>621000</v>
      </c>
      <c r="H20" s="5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21" t="s">
        <v>79</v>
      </c>
      <c r="B21" s="39"/>
      <c r="C21" s="23">
        <f t="shared" ref="C21:E21" si="8">IFERROR(C20/B20-1, " ")</f>
        <v>0.42910447761194037</v>
      </c>
      <c r="D21" s="23">
        <f t="shared" si="8"/>
        <v>0.22976501305483032</v>
      </c>
      <c r="E21" s="23">
        <f t="shared" si="8"/>
        <v>0.31847133757961776</v>
      </c>
      <c r="H21" s="5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5" t="s">
        <v>154</v>
      </c>
      <c r="B22" s="39">
        <v>57000</v>
      </c>
      <c r="C22" s="39">
        <v>38000</v>
      </c>
      <c r="D22" s="39">
        <v>56000</v>
      </c>
      <c r="E22" s="39">
        <v>102000</v>
      </c>
      <c r="H22" s="5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21" t="s">
        <v>79</v>
      </c>
      <c r="B23" s="39"/>
      <c r="C23" s="23">
        <f t="shared" ref="C23:E23" si="9">IFERROR(C22/B22-1, " ")</f>
        <v>-0.33333333333333337</v>
      </c>
      <c r="D23" s="23">
        <f t="shared" si="9"/>
        <v>0.47368421052631571</v>
      </c>
      <c r="E23" s="23">
        <f t="shared" si="9"/>
        <v>0.8214285714285714</v>
      </c>
      <c r="H23" s="5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ht="28.8" x14ac:dyDescent="0.3">
      <c r="A24" s="5" t="s">
        <v>155</v>
      </c>
      <c r="B24" s="39">
        <v>31000</v>
      </c>
      <c r="C24" s="39">
        <v>36000</v>
      </c>
      <c r="D24" s="39">
        <v>66000</v>
      </c>
      <c r="E24" s="39">
        <v>77000</v>
      </c>
      <c r="H24" s="5"/>
      <c r="I24" s="3"/>
      <c r="J24" s="3"/>
      <c r="K24" s="3"/>
      <c r="L24" s="3"/>
      <c r="N24" s="3"/>
      <c r="O24" s="3"/>
      <c r="P24" s="3"/>
      <c r="Q24" s="3"/>
      <c r="R24" s="3"/>
    </row>
    <row r="25" spans="1:18" x14ac:dyDescent="0.3">
      <c r="A25" s="21" t="s">
        <v>79</v>
      </c>
      <c r="B25" s="39"/>
      <c r="C25" s="23">
        <f t="shared" ref="C25:E25" si="10">IFERROR(C24/B24-1, " ")</f>
        <v>0.16129032258064524</v>
      </c>
      <c r="D25" s="23">
        <f t="shared" si="10"/>
        <v>0.83333333333333326</v>
      </c>
      <c r="E25" s="23">
        <f t="shared" si="10"/>
        <v>0.16666666666666674</v>
      </c>
      <c r="H25" s="5"/>
      <c r="I25" s="3"/>
      <c r="J25" s="3"/>
      <c r="K25" s="3"/>
      <c r="L25" s="3"/>
      <c r="N25" s="3"/>
      <c r="O25" s="3"/>
      <c r="P25" s="3"/>
      <c r="Q25" s="3"/>
      <c r="R25" s="3"/>
    </row>
    <row r="26" spans="1:18" x14ac:dyDescent="0.3">
      <c r="A26" s="5" t="s">
        <v>156</v>
      </c>
      <c r="B26" s="39">
        <v>14000</v>
      </c>
      <c r="C26" s="39">
        <v>22000</v>
      </c>
      <c r="D26" s="39">
        <v>43000</v>
      </c>
      <c r="E26" s="39">
        <v>52000</v>
      </c>
      <c r="H26" s="5"/>
      <c r="I26" s="3"/>
      <c r="J26" s="3"/>
      <c r="K26" s="3"/>
      <c r="L26" s="3"/>
      <c r="N26" s="3"/>
      <c r="O26" s="3"/>
      <c r="P26" s="3"/>
      <c r="Q26" s="3"/>
      <c r="R26" s="3"/>
    </row>
    <row r="27" spans="1:18" x14ac:dyDescent="0.3">
      <c r="A27" s="21" t="s">
        <v>79</v>
      </c>
      <c r="B27" s="39"/>
      <c r="C27" s="23">
        <f t="shared" ref="C27:E27" si="11">IFERROR(C26/B26-1, " ")</f>
        <v>0.5714285714285714</v>
      </c>
      <c r="D27" s="23">
        <f t="shared" si="11"/>
        <v>0.95454545454545459</v>
      </c>
      <c r="E27" s="23">
        <f t="shared" si="11"/>
        <v>0.20930232558139528</v>
      </c>
      <c r="H27" s="5"/>
      <c r="I27" s="3"/>
      <c r="J27" s="3"/>
      <c r="K27" s="3"/>
      <c r="L27" s="3"/>
    </row>
    <row r="28" spans="1:18" x14ac:dyDescent="0.3">
      <c r="A28" s="5" t="s">
        <v>157</v>
      </c>
      <c r="B28" s="39">
        <v>40000</v>
      </c>
      <c r="C28" s="39">
        <v>26000</v>
      </c>
      <c r="D28" s="39">
        <v>33000</v>
      </c>
      <c r="E28" s="39">
        <v>48000</v>
      </c>
      <c r="H28" s="5"/>
      <c r="I28" s="3"/>
      <c r="J28" s="3"/>
      <c r="K28" s="3"/>
      <c r="L28" s="3"/>
    </row>
    <row r="29" spans="1:18" x14ac:dyDescent="0.3">
      <c r="A29" s="21" t="s">
        <v>79</v>
      </c>
      <c r="B29" s="39"/>
      <c r="C29" s="23">
        <f t="shared" ref="C29:E29" si="12">IFERROR(C28/B28-1, " ")</f>
        <v>-0.35</v>
      </c>
      <c r="D29" s="23">
        <f t="shared" si="12"/>
        <v>0.26923076923076916</v>
      </c>
      <c r="E29" s="23">
        <f t="shared" si="12"/>
        <v>0.45454545454545459</v>
      </c>
      <c r="H29" s="5"/>
      <c r="I29" s="3"/>
      <c r="J29" s="3"/>
      <c r="K29" s="3"/>
      <c r="L29" s="3"/>
    </row>
    <row r="30" spans="1:18" x14ac:dyDescent="0.3">
      <c r="A30" s="5" t="s">
        <v>158</v>
      </c>
      <c r="B30" s="39">
        <v>4000</v>
      </c>
      <c r="C30" s="39">
        <v>5000</v>
      </c>
      <c r="D30" s="39">
        <v>9000</v>
      </c>
      <c r="E30" s="39">
        <v>10000</v>
      </c>
      <c r="H30" s="6"/>
      <c r="I30" s="3"/>
      <c r="J30" s="3"/>
      <c r="K30" s="3"/>
      <c r="L30" s="3"/>
    </row>
    <row r="31" spans="1:18" x14ac:dyDescent="0.3">
      <c r="A31" s="21" t="s">
        <v>79</v>
      </c>
      <c r="B31" s="39"/>
      <c r="C31" s="23">
        <f t="shared" ref="C31:E31" si="13">IFERROR(C30/B30-1, " ")</f>
        <v>0.25</v>
      </c>
      <c r="D31" s="23">
        <f t="shared" si="13"/>
        <v>0.8</v>
      </c>
      <c r="E31" s="23">
        <f t="shared" si="13"/>
        <v>0.11111111111111116</v>
      </c>
      <c r="H31" s="6"/>
      <c r="I31" s="3"/>
      <c r="J31" s="3"/>
      <c r="K31" s="3"/>
      <c r="L31" s="3"/>
    </row>
    <row r="32" spans="1:18" x14ac:dyDescent="0.3">
      <c r="A32" s="6" t="s">
        <v>159</v>
      </c>
      <c r="B32" s="39">
        <v>45000</v>
      </c>
      <c r="C32" s="39">
        <v>46000</v>
      </c>
      <c r="D32" s="39">
        <v>88000</v>
      </c>
      <c r="E32" s="39">
        <v>109000</v>
      </c>
      <c r="H32" s="6"/>
      <c r="I32" s="3"/>
      <c r="J32" s="3"/>
      <c r="K32" s="3"/>
      <c r="L32" s="3"/>
    </row>
    <row r="33" spans="1:13" x14ac:dyDescent="0.3">
      <c r="A33" s="21" t="s">
        <v>79</v>
      </c>
      <c r="B33" s="39"/>
      <c r="C33" s="23">
        <f t="shared" ref="C33:E33" si="14">IFERROR(C32/B32-1, " ")</f>
        <v>2.2222222222222143E-2</v>
      </c>
      <c r="D33" s="23">
        <f t="shared" si="14"/>
        <v>0.91304347826086962</v>
      </c>
      <c r="E33" s="23">
        <f t="shared" si="14"/>
        <v>0.23863636363636354</v>
      </c>
      <c r="H33" s="6"/>
      <c r="I33" s="3"/>
      <c r="J33" s="3"/>
      <c r="K33" s="3"/>
      <c r="L33" s="3"/>
    </row>
    <row r="34" spans="1:13" x14ac:dyDescent="0.3">
      <c r="A34" s="6" t="s">
        <v>69</v>
      </c>
      <c r="B34" s="39">
        <f>B32+B18+B16</f>
        <v>520000</v>
      </c>
      <c r="C34" s="39">
        <f t="shared" ref="C34:E34" si="15">C32+C18+C16</f>
        <v>642000</v>
      </c>
      <c r="D34" s="39">
        <f t="shared" si="15"/>
        <v>868000</v>
      </c>
      <c r="E34" s="39">
        <f t="shared" si="15"/>
        <v>1123000</v>
      </c>
    </row>
    <row r="35" spans="1:13" x14ac:dyDescent="0.3">
      <c r="A35" s="21" t="s">
        <v>79</v>
      </c>
      <c r="B35" s="39"/>
      <c r="C35" s="23">
        <f t="shared" ref="C35:E35" si="16">IFERROR(C34/B34-1, " ")</f>
        <v>0.23461538461538467</v>
      </c>
      <c r="D35" s="23">
        <f t="shared" si="16"/>
        <v>0.35202492211837999</v>
      </c>
      <c r="E35" s="23">
        <f t="shared" si="16"/>
        <v>0.29377880184331806</v>
      </c>
    </row>
    <row r="38" spans="1:13" x14ac:dyDescent="0.3">
      <c r="A38" s="10" t="s">
        <v>161</v>
      </c>
    </row>
    <row r="39" spans="1:13" x14ac:dyDescent="0.3">
      <c r="B39" s="13">
        <v>2016</v>
      </c>
      <c r="C39" s="13">
        <f>B39+1</f>
        <v>2017</v>
      </c>
      <c r="D39" s="13">
        <f t="shared" ref="D39:H39" si="17">C39+1</f>
        <v>2018</v>
      </c>
      <c r="E39" s="13">
        <f t="shared" si="17"/>
        <v>2019</v>
      </c>
      <c r="F39" s="13">
        <f t="shared" si="17"/>
        <v>2020</v>
      </c>
      <c r="G39" s="13">
        <f t="shared" si="17"/>
        <v>2021</v>
      </c>
      <c r="H39" s="13">
        <f t="shared" si="17"/>
        <v>2022</v>
      </c>
      <c r="L39" s="10" t="s">
        <v>72</v>
      </c>
    </row>
    <row r="40" spans="1:13" x14ac:dyDescent="0.3">
      <c r="A40" t="s">
        <v>162</v>
      </c>
      <c r="B40" s="14">
        <v>140680</v>
      </c>
      <c r="C40" s="14">
        <v>175000</v>
      </c>
      <c r="D40" s="14">
        <v>192450</v>
      </c>
      <c r="E40" s="14">
        <v>204000</v>
      </c>
      <c r="F40" s="14">
        <v>218000</v>
      </c>
      <c r="G40" s="14">
        <v>230000</v>
      </c>
      <c r="H40" s="14">
        <v>255000</v>
      </c>
      <c r="L40" s="1" t="s">
        <v>39</v>
      </c>
      <c r="M40" t="s">
        <v>61</v>
      </c>
    </row>
    <row r="41" spans="1:13" x14ac:dyDescent="0.3">
      <c r="A41" s="21" t="s">
        <v>79</v>
      </c>
      <c r="B41" s="14"/>
      <c r="C41" s="23">
        <f>IFERROR(C40/B40-1, " ")</f>
        <v>0.24395791868069372</v>
      </c>
      <c r="D41" s="23">
        <f t="shared" ref="D41:H41" si="18">IFERROR(D40/C40-1, " ")</f>
        <v>9.9714285714285644E-2</v>
      </c>
      <c r="E41" s="23">
        <f t="shared" si="18"/>
        <v>6.001558846453614E-2</v>
      </c>
      <c r="F41" s="23">
        <f t="shared" si="18"/>
        <v>6.8627450980392135E-2</v>
      </c>
      <c r="G41" s="23">
        <f t="shared" si="18"/>
        <v>5.504587155963292E-2</v>
      </c>
      <c r="H41" s="23">
        <f t="shared" si="18"/>
        <v>0.10869565217391308</v>
      </c>
      <c r="L41" s="1"/>
    </row>
    <row r="44" spans="1:13" x14ac:dyDescent="0.3">
      <c r="A44" s="10" t="s">
        <v>166</v>
      </c>
    </row>
    <row r="45" spans="1:13" x14ac:dyDescent="0.3">
      <c r="B45" s="13">
        <v>2016</v>
      </c>
      <c r="C45" s="13">
        <v>2017</v>
      </c>
      <c r="D45" s="13">
        <v>2018</v>
      </c>
      <c r="E45" s="13">
        <v>2019</v>
      </c>
      <c r="F45" s="13">
        <v>2020</v>
      </c>
      <c r="G45" s="13">
        <v>2021</v>
      </c>
      <c r="H45" s="13">
        <v>2022</v>
      </c>
      <c r="I45" s="13">
        <v>2023</v>
      </c>
      <c r="L45" s="10" t="s">
        <v>72</v>
      </c>
    </row>
    <row r="46" spans="1:13" x14ac:dyDescent="0.3">
      <c r="A46" t="s">
        <v>164</v>
      </c>
      <c r="B46" s="14">
        <v>28600</v>
      </c>
      <c r="C46" s="14">
        <v>38500</v>
      </c>
      <c r="D46" s="14">
        <v>46600</v>
      </c>
      <c r="E46" s="14">
        <v>58400</v>
      </c>
      <c r="F46" s="14">
        <v>72300</v>
      </c>
      <c r="G46" s="14">
        <v>85100</v>
      </c>
      <c r="H46" s="14">
        <v>86800</v>
      </c>
      <c r="I46" s="14">
        <v>90950</v>
      </c>
      <c r="L46" s="1" t="s">
        <v>39</v>
      </c>
    </row>
    <row r="47" spans="1:13" x14ac:dyDescent="0.3">
      <c r="A47" s="21" t="s">
        <v>79</v>
      </c>
      <c r="B47" s="14"/>
      <c r="C47" s="23">
        <f t="shared" ref="C47:I47" si="19">IFERROR(C46/B46-1, " ")</f>
        <v>0.34615384615384626</v>
      </c>
      <c r="D47" s="23">
        <f t="shared" si="19"/>
        <v>0.21038961038961035</v>
      </c>
      <c r="E47" s="23">
        <f t="shared" si="19"/>
        <v>0.25321888412017168</v>
      </c>
      <c r="F47" s="23">
        <f t="shared" si="19"/>
        <v>0.23801369863013688</v>
      </c>
      <c r="G47" s="23">
        <f t="shared" si="19"/>
        <v>0.17704011065006919</v>
      </c>
      <c r="H47" s="23">
        <f t="shared" si="19"/>
        <v>1.9976498237367801E-2</v>
      </c>
      <c r="I47" s="23">
        <f t="shared" si="19"/>
        <v>4.7811059907834075E-2</v>
      </c>
      <c r="L47" s="1"/>
    </row>
    <row r="48" spans="1:13" x14ac:dyDescent="0.3">
      <c r="A48" t="s">
        <v>165</v>
      </c>
      <c r="B48" s="14">
        <v>15000</v>
      </c>
      <c r="C48" s="14">
        <v>21200</v>
      </c>
      <c r="D48" s="14">
        <v>24800</v>
      </c>
      <c r="E48" s="14">
        <v>30600</v>
      </c>
      <c r="F48" s="14">
        <v>38600</v>
      </c>
      <c r="G48" s="14">
        <v>47900</v>
      </c>
      <c r="H48" s="14">
        <v>42300</v>
      </c>
      <c r="I48" s="14">
        <v>48050</v>
      </c>
    </row>
    <row r="49" spans="1:9" x14ac:dyDescent="0.3">
      <c r="A49" s="21" t="s">
        <v>79</v>
      </c>
      <c r="B49" s="14"/>
      <c r="C49" s="23">
        <f t="shared" ref="C49:I49" si="20">IFERROR(C48/B48-1, " ")</f>
        <v>0.41333333333333333</v>
      </c>
      <c r="D49" s="23">
        <f t="shared" si="20"/>
        <v>0.16981132075471694</v>
      </c>
      <c r="E49" s="23">
        <f t="shared" si="20"/>
        <v>0.2338709677419355</v>
      </c>
      <c r="F49" s="23">
        <f t="shared" si="20"/>
        <v>0.26143790849673199</v>
      </c>
      <c r="G49" s="23">
        <f t="shared" si="20"/>
        <v>0.2409326424870466</v>
      </c>
      <c r="H49" s="23">
        <f t="shared" si="20"/>
        <v>-0.1169102296450939</v>
      </c>
      <c r="I49" s="23">
        <f t="shared" si="20"/>
        <v>0.13593380614657202</v>
      </c>
    </row>
    <row r="50" spans="1:9" x14ac:dyDescent="0.3">
      <c r="A50" t="s">
        <v>163</v>
      </c>
      <c r="B50" s="14">
        <f>B48+B46</f>
        <v>43600</v>
      </c>
      <c r="C50" s="14">
        <f t="shared" ref="C50:I50" si="21">C48+C46</f>
        <v>59700</v>
      </c>
      <c r="D50" s="14">
        <f t="shared" si="21"/>
        <v>71400</v>
      </c>
      <c r="E50" s="14">
        <f t="shared" si="21"/>
        <v>89000</v>
      </c>
      <c r="F50" s="14">
        <f t="shared" si="21"/>
        <v>110900</v>
      </c>
      <c r="G50" s="14">
        <f t="shared" si="21"/>
        <v>133000</v>
      </c>
      <c r="H50" s="14">
        <f t="shared" si="21"/>
        <v>129100</v>
      </c>
      <c r="I50" s="14">
        <f t="shared" si="21"/>
        <v>139000</v>
      </c>
    </row>
    <row r="51" spans="1:9" x14ac:dyDescent="0.3">
      <c r="A51" s="21" t="s">
        <v>79</v>
      </c>
      <c r="C51" s="23">
        <f t="shared" ref="C51:I51" si="22">IFERROR(C50/B50-1, " ")</f>
        <v>0.36926605504587151</v>
      </c>
      <c r="D51" s="23">
        <f t="shared" si="22"/>
        <v>0.19597989949748751</v>
      </c>
      <c r="E51" s="23">
        <f t="shared" si="22"/>
        <v>0.24649859943977592</v>
      </c>
      <c r="F51" s="23">
        <f t="shared" si="22"/>
        <v>0.24606741573033708</v>
      </c>
      <c r="G51" s="23">
        <f t="shared" si="22"/>
        <v>0.19927862939585217</v>
      </c>
      <c r="H51" s="23">
        <f t="shared" si="22"/>
        <v>-2.932330827067664E-2</v>
      </c>
      <c r="I51" s="23">
        <f t="shared" si="22"/>
        <v>7.6684740511231642E-2</v>
      </c>
    </row>
  </sheetData>
  <hyperlinks>
    <hyperlink ref="L16" r:id="rId1" xr:uid="{7D98FEBF-64C1-4D38-B6B2-753A3EB5DE8C}"/>
    <hyperlink ref="L5" r:id="rId2" xr:uid="{DFD85BB4-C210-4519-8A94-EBB11A42DC35}"/>
    <hyperlink ref="L40" r:id="rId3" xr:uid="{73DA33D4-564C-4D85-A354-24C0012469B2}"/>
    <hyperlink ref="L46" r:id="rId4" xr:uid="{0FED7EE1-D049-4A4B-A859-B19CEDDAA3BC}"/>
  </hyperlinks>
  <pageMargins left="0.7" right="0.7" top="0.75" bottom="0.75" header="0.3" footer="0.3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F9CB-A542-45AD-9789-9714DB0C3311}">
  <dimension ref="A1:O49"/>
  <sheetViews>
    <sheetView topLeftCell="A18" zoomScale="80" zoomScaleNormal="80" workbookViewId="0">
      <selection activeCell="C39" sqref="C39"/>
    </sheetView>
  </sheetViews>
  <sheetFormatPr defaultRowHeight="14.4" x14ac:dyDescent="0.3"/>
  <cols>
    <col min="1" max="2" width="15.77734375" customWidth="1"/>
    <col min="3" max="3" width="17.77734375" customWidth="1"/>
    <col min="4" max="11" width="9.109375" bestFit="1" customWidth="1"/>
  </cols>
  <sheetData>
    <row r="1" spans="1:15" x14ac:dyDescent="0.3">
      <c r="A1" s="10" t="s">
        <v>28</v>
      </c>
    </row>
    <row r="3" spans="1:15" x14ac:dyDescent="0.3">
      <c r="A3" s="10" t="s">
        <v>175</v>
      </c>
    </row>
    <row r="4" spans="1:15" x14ac:dyDescent="0.3">
      <c r="B4" s="13">
        <v>2022</v>
      </c>
      <c r="C4" s="13">
        <v>2023</v>
      </c>
      <c r="D4" s="13">
        <v>2024</v>
      </c>
      <c r="E4" s="13">
        <v>2025</v>
      </c>
      <c r="F4" s="25">
        <v>2026</v>
      </c>
      <c r="G4" s="25">
        <v>2027</v>
      </c>
      <c r="H4" s="25">
        <v>2028</v>
      </c>
      <c r="I4" s="25">
        <v>2029</v>
      </c>
      <c r="J4" s="25">
        <v>2030</v>
      </c>
      <c r="N4" s="10" t="s">
        <v>72</v>
      </c>
    </row>
    <row r="5" spans="1:15" x14ac:dyDescent="0.3">
      <c r="A5" t="s">
        <v>167</v>
      </c>
      <c r="B5" s="14">
        <v>3400</v>
      </c>
      <c r="C5" s="14">
        <v>3700</v>
      </c>
      <c r="D5" s="14">
        <v>4300</v>
      </c>
      <c r="E5" s="14">
        <v>4500</v>
      </c>
      <c r="F5" s="14">
        <v>5200</v>
      </c>
      <c r="G5" s="14">
        <v>5300</v>
      </c>
      <c r="H5" s="14">
        <v>5400</v>
      </c>
      <c r="I5" s="14">
        <v>5800</v>
      </c>
      <c r="J5" s="14">
        <v>6000</v>
      </c>
      <c r="N5" s="1" t="s">
        <v>42</v>
      </c>
      <c r="O5" t="s">
        <v>43</v>
      </c>
    </row>
    <row r="6" spans="1:15" x14ac:dyDescent="0.3">
      <c r="A6" s="21" t="s">
        <v>79</v>
      </c>
      <c r="B6" s="14"/>
      <c r="C6" s="33">
        <v>3.2000000000000001E-2</v>
      </c>
      <c r="D6" s="33">
        <v>3.2000000000000001E-2</v>
      </c>
      <c r="E6" s="33">
        <v>3.2000000000000001E-2</v>
      </c>
      <c r="F6" s="33">
        <v>3.2000000000000001E-2</v>
      </c>
      <c r="G6" s="33">
        <v>3.2000000000000001E-2</v>
      </c>
      <c r="H6" s="33">
        <v>3.2000000000000001E-2</v>
      </c>
      <c r="I6" s="33">
        <v>3.2000000000000001E-2</v>
      </c>
      <c r="J6" s="33">
        <v>3.2000000000000001E-2</v>
      </c>
      <c r="N6" s="1"/>
    </row>
    <row r="9" spans="1:15" x14ac:dyDescent="0.3">
      <c r="A9" s="10" t="s">
        <v>176</v>
      </c>
      <c r="N9" s="10" t="s">
        <v>72</v>
      </c>
    </row>
    <row r="10" spans="1:15" x14ac:dyDescent="0.3">
      <c r="B10">
        <v>2014</v>
      </c>
      <c r="C10" s="13">
        <v>2022</v>
      </c>
      <c r="D10" s="13">
        <v>2023</v>
      </c>
      <c r="E10" s="13">
        <v>2024</v>
      </c>
      <c r="F10" s="13">
        <v>2025</v>
      </c>
      <c r="G10" s="25">
        <v>2030</v>
      </c>
      <c r="N10" s="1" t="s">
        <v>42</v>
      </c>
      <c r="O10" t="s">
        <v>43</v>
      </c>
    </row>
    <row r="11" spans="1:15" x14ac:dyDescent="0.3">
      <c r="A11" t="s">
        <v>169</v>
      </c>
      <c r="B11" s="26">
        <v>0.14000000000000001</v>
      </c>
      <c r="C11" s="26">
        <v>0.32</v>
      </c>
      <c r="D11" s="26">
        <v>0.37</v>
      </c>
      <c r="E11" s="26">
        <v>0.39</v>
      </c>
      <c r="F11" s="26">
        <v>0.39</v>
      </c>
      <c r="G11" s="44">
        <v>0.44</v>
      </c>
    </row>
    <row r="12" spans="1:15" x14ac:dyDescent="0.3">
      <c r="A12" t="s">
        <v>170</v>
      </c>
      <c r="B12" s="26">
        <v>0.42</v>
      </c>
      <c r="C12" s="26">
        <v>0.31</v>
      </c>
      <c r="D12" s="26">
        <v>0.33</v>
      </c>
      <c r="E12" s="26">
        <v>0.32</v>
      </c>
      <c r="F12" s="26">
        <v>0.33</v>
      </c>
      <c r="G12" s="26">
        <v>0.3</v>
      </c>
    </row>
    <row r="13" spans="1:15" x14ac:dyDescent="0.3">
      <c r="A13" t="s">
        <v>171</v>
      </c>
      <c r="B13" s="26">
        <v>0.28999999999999998</v>
      </c>
      <c r="C13" s="26">
        <v>0.19</v>
      </c>
      <c r="D13" s="26">
        <v>0.19</v>
      </c>
      <c r="E13" s="26">
        <v>0.17</v>
      </c>
      <c r="F13" s="26">
        <v>0.15</v>
      </c>
      <c r="G13" s="26">
        <v>0.13</v>
      </c>
    </row>
    <row r="16" spans="1:15" ht="28.8" x14ac:dyDescent="0.3">
      <c r="A16" s="2" t="s">
        <v>168</v>
      </c>
      <c r="B16" s="4" t="s">
        <v>172</v>
      </c>
      <c r="C16" s="4" t="s">
        <v>173</v>
      </c>
      <c r="N16" s="10" t="s">
        <v>72</v>
      </c>
    </row>
    <row r="17" spans="1:15" x14ac:dyDescent="0.3">
      <c r="A17" s="6" t="s">
        <v>169</v>
      </c>
      <c r="B17" s="45">
        <v>0.56000000000000005</v>
      </c>
      <c r="C17" s="45">
        <v>0.63</v>
      </c>
      <c r="N17" s="1" t="s">
        <v>42</v>
      </c>
      <c r="O17" t="s">
        <v>43</v>
      </c>
    </row>
    <row r="18" spans="1:15" x14ac:dyDescent="0.3">
      <c r="A18" s="5" t="s">
        <v>170</v>
      </c>
      <c r="B18" s="40">
        <v>0.2</v>
      </c>
      <c r="C18" s="40">
        <v>0.16</v>
      </c>
    </row>
    <row r="19" spans="1:15" x14ac:dyDescent="0.3">
      <c r="A19" s="5" t="s">
        <v>171</v>
      </c>
      <c r="B19" s="40">
        <v>0.1</v>
      </c>
      <c r="C19" s="40">
        <v>0.08</v>
      </c>
    </row>
    <row r="20" spans="1:15" ht="28.8" x14ac:dyDescent="0.3">
      <c r="A20" s="5" t="s">
        <v>174</v>
      </c>
      <c r="B20" s="40">
        <v>7.0000000000000007E-2</v>
      </c>
      <c r="C20" s="40">
        <v>7.0000000000000007E-2</v>
      </c>
    </row>
    <row r="21" spans="1:15" x14ac:dyDescent="0.3">
      <c r="A21" s="5"/>
      <c r="B21" s="40"/>
      <c r="C21" s="40"/>
    </row>
    <row r="22" spans="1:15" x14ac:dyDescent="0.3">
      <c r="A22" s="10" t="s">
        <v>177</v>
      </c>
    </row>
    <row r="23" spans="1:15" x14ac:dyDescent="0.3">
      <c r="B23" t="s">
        <v>178</v>
      </c>
      <c r="N23" s="10" t="s">
        <v>72</v>
      </c>
    </row>
    <row r="24" spans="1:15" ht="30" customHeight="1" x14ac:dyDescent="0.3">
      <c r="A24" t="s">
        <v>82</v>
      </c>
      <c r="B24" s="32">
        <v>0.90800000000000003</v>
      </c>
      <c r="N24" s="1" t="s">
        <v>42</v>
      </c>
      <c r="O24" t="s">
        <v>43</v>
      </c>
    </row>
    <row r="25" spans="1:15" x14ac:dyDescent="0.3">
      <c r="A25" t="s">
        <v>179</v>
      </c>
      <c r="B25" s="32">
        <v>0.89800000000000002</v>
      </c>
    </row>
    <row r="26" spans="1:15" x14ac:dyDescent="0.3">
      <c r="A26" t="s">
        <v>180</v>
      </c>
      <c r="B26" s="32">
        <v>0.89</v>
      </c>
    </row>
    <row r="27" spans="1:15" x14ac:dyDescent="0.3">
      <c r="A27" t="s">
        <v>181</v>
      </c>
      <c r="B27" s="32">
        <v>0.879</v>
      </c>
    </row>
    <row r="28" spans="1:15" x14ac:dyDescent="0.3">
      <c r="A28" t="s">
        <v>182</v>
      </c>
      <c r="B28" s="32">
        <v>0.878</v>
      </c>
    </row>
    <row r="29" spans="1:15" x14ac:dyDescent="0.3">
      <c r="A29" t="s">
        <v>183</v>
      </c>
      <c r="B29" s="32">
        <v>0.86899999999999999</v>
      </c>
    </row>
    <row r="30" spans="1:15" x14ac:dyDescent="0.3">
      <c r="A30" t="s">
        <v>184</v>
      </c>
      <c r="B30" s="32">
        <v>0.84599999999999997</v>
      </c>
    </row>
    <row r="31" spans="1:15" x14ac:dyDescent="0.3">
      <c r="A31" t="s">
        <v>83</v>
      </c>
      <c r="B31" s="32">
        <v>0.84399999999999997</v>
      </c>
    </row>
    <row r="32" spans="1:15" x14ac:dyDescent="0.3">
      <c r="A32" t="s">
        <v>185</v>
      </c>
      <c r="B32" s="32">
        <v>0.83899999999999997</v>
      </c>
    </row>
    <row r="33" spans="1:15" x14ac:dyDescent="0.3">
      <c r="A33" t="s">
        <v>186</v>
      </c>
      <c r="B33" s="32">
        <v>0.79700000000000004</v>
      </c>
    </row>
    <row r="36" spans="1:15" ht="28.8" x14ac:dyDescent="0.3">
      <c r="A36" s="2" t="s">
        <v>192</v>
      </c>
    </row>
    <row r="37" spans="1:15" x14ac:dyDescent="0.3">
      <c r="B37" s="24">
        <v>2017</v>
      </c>
      <c r="C37" s="24">
        <v>2021</v>
      </c>
      <c r="D37" s="24">
        <v>2022</v>
      </c>
      <c r="E37" s="25">
        <v>2023</v>
      </c>
      <c r="F37" s="25">
        <v>2024</v>
      </c>
      <c r="G37" s="31">
        <f>F37+1</f>
        <v>2025</v>
      </c>
      <c r="H37" s="31">
        <f t="shared" ref="H37" si="0">G37+1</f>
        <v>2026</v>
      </c>
      <c r="I37" s="25">
        <v>2027</v>
      </c>
      <c r="N37" s="10" t="s">
        <v>72</v>
      </c>
    </row>
    <row r="38" spans="1:15" x14ac:dyDescent="0.3">
      <c r="A38" s="5" t="s">
        <v>187</v>
      </c>
      <c r="B38" s="3">
        <v>162.80000000000001</v>
      </c>
      <c r="C38" s="3">
        <v>456.4</v>
      </c>
      <c r="D38" s="3">
        <v>515.1</v>
      </c>
      <c r="E38" s="3">
        <v>637.1</v>
      </c>
      <c r="F38" s="3">
        <v>765.3</v>
      </c>
      <c r="G38" s="43">
        <f>F38*(1+G39)</f>
        <v>916.82939999999996</v>
      </c>
      <c r="H38" s="43">
        <f>G38*(1+H39)</f>
        <v>1098.3616211999999</v>
      </c>
      <c r="I38" s="41">
        <v>1269.5999999999999</v>
      </c>
      <c r="N38" s="1" t="s">
        <v>40</v>
      </c>
      <c r="O38" t="s">
        <v>44</v>
      </c>
    </row>
    <row r="39" spans="1:15" x14ac:dyDescent="0.3">
      <c r="A39" s="21" t="s">
        <v>79</v>
      </c>
      <c r="C39" s="22">
        <f>C38/B38-1</f>
        <v>1.8034398034398031</v>
      </c>
      <c r="D39" s="22">
        <f t="shared" ref="D39:F39" si="1">D38/C38-1</f>
        <v>0.12861524978089411</v>
      </c>
      <c r="E39" s="22">
        <f t="shared" si="1"/>
        <v>0.23684721413317811</v>
      </c>
      <c r="F39" s="22">
        <f t="shared" si="1"/>
        <v>0.20122429759849303</v>
      </c>
      <c r="G39" s="33">
        <v>0.19800000000000001</v>
      </c>
      <c r="H39" s="33">
        <v>0.19800000000000001</v>
      </c>
      <c r="I39" s="23">
        <f t="shared" ref="I39" si="2">I38/H38-1</f>
        <v>0.15590346156934709</v>
      </c>
    </row>
    <row r="40" spans="1:15" x14ac:dyDescent="0.3">
      <c r="A40" s="5" t="s">
        <v>188</v>
      </c>
      <c r="B40" s="3">
        <v>166.6</v>
      </c>
      <c r="C40" s="3">
        <v>258.60000000000002</v>
      </c>
      <c r="D40" s="3">
        <v>289.8</v>
      </c>
      <c r="E40" s="3">
        <v>325.60000000000002</v>
      </c>
      <c r="F40" s="3">
        <v>364.1</v>
      </c>
      <c r="G40" s="43">
        <f t="shared" ref="G40:H40" si="3">F40*(1+G41)</f>
        <v>403.05870000000004</v>
      </c>
      <c r="H40" s="43">
        <f t="shared" si="3"/>
        <v>446.18598090000006</v>
      </c>
      <c r="I40" s="3">
        <v>482.2</v>
      </c>
    </row>
    <row r="41" spans="1:15" x14ac:dyDescent="0.3">
      <c r="A41" s="21" t="s">
        <v>79</v>
      </c>
      <c r="B41" s="3"/>
      <c r="C41" s="22">
        <f t="shared" ref="C41:F41" si="4">C40/B40-1</f>
        <v>0.55222088835534233</v>
      </c>
      <c r="D41" s="22">
        <f t="shared" si="4"/>
        <v>0.12064965197215782</v>
      </c>
      <c r="E41" s="22">
        <f t="shared" si="4"/>
        <v>0.12353347135955839</v>
      </c>
      <c r="F41" s="22">
        <f t="shared" si="4"/>
        <v>0.1182432432432432</v>
      </c>
      <c r="G41" s="33">
        <v>0.107</v>
      </c>
      <c r="H41" s="33">
        <v>0.107</v>
      </c>
      <c r="I41" s="23">
        <f t="shared" ref="I41" si="5">I40/H40-1</f>
        <v>8.0715263682996419E-2</v>
      </c>
    </row>
    <row r="42" spans="1:15" x14ac:dyDescent="0.3">
      <c r="A42" s="5" t="s">
        <v>189</v>
      </c>
      <c r="B42" s="3">
        <v>160</v>
      </c>
      <c r="C42" s="3">
        <v>204.7</v>
      </c>
      <c r="D42" s="3">
        <v>218</v>
      </c>
      <c r="E42" s="3">
        <v>231.6</v>
      </c>
      <c r="F42" s="3">
        <v>245.8</v>
      </c>
      <c r="G42" s="43">
        <f t="shared" ref="G42:H42" si="6">F42*(1+G43)</f>
        <v>261.77699999999999</v>
      </c>
      <c r="H42" s="43">
        <f t="shared" si="6"/>
        <v>278.79250499999995</v>
      </c>
      <c r="I42" s="3">
        <v>298.10000000000002</v>
      </c>
    </row>
    <row r="43" spans="1:15" x14ac:dyDescent="0.3">
      <c r="A43" s="21" t="s">
        <v>79</v>
      </c>
      <c r="B43" s="3"/>
      <c r="C43" s="22">
        <f t="shared" ref="C43:F43" si="7">C42/B42-1</f>
        <v>0.27937499999999993</v>
      </c>
      <c r="D43" s="22">
        <f t="shared" si="7"/>
        <v>6.497313141182226E-2</v>
      </c>
      <c r="E43" s="22">
        <f t="shared" si="7"/>
        <v>6.2385321100917324E-2</v>
      </c>
      <c r="F43" s="22">
        <f t="shared" si="7"/>
        <v>6.1312607944732367E-2</v>
      </c>
      <c r="G43" s="33">
        <v>6.5000000000000002E-2</v>
      </c>
      <c r="H43" s="33">
        <v>6.5000000000000002E-2</v>
      </c>
      <c r="I43" s="23">
        <f t="shared" ref="I43" si="8">I42/H42-1</f>
        <v>6.925399590638226E-2</v>
      </c>
    </row>
    <row r="44" spans="1:15" x14ac:dyDescent="0.3">
      <c r="A44" s="5" t="s">
        <v>190</v>
      </c>
      <c r="B44" s="3">
        <v>44.3</v>
      </c>
      <c r="C44" s="3">
        <v>72.099999999999994</v>
      </c>
      <c r="D44" s="3">
        <v>91.6</v>
      </c>
      <c r="E44" s="3">
        <v>106.1</v>
      </c>
      <c r="F44" s="3">
        <v>124.1</v>
      </c>
      <c r="G44" s="43">
        <f t="shared" ref="G44:H44" si="9">F44*(1+G45)</f>
        <v>143.58369999999999</v>
      </c>
      <c r="H44" s="43">
        <f t="shared" si="9"/>
        <v>166.1263409</v>
      </c>
      <c r="I44" s="3">
        <v>189.8</v>
      </c>
    </row>
    <row r="45" spans="1:15" x14ac:dyDescent="0.3">
      <c r="A45" s="21" t="s">
        <v>79</v>
      </c>
      <c r="B45" s="3"/>
      <c r="C45" s="22">
        <f t="shared" ref="C45:F45" si="10">C44/B44-1</f>
        <v>0.6275395033860045</v>
      </c>
      <c r="D45" s="22">
        <f t="shared" si="10"/>
        <v>0.27045769764216376</v>
      </c>
      <c r="E45" s="22">
        <f t="shared" si="10"/>
        <v>0.15829694323144117</v>
      </c>
      <c r="F45" s="22">
        <f t="shared" si="10"/>
        <v>0.16965127238454292</v>
      </c>
      <c r="G45" s="33">
        <v>0.157</v>
      </c>
      <c r="H45" s="33">
        <v>0.157</v>
      </c>
      <c r="I45" s="23">
        <f t="shared" ref="I45" si="11">I44/H44-1</f>
        <v>0.14250394592300331</v>
      </c>
    </row>
    <row r="46" spans="1:15" x14ac:dyDescent="0.3">
      <c r="A46" s="5" t="s">
        <v>191</v>
      </c>
      <c r="B46" s="3">
        <v>14.3</v>
      </c>
      <c r="C46" s="3">
        <v>24.5</v>
      </c>
      <c r="D46" s="3">
        <v>29.5</v>
      </c>
      <c r="E46" s="3">
        <v>33.6</v>
      </c>
      <c r="F46" s="3">
        <v>38.799999999999997</v>
      </c>
      <c r="G46" s="43">
        <f t="shared" ref="G46:H46" si="12">F46*(1+G47)</f>
        <v>44.270799999999994</v>
      </c>
      <c r="H46" s="43">
        <f t="shared" si="12"/>
        <v>50.512982799999996</v>
      </c>
      <c r="I46" s="3">
        <v>56.9</v>
      </c>
    </row>
    <row r="47" spans="1:15" x14ac:dyDescent="0.3">
      <c r="A47" s="21" t="s">
        <v>79</v>
      </c>
      <c r="B47" s="3"/>
      <c r="C47" s="22">
        <f t="shared" ref="C47:F47" si="13">C46/B46-1</f>
        <v>0.71328671328671311</v>
      </c>
      <c r="D47" s="22">
        <f t="shared" si="13"/>
        <v>0.20408163265306123</v>
      </c>
      <c r="E47" s="22">
        <f t="shared" si="13"/>
        <v>0.13898305084745766</v>
      </c>
      <c r="F47" s="22">
        <f t="shared" si="13"/>
        <v>0.15476190476190466</v>
      </c>
      <c r="G47" s="33">
        <v>0.14099999999999999</v>
      </c>
      <c r="H47" s="33">
        <v>0.14099999999999999</v>
      </c>
      <c r="I47" s="23">
        <f t="shared" ref="I47" si="14">I46/H46-1</f>
        <v>0.12644308148043093</v>
      </c>
    </row>
    <row r="48" spans="1:15" x14ac:dyDescent="0.3">
      <c r="A48" s="5" t="s">
        <v>69</v>
      </c>
      <c r="B48" s="42">
        <f>B46+B44+B42+B40+B38</f>
        <v>548</v>
      </c>
      <c r="C48" s="42">
        <f t="shared" ref="C48:I48" si="15">C46+C44+C42+C40+C38</f>
        <v>1016.3</v>
      </c>
      <c r="D48" s="42">
        <f t="shared" si="15"/>
        <v>1144</v>
      </c>
      <c r="E48" s="42">
        <f t="shared" si="15"/>
        <v>1334</v>
      </c>
      <c r="F48" s="42">
        <f t="shared" si="15"/>
        <v>1538.1</v>
      </c>
      <c r="G48" s="42">
        <f t="shared" si="15"/>
        <v>1769.5196000000001</v>
      </c>
      <c r="H48" s="42">
        <f t="shared" si="15"/>
        <v>2039.9794308</v>
      </c>
      <c r="I48" s="42">
        <f t="shared" si="15"/>
        <v>2296.6</v>
      </c>
    </row>
    <row r="49" spans="1:9" x14ac:dyDescent="0.3">
      <c r="A49" s="21" t="s">
        <v>79</v>
      </c>
      <c r="C49" s="22">
        <f t="shared" ref="C49:F49" si="16">C48/B48-1</f>
        <v>0.85456204379562029</v>
      </c>
      <c r="D49" s="22">
        <f t="shared" si="16"/>
        <v>0.12565187444652182</v>
      </c>
      <c r="E49" s="22">
        <f t="shared" si="16"/>
        <v>0.16608391608391604</v>
      </c>
      <c r="F49" s="22">
        <f t="shared" si="16"/>
        <v>0.15299850074962507</v>
      </c>
      <c r="G49" s="26">
        <v>0.15</v>
      </c>
      <c r="H49" s="22">
        <f t="shared" ref="H49" si="17">H48/G48-1</f>
        <v>0.15284364795959315</v>
      </c>
      <c r="I49" s="23">
        <f t="shared" ref="I49" si="18">I48/H48-1</f>
        <v>0.12579566505695761</v>
      </c>
    </row>
  </sheetData>
  <hyperlinks>
    <hyperlink ref="N38" r:id="rId1" xr:uid="{7C6CB369-FE6B-4086-9A52-B2612C46C443}"/>
    <hyperlink ref="N5" r:id="rId2" xr:uid="{6BC31D63-CDA7-4EA3-B3B2-FFEA2AF35F34}"/>
    <hyperlink ref="N10" r:id="rId3" xr:uid="{CDF14347-FCF0-463C-85A6-9B0A550F2DD4}"/>
    <hyperlink ref="N17" r:id="rId4" xr:uid="{87C0B792-3F10-4B7B-9947-342A00710220}"/>
    <hyperlink ref="N24" r:id="rId5" xr:uid="{23870FF3-6AE9-46CF-B8B8-8C702208BF07}"/>
  </hyperlinks>
  <pageMargins left="0.7" right="0.7" top="0.75" bottom="0.75" header="0.3" footer="0.3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787F3-6C62-4F88-9AB3-B35D973BBC17}">
  <dimension ref="A1:U22"/>
  <sheetViews>
    <sheetView zoomScale="70" zoomScaleNormal="70" workbookViewId="0">
      <selection activeCell="G27" sqref="G27"/>
    </sheetView>
  </sheetViews>
  <sheetFormatPr defaultRowHeight="14.4" x14ac:dyDescent="0.3"/>
  <cols>
    <col min="1" max="1" width="16.33203125" customWidth="1"/>
    <col min="2" max="9" width="11.21875" bestFit="1" customWidth="1"/>
    <col min="10" max="12" width="10.109375" bestFit="1" customWidth="1"/>
    <col min="13" max="13" width="11.109375" bestFit="1" customWidth="1"/>
    <col min="14" max="16" width="9.44140625" bestFit="1" customWidth="1"/>
  </cols>
  <sheetData>
    <row r="1" spans="1:21" x14ac:dyDescent="0.3">
      <c r="A1" s="10" t="s">
        <v>197</v>
      </c>
    </row>
    <row r="2" spans="1:21" x14ac:dyDescent="0.3">
      <c r="B2" s="13">
        <v>2010</v>
      </c>
      <c r="C2" s="13">
        <f>B2+1</f>
        <v>2011</v>
      </c>
      <c r="D2" s="13">
        <f t="shared" ref="D2:F2" si="0">C2+1</f>
        <v>2012</v>
      </c>
      <c r="E2" s="13">
        <f t="shared" si="0"/>
        <v>2013</v>
      </c>
      <c r="F2" s="13">
        <f t="shared" si="0"/>
        <v>2014</v>
      </c>
      <c r="G2" s="13">
        <v>2015</v>
      </c>
      <c r="H2" s="13">
        <f>G2+1</f>
        <v>2016</v>
      </c>
      <c r="I2" s="13">
        <f t="shared" ref="I2:J2" si="1">H2+1</f>
        <v>2017</v>
      </c>
      <c r="J2" s="13">
        <f t="shared" si="1"/>
        <v>2018</v>
      </c>
      <c r="K2" s="13">
        <f t="shared" ref="K2:P2" si="2">J2+1</f>
        <v>2019</v>
      </c>
      <c r="L2" s="13">
        <f t="shared" si="2"/>
        <v>2020</v>
      </c>
      <c r="M2" s="13">
        <f t="shared" si="2"/>
        <v>2021</v>
      </c>
      <c r="N2" s="13">
        <f t="shared" si="2"/>
        <v>2022</v>
      </c>
      <c r="O2" s="13">
        <f t="shared" si="2"/>
        <v>2023</v>
      </c>
      <c r="P2" s="13">
        <f t="shared" si="2"/>
        <v>2024</v>
      </c>
      <c r="Q2" s="13"/>
      <c r="T2" s="10" t="s">
        <v>72</v>
      </c>
    </row>
    <row r="3" spans="1:21" x14ac:dyDescent="0.3">
      <c r="A3" t="s">
        <v>193</v>
      </c>
      <c r="I3" s="14">
        <v>337000</v>
      </c>
      <c r="J3" s="14">
        <v>389000</v>
      </c>
      <c r="K3" s="14">
        <v>441000</v>
      </c>
      <c r="L3" s="14">
        <v>507000</v>
      </c>
      <c r="M3" s="14">
        <v>631000</v>
      </c>
      <c r="N3" s="14">
        <v>701000</v>
      </c>
      <c r="O3" s="14">
        <v>744000</v>
      </c>
      <c r="P3" s="14">
        <v>785000</v>
      </c>
      <c r="T3" s="1" t="s">
        <v>41</v>
      </c>
      <c r="U3" t="s">
        <v>47</v>
      </c>
    </row>
    <row r="4" spans="1:21" x14ac:dyDescent="0.3">
      <c r="A4" s="21" t="s">
        <v>79</v>
      </c>
      <c r="J4" s="22">
        <f>J3/I3-1</f>
        <v>0.1543026706231454</v>
      </c>
      <c r="K4" s="22">
        <f t="shared" ref="K4:P4" si="3">K3/J3-1</f>
        <v>0.13367609254498714</v>
      </c>
      <c r="L4" s="22">
        <f t="shared" si="3"/>
        <v>0.14965986394557818</v>
      </c>
      <c r="M4" s="22">
        <f t="shared" si="3"/>
        <v>0.24457593688362911</v>
      </c>
      <c r="N4" s="22">
        <f t="shared" si="3"/>
        <v>0.11093502377179076</v>
      </c>
      <c r="O4" s="22">
        <f t="shared" si="3"/>
        <v>6.1340941512125546E-2</v>
      </c>
      <c r="P4" s="22">
        <f t="shared" si="3"/>
        <v>5.5107526881720492E-2</v>
      </c>
      <c r="T4" s="1" t="s">
        <v>198</v>
      </c>
      <c r="U4" t="s">
        <v>49</v>
      </c>
    </row>
    <row r="5" spans="1:21" x14ac:dyDescent="0.3">
      <c r="A5" t="s">
        <v>196</v>
      </c>
      <c r="B5" s="14">
        <v>94400</v>
      </c>
      <c r="C5" s="14">
        <v>106300</v>
      </c>
      <c r="D5" s="14">
        <v>122700</v>
      </c>
      <c r="E5" s="14">
        <v>142600</v>
      </c>
      <c r="F5" s="14">
        <v>161500</v>
      </c>
      <c r="G5" s="14">
        <v>179000</v>
      </c>
      <c r="H5" s="14">
        <v>197000</v>
      </c>
      <c r="I5" s="14">
        <v>229000</v>
      </c>
      <c r="J5" s="14">
        <v>267000</v>
      </c>
      <c r="K5" s="14">
        <v>305000</v>
      </c>
      <c r="L5" s="14">
        <v>377000</v>
      </c>
      <c r="M5" s="14">
        <v>426000</v>
      </c>
      <c r="N5" s="14">
        <v>435000</v>
      </c>
      <c r="O5" s="14">
        <v>426000</v>
      </c>
      <c r="P5" s="14">
        <v>429000</v>
      </c>
    </row>
    <row r="6" spans="1:21" x14ac:dyDescent="0.3">
      <c r="A6" s="21" t="s">
        <v>79</v>
      </c>
      <c r="C6" s="22">
        <f>C5/B5-1</f>
        <v>0.12605932203389836</v>
      </c>
      <c r="D6" s="22">
        <f t="shared" ref="D6:P6" si="4">D5/C5-1</f>
        <v>0.15428033866415802</v>
      </c>
      <c r="E6" s="22">
        <f t="shared" si="4"/>
        <v>0.16218418907905452</v>
      </c>
      <c r="F6" s="22">
        <f t="shared" si="4"/>
        <v>0.132538569424965</v>
      </c>
      <c r="G6" s="22">
        <f t="shared" si="4"/>
        <v>0.1083591331269349</v>
      </c>
      <c r="H6" s="22">
        <f t="shared" si="4"/>
        <v>0.1005586592178771</v>
      </c>
      <c r="I6" s="22">
        <f t="shared" si="4"/>
        <v>0.1624365482233503</v>
      </c>
      <c r="J6" s="22">
        <f t="shared" si="4"/>
        <v>0.1659388646288209</v>
      </c>
      <c r="K6" s="22">
        <f t="shared" si="4"/>
        <v>0.14232209737827706</v>
      </c>
      <c r="L6" s="22">
        <f t="shared" si="4"/>
        <v>0.23606557377049175</v>
      </c>
      <c r="M6" s="22">
        <f t="shared" si="4"/>
        <v>0.12997347480106103</v>
      </c>
      <c r="N6" s="22">
        <f t="shared" si="4"/>
        <v>2.1126760563380254E-2</v>
      </c>
      <c r="O6" s="22">
        <f t="shared" si="4"/>
        <v>-2.0689655172413834E-2</v>
      </c>
      <c r="P6" s="22">
        <f t="shared" si="4"/>
        <v>7.0422535211267512E-3</v>
      </c>
    </row>
    <row r="12" spans="1:21" x14ac:dyDescent="0.3">
      <c r="A12" s="10" t="s">
        <v>194</v>
      </c>
    </row>
    <row r="13" spans="1:21" x14ac:dyDescent="0.3">
      <c r="B13" s="13">
        <v>2014</v>
      </c>
      <c r="C13" s="13">
        <f>B13+1</f>
        <v>2015</v>
      </c>
      <c r="D13" s="13">
        <f>C13+1</f>
        <v>2016</v>
      </c>
      <c r="E13" s="13">
        <f t="shared" ref="E13:M13" si="5">D13+1</f>
        <v>2017</v>
      </c>
      <c r="F13" s="13">
        <f t="shared" si="5"/>
        <v>2018</v>
      </c>
      <c r="G13" s="13">
        <f t="shared" si="5"/>
        <v>2019</v>
      </c>
      <c r="H13" s="13">
        <f t="shared" si="5"/>
        <v>2020</v>
      </c>
      <c r="I13" s="13">
        <f t="shared" si="5"/>
        <v>2021</v>
      </c>
      <c r="J13" s="13">
        <f t="shared" si="5"/>
        <v>2022</v>
      </c>
      <c r="K13" s="13">
        <f t="shared" si="5"/>
        <v>2023</v>
      </c>
      <c r="L13" s="13">
        <f t="shared" si="5"/>
        <v>2024</v>
      </c>
      <c r="M13" s="13">
        <f t="shared" si="5"/>
        <v>2025</v>
      </c>
      <c r="T13" s="10" t="s">
        <v>72</v>
      </c>
    </row>
    <row r="14" spans="1:21" x14ac:dyDescent="0.3">
      <c r="A14" t="s">
        <v>195</v>
      </c>
      <c r="C14" s="14">
        <v>3000</v>
      </c>
      <c r="D14" s="14">
        <v>5000</v>
      </c>
      <c r="E14" s="14">
        <v>10000</v>
      </c>
      <c r="F14" s="14">
        <v>23000</v>
      </c>
      <c r="G14" s="14">
        <v>40000</v>
      </c>
      <c r="H14" s="14">
        <v>52000</v>
      </c>
      <c r="I14" s="14">
        <v>70000</v>
      </c>
      <c r="J14" s="14">
        <v>80000</v>
      </c>
      <c r="K14" s="14">
        <v>83000</v>
      </c>
      <c r="L14" s="14">
        <v>90000</v>
      </c>
      <c r="M14" s="14">
        <v>95400</v>
      </c>
      <c r="T14" s="1" t="s">
        <v>51</v>
      </c>
      <c r="U14" t="s">
        <v>50</v>
      </c>
    </row>
    <row r="15" spans="1:21" x14ac:dyDescent="0.3">
      <c r="D15" s="22">
        <f t="shared" ref="D15" si="6">D14/C14-1</f>
        <v>0.66666666666666674</v>
      </c>
      <c r="E15" s="22">
        <f t="shared" ref="E15" si="7">E14/D14-1</f>
        <v>1</v>
      </c>
      <c r="F15" s="22">
        <f t="shared" ref="F15" si="8">F14/E14-1</f>
        <v>1.2999999999999998</v>
      </c>
      <c r="G15" s="22">
        <f t="shared" ref="G15" si="9">G14/F14-1</f>
        <v>0.73913043478260865</v>
      </c>
      <c r="H15" s="22">
        <f t="shared" ref="H15" si="10">H14/G14-1</f>
        <v>0.30000000000000004</v>
      </c>
      <c r="I15" s="22">
        <f t="shared" ref="I15" si="11">I14/H14-1</f>
        <v>0.34615384615384626</v>
      </c>
      <c r="J15" s="22">
        <f t="shared" ref="J15" si="12">J14/I14-1</f>
        <v>0.14285714285714279</v>
      </c>
      <c r="K15" s="22">
        <f t="shared" ref="K15" si="13">K14/J14-1</f>
        <v>3.7500000000000089E-2</v>
      </c>
      <c r="L15" s="22">
        <f t="shared" ref="L15" si="14">L14/K14-1</f>
        <v>8.43373493975903E-2</v>
      </c>
      <c r="M15" s="22">
        <f t="shared" ref="M15" si="15">M14/L14-1</f>
        <v>6.0000000000000053E-2</v>
      </c>
      <c r="T15" s="1" t="s">
        <v>48</v>
      </c>
      <c r="U15" t="s">
        <v>196</v>
      </c>
    </row>
    <row r="16" spans="1:21" x14ac:dyDescent="0.3">
      <c r="A16" t="s">
        <v>196</v>
      </c>
      <c r="D16" s="22"/>
      <c r="H16" s="14">
        <v>184300</v>
      </c>
      <c r="I16" s="14">
        <v>195200</v>
      </c>
      <c r="J16" s="14">
        <v>209300</v>
      </c>
      <c r="K16" s="14">
        <v>223300</v>
      </c>
      <c r="L16" s="14">
        <v>236700</v>
      </c>
      <c r="M16" s="14">
        <v>249900</v>
      </c>
      <c r="T16" s="1" t="s">
        <v>199</v>
      </c>
      <c r="U16" t="s">
        <v>193</v>
      </c>
    </row>
    <row r="17" spans="1:21" x14ac:dyDescent="0.3">
      <c r="I17" s="22">
        <f t="shared" ref="I17" si="16">I16/H16-1</f>
        <v>5.9142702116115053E-2</v>
      </c>
      <c r="J17" s="22">
        <f t="shared" ref="J17" si="17">J16/I16-1</f>
        <v>7.2233606557376984E-2</v>
      </c>
      <c r="K17" s="22">
        <f t="shared" ref="K17" si="18">K16/J16-1</f>
        <v>6.6889632107023367E-2</v>
      </c>
      <c r="L17" s="22">
        <f t="shared" ref="L17" si="19">L16/K16-1</f>
        <v>6.0008956560680726E-2</v>
      </c>
      <c r="M17" s="22">
        <f t="shared" ref="M17" si="20">M16/L16-1</f>
        <v>5.5766793409379067E-2</v>
      </c>
      <c r="T17" s="1" t="s">
        <v>45</v>
      </c>
      <c r="U17" t="s">
        <v>46</v>
      </c>
    </row>
    <row r="18" spans="1:21" x14ac:dyDescent="0.3">
      <c r="A18" t="s">
        <v>193</v>
      </c>
      <c r="B18" s="14">
        <v>4500</v>
      </c>
      <c r="C18" s="14">
        <v>8600</v>
      </c>
      <c r="D18" s="14">
        <v>13200</v>
      </c>
      <c r="E18" s="14">
        <v>15800</v>
      </c>
      <c r="F18" s="14">
        <v>23600</v>
      </c>
      <c r="G18" s="14">
        <v>28400</v>
      </c>
      <c r="H18" s="14">
        <v>37000</v>
      </c>
      <c r="I18" s="14">
        <v>45300</v>
      </c>
      <c r="J18" s="14">
        <v>50800</v>
      </c>
      <c r="K18" s="14">
        <v>55800</v>
      </c>
      <c r="L18" s="14">
        <v>61300</v>
      </c>
      <c r="M18" s="16">
        <v>65600</v>
      </c>
    </row>
    <row r="19" spans="1:21" x14ac:dyDescent="0.3">
      <c r="C19" s="22">
        <f t="shared" ref="C19" si="21">C18/B18-1</f>
        <v>0.9111111111111112</v>
      </c>
      <c r="D19" s="22">
        <f t="shared" ref="D19" si="22">D18/C18-1</f>
        <v>0.53488372093023262</v>
      </c>
      <c r="E19" s="22">
        <f t="shared" ref="E19" si="23">E18/D18-1</f>
        <v>0.19696969696969702</v>
      </c>
      <c r="F19" s="22">
        <f t="shared" ref="F19" si="24">F18/E18-1</f>
        <v>0.49367088607594933</v>
      </c>
      <c r="G19" s="22">
        <f t="shared" ref="G19" si="25">G18/F18-1</f>
        <v>0.20338983050847448</v>
      </c>
      <c r="H19" s="22">
        <f t="shared" ref="H19" si="26">H18/G18-1</f>
        <v>0.30281690140845074</v>
      </c>
      <c r="I19" s="22">
        <f t="shared" ref="I19" si="27">I18/H18-1</f>
        <v>0.22432432432432425</v>
      </c>
      <c r="J19" s="22">
        <f t="shared" ref="J19" si="28">J18/I18-1</f>
        <v>0.12141280353200878</v>
      </c>
      <c r="K19" s="22">
        <f t="shared" ref="K19" si="29">K18/J18-1</f>
        <v>9.8425196850393748E-2</v>
      </c>
      <c r="L19" s="22">
        <f t="shared" ref="L19" si="30">L18/K18-1</f>
        <v>9.8566308243727585E-2</v>
      </c>
      <c r="M19" s="22">
        <f t="shared" ref="M19" si="31">M18/L18-1</f>
        <v>7.0146818923327858E-2</v>
      </c>
    </row>
    <row r="20" spans="1:21" x14ac:dyDescent="0.3">
      <c r="A20" t="s">
        <v>200</v>
      </c>
      <c r="K20" s="14"/>
      <c r="L20" s="14">
        <v>48600</v>
      </c>
      <c r="M20" s="14">
        <v>50900</v>
      </c>
    </row>
    <row r="21" spans="1:21" x14ac:dyDescent="0.3">
      <c r="M21" s="22">
        <f t="shared" ref="M21" si="32">M20/L20-1</f>
        <v>4.7325102880658498E-2</v>
      </c>
    </row>
    <row r="22" spans="1:21" ht="15" thickBot="1" x14ac:dyDescent="0.35">
      <c r="A22" t="s">
        <v>69</v>
      </c>
      <c r="B22" s="48"/>
      <c r="C22" s="48"/>
      <c r="D22" s="48"/>
      <c r="E22" s="48"/>
      <c r="F22" s="48"/>
      <c r="G22" s="48"/>
      <c r="H22" s="49">
        <f>H14+H16+H18</f>
        <v>273300</v>
      </c>
      <c r="I22" s="49">
        <f t="shared" ref="I22:M22" si="33">I14+I16+I18</f>
        <v>310500</v>
      </c>
      <c r="J22" s="49">
        <f t="shared" si="33"/>
        <v>340100</v>
      </c>
      <c r="K22" s="49">
        <f t="shared" si="33"/>
        <v>362100</v>
      </c>
      <c r="L22" s="49">
        <f t="shared" si="33"/>
        <v>388000</v>
      </c>
      <c r="M22" s="49">
        <f t="shared" si="33"/>
        <v>410900</v>
      </c>
    </row>
  </sheetData>
  <hyperlinks>
    <hyperlink ref="T3" r:id="rId1" xr:uid="{3046494D-0FF7-42DF-B6D5-8137B7EC5B82}"/>
    <hyperlink ref="T17" r:id="rId2" xr:uid="{D7E11A4E-8EFA-4973-912A-88C79EF98DE2}"/>
    <hyperlink ref="T15" r:id="rId3" xr:uid="{2296EF01-4C9B-4A6E-9129-917D35A4C0CC}"/>
    <hyperlink ref="T14" r:id="rId4" xr:uid="{FE8D6D28-5DA1-4EF9-84D3-9EC16EB3FD0A}"/>
    <hyperlink ref="T4" r:id="rId5" xr:uid="{0949BDD6-81C0-4836-9ACE-7773926C3142}"/>
    <hyperlink ref="T16" r:id="rId6" xr:uid="{7DB2EE0F-36D0-4BA5-B0B8-D39067C3C882}"/>
  </hyperlinks>
  <pageMargins left="0.7" right="0.7" top="0.75" bottom="0.75" header="0.3" footer="0.3"/>
  <drawing r:id="rId7"/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Wearable Device Market Share</vt:lpstr>
      <vt:lpstr>Wearable Technology Market Size</vt:lpstr>
      <vt:lpstr>Wearable Device Shipments</vt:lpstr>
      <vt:lpstr>Services Music Streaming</vt:lpstr>
      <vt:lpstr>Services Video Streaming</vt:lpstr>
      <vt:lpstr>Services Cloud Storage</vt:lpstr>
      <vt:lpstr>Serviecs App Distribution</vt:lpstr>
      <vt:lpstr>Services Digital Payments</vt:lpstr>
      <vt:lpstr>Services Digital Payments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Simba Choga</dc:creator>
  <cp:lastModifiedBy>Simba Choga</cp:lastModifiedBy>
  <dcterms:created xsi:type="dcterms:W3CDTF">2015-06-05T18:17:20Z</dcterms:created>
  <dcterms:modified xsi:type="dcterms:W3CDTF">2026-10-06T00:44:49Z</dcterms:modified>
</cp:coreProperties>
</file>