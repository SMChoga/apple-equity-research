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imba\U.S Companies - Equity Reseach\Technology Hardware &amp; Equipment Sector\Technology Hardware, Storage &amp; Peripherals Industry\Apple - Research Excel Documents\"/>
    </mc:Choice>
  </mc:AlternateContent>
  <xr:revisionPtr revIDLastSave="0" documentId="13_ncr:1_{938A7419-4A58-46B9-AA2D-F2601171A8C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aptop Shipment &amp; Market Share" sheetId="1" r:id="rId1"/>
    <sheet name="Laptop Forecasting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K5" i="2"/>
  <c r="J5" i="2"/>
  <c r="I5" i="2"/>
  <c r="H5" i="2"/>
  <c r="G5" i="2"/>
  <c r="F5" i="2"/>
  <c r="E5" i="2"/>
  <c r="D5" i="2"/>
  <c r="C5" i="2"/>
  <c r="D3" i="2"/>
  <c r="E3" i="2" s="1"/>
  <c r="F3" i="2" s="1"/>
  <c r="G3" i="2" s="1"/>
  <c r="H3" i="2" s="1"/>
  <c r="I3" i="2" s="1"/>
  <c r="J3" i="2" s="1"/>
  <c r="K3" i="2" s="1"/>
  <c r="L3" i="2" s="1"/>
  <c r="C3" i="2"/>
  <c r="N18" i="1"/>
  <c r="M18" i="1"/>
  <c r="L18" i="1"/>
  <c r="K18" i="1"/>
  <c r="J18" i="1"/>
  <c r="G18" i="1"/>
  <c r="C18" i="1"/>
  <c r="N16" i="1"/>
  <c r="M16" i="1"/>
  <c r="L16" i="1"/>
  <c r="K16" i="1"/>
  <c r="J16" i="1"/>
  <c r="I16" i="1"/>
  <c r="H16" i="1"/>
  <c r="G16" i="1"/>
  <c r="F16" i="1"/>
  <c r="E16" i="1"/>
  <c r="D16" i="1"/>
  <c r="C16" i="1"/>
  <c r="N14" i="1"/>
  <c r="M14" i="1"/>
  <c r="L14" i="1"/>
  <c r="K14" i="1"/>
  <c r="J14" i="1"/>
  <c r="I14" i="1"/>
  <c r="H14" i="1"/>
  <c r="G14" i="1"/>
  <c r="F14" i="1"/>
  <c r="E14" i="1"/>
  <c r="D14" i="1"/>
  <c r="C14" i="1"/>
  <c r="N12" i="1"/>
  <c r="M12" i="1"/>
  <c r="L12" i="1"/>
  <c r="K12" i="1"/>
  <c r="J12" i="1"/>
  <c r="G12" i="1"/>
  <c r="F12" i="1"/>
  <c r="E12" i="1"/>
  <c r="D12" i="1"/>
  <c r="C12" i="1"/>
  <c r="B12" i="1"/>
  <c r="N10" i="1"/>
  <c r="M10" i="1"/>
  <c r="L10" i="1"/>
  <c r="J10" i="1"/>
  <c r="I10" i="1"/>
  <c r="H10" i="1"/>
  <c r="G10" i="1"/>
  <c r="C10" i="1"/>
  <c r="N8" i="1"/>
  <c r="M8" i="1"/>
  <c r="L8" i="1"/>
  <c r="K8" i="1"/>
  <c r="J8" i="1"/>
  <c r="I8" i="1"/>
  <c r="H8" i="1"/>
  <c r="G8" i="1"/>
  <c r="F8" i="1"/>
  <c r="E8" i="1"/>
  <c r="D8" i="1"/>
  <c r="C8" i="1"/>
  <c r="N6" i="1"/>
  <c r="M6" i="1"/>
  <c r="L6" i="1"/>
  <c r="K6" i="1"/>
  <c r="J6" i="1"/>
  <c r="I6" i="1"/>
  <c r="H6" i="1"/>
  <c r="G6" i="1"/>
  <c r="F6" i="1"/>
  <c r="E6" i="1"/>
  <c r="D6" i="1"/>
  <c r="C6" i="1"/>
  <c r="N4" i="1"/>
  <c r="M4" i="1"/>
  <c r="L4" i="1"/>
  <c r="K4" i="1"/>
  <c r="J4" i="1"/>
  <c r="I4" i="1"/>
  <c r="H4" i="1"/>
  <c r="G4" i="1"/>
  <c r="F4" i="1"/>
  <c r="E4" i="1"/>
  <c r="D4" i="1"/>
  <c r="C4" i="1"/>
  <c r="N17" i="1"/>
  <c r="N29" i="1" s="1"/>
  <c r="M17" i="1"/>
  <c r="M30" i="1" s="1"/>
  <c r="L17" i="1"/>
  <c r="L24" i="1" s="1"/>
  <c r="K17" i="1"/>
  <c r="K28" i="1" s="1"/>
  <c r="J17" i="1"/>
  <c r="J30" i="1" s="1"/>
  <c r="I17" i="1"/>
  <c r="I30" i="1" s="1"/>
  <c r="G17" i="1"/>
  <c r="F17" i="1"/>
  <c r="B17" i="1"/>
  <c r="B30" i="1" s="1"/>
  <c r="C17" i="1"/>
  <c r="C27" i="1" s="1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H31" i="1"/>
  <c r="G31" i="1"/>
  <c r="F31" i="1"/>
  <c r="E31" i="1"/>
  <c r="D31" i="1"/>
  <c r="C23" i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I24" i="1" l="1"/>
  <c r="C29" i="1"/>
  <c r="I25" i="1"/>
  <c r="J25" i="1"/>
  <c r="J27" i="1"/>
  <c r="J28" i="1"/>
  <c r="J24" i="1"/>
  <c r="I29" i="1"/>
  <c r="I27" i="1"/>
  <c r="I28" i="1"/>
  <c r="J29" i="1"/>
  <c r="N25" i="1"/>
  <c r="N27" i="1"/>
  <c r="N30" i="1"/>
  <c r="N24" i="1"/>
  <c r="N28" i="1"/>
  <c r="M29" i="1"/>
  <c r="M28" i="1"/>
  <c r="M24" i="1"/>
  <c r="M25" i="1"/>
  <c r="M27" i="1"/>
  <c r="L25" i="1"/>
  <c r="L27" i="1"/>
  <c r="L30" i="1"/>
  <c r="L28" i="1"/>
  <c r="L29" i="1"/>
  <c r="K29" i="1"/>
  <c r="K27" i="1"/>
  <c r="K24" i="1"/>
  <c r="K25" i="1"/>
  <c r="K30" i="1"/>
  <c r="B24" i="1"/>
  <c r="B25" i="1"/>
  <c r="B27" i="1"/>
  <c r="B28" i="1"/>
  <c r="B29" i="1"/>
  <c r="C28" i="1"/>
  <c r="C30" i="1"/>
  <c r="C24" i="1"/>
  <c r="C25" i="1"/>
  <c r="I31" i="1" l="1"/>
  <c r="B31" i="1"/>
  <c r="J31" i="1"/>
  <c r="N31" i="1"/>
  <c r="M31" i="1"/>
  <c r="L31" i="1"/>
  <c r="K31" i="1"/>
  <c r="C31" i="1"/>
  <c r="D9" i="1" l="1"/>
  <c r="E9" i="1"/>
  <c r="D10" i="1"/>
  <c r="E10" i="1"/>
  <c r="F10" i="1"/>
  <c r="H11" i="1"/>
  <c r="H12" i="1"/>
  <c r="D17" i="1"/>
  <c r="E17" i="1"/>
  <c r="H17" i="1"/>
  <c r="D18" i="1"/>
  <c r="E18" i="1"/>
  <c r="F18" i="1"/>
  <c r="H18" i="1"/>
  <c r="I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P3" authorId="0" shapeId="0" xr:uid="{13724AA6-6D5A-47BB-86C8-3761F3E019BA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Uses IDC's Traditional PC shipments. IDC defines Traditional PCs as:
Desktops + notebooks + workstations</t>
        </r>
      </text>
    </comment>
    <comment ref="P4" authorId="0" shapeId="0" xr:uid="{4329AA21-BB09-4558-A278-DF6168763924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Market Share
Global shipmets vs Apple Shipments
-Growth
-Absolute terms
</t>
        </r>
      </text>
    </comment>
    <comment ref="P7" authorId="0" shapeId="0" xr:uid="{C9D79477-E87F-414D-A147-4ABDFF4B16D9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Page 48</t>
        </r>
      </text>
    </comment>
    <comment ref="D9" authorId="0" shapeId="0" xr:uid="{28BFF713-82CA-463C-87A3-7F3AAEA3E13B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Based on percentages</t>
        </r>
      </text>
    </comment>
    <comment ref="E9" authorId="0" shapeId="0" xr:uid="{E4E19C46-AD78-488C-A39C-C6808E3B88B5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Based on percetages below</t>
        </r>
      </text>
    </comment>
    <comment ref="H11" authorId="0" shapeId="0" xr:uid="{EB1E4540-D631-4B4B-A895-682DD6FF5DE6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Based on percentages</t>
        </r>
      </text>
    </comment>
    <comment ref="D15" authorId="0" shapeId="0" xr:uid="{B915D5E3-71F4-4C15-9BFB-74BDE22852EF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Based on percetages below. 
Original figure is 86,110</t>
        </r>
      </text>
    </comment>
    <comment ref="E15" authorId="0" shapeId="0" xr:uid="{12561D8D-80A4-4C54-BD39-77C534013C7A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Based on percentages below
Original figure is 72,012</t>
        </r>
      </text>
    </comment>
    <comment ref="H15" authorId="0" shapeId="0" xr:uid="{0205A3D0-1C09-40F8-83AE-682C64B62115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Based on percentages below - original number is 57,756</t>
        </r>
      </text>
    </comment>
    <comment ref="E17" authorId="0" shapeId="0" xr:uid="{D56C1F0D-290E-4873-B68F-61E04ABB2D89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Even when we ignore 2013-2015 because of "Other" - large numbers. Doesn't seem like shipments grew by a large amount from 2016 to 2025.</t>
        </r>
      </text>
    </comment>
    <comment ref="B26" authorId="0" shapeId="0" xr:uid="{E98AA552-52A0-49C2-863D-129599CE7266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Unknown
</t>
        </r>
      </text>
    </comment>
    <comment ref="C26" authorId="0" shapeId="0" xr:uid="{4295F6C3-E86E-4E5A-9610-9AC447079B10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Unknown</t>
        </r>
      </text>
    </comment>
  </commentList>
</comments>
</file>

<file path=xl/sharedStrings.xml><?xml version="1.0" encoding="utf-8"?>
<sst xmlns="http://schemas.openxmlformats.org/spreadsheetml/2006/main" count="41" uniqueCount="34">
  <si>
    <t>https://www.notebookcheck.net/PC-market-grows-due-to-fears-of-tariffs-and-DRAM-prices-Lenovo-remains-market-leader.1203548.0.html</t>
  </si>
  <si>
    <t>https://market.us/report/laptop-market/</t>
  </si>
  <si>
    <t>https://www.notebookcheck.net/PC-market-Q4-2023-the-weakest-quarter-since-2006-Apple-incurs-massive-losses.794578.0.html</t>
  </si>
  <si>
    <t>https://www.businesswire.com/news/home/20220131005496/en/Strategy-Analytics-Notebook-PCs-Finish-2021-With-Record-Shipments-of-268-Million-Units</t>
  </si>
  <si>
    <t>https://www.notebookcheck.net/Lenovo-leads-PC-shipments-for-4Q18-and-for-the-year-overall.393636.0.html</t>
  </si>
  <si>
    <t>https://www.zdnet.com/article/pc-shipments-grew-in-2019-ending-7-year-slump/</t>
  </si>
  <si>
    <t>https://www.businessinsider.com/apple-mac-lost-most-pc-market-share-in-2016-chart-2017-1</t>
  </si>
  <si>
    <t>https://macdailynews.com/2015/01/12/idc-apple-continues-to-outgrow-the-pc-market-no-3-in-u-s-market-share-no-5-worldwide/</t>
  </si>
  <si>
    <t>https://www.t4.ai/company/apple-market-share</t>
  </si>
  <si>
    <t>2015-2019</t>
  </si>
  <si>
    <t>Acer</t>
  </si>
  <si>
    <t>Apple</t>
  </si>
  <si>
    <t>Asus</t>
  </si>
  <si>
    <t>Dell</t>
  </si>
  <si>
    <t>H.P</t>
  </si>
  <si>
    <t>Lenovo</t>
  </si>
  <si>
    <t>2013-2014</t>
  </si>
  <si>
    <t>2015-2016</t>
  </si>
  <si>
    <t>2017-2018</t>
  </si>
  <si>
    <t>2018-2019</t>
  </si>
  <si>
    <t>2024-2025</t>
  </si>
  <si>
    <t>2022-2023</t>
  </si>
  <si>
    <t>Source</t>
  </si>
  <si>
    <t>Total</t>
  </si>
  <si>
    <t>Other</t>
  </si>
  <si>
    <t>Market Share</t>
  </si>
  <si>
    <t>Levovo</t>
  </si>
  <si>
    <t>Acer Group</t>
  </si>
  <si>
    <t>Units Shipments are in '000</t>
  </si>
  <si>
    <t>https://www.jh.com.tw/storage/system/governance/Meeting/2021/2020_1.pdf?</t>
  </si>
  <si>
    <t>2019 - 2020</t>
  </si>
  <si>
    <t>Billion</t>
  </si>
  <si>
    <t>Laptop Revenue Forecast</t>
  </si>
  <si>
    <t>%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</si>
</sst>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FY&quot;0&quot;A&quot;"/>
    <numFmt numFmtId="165" formatCode="_(* #,##0_);_(* \(#,##0\);_(* &quot;-&quot;??_);_(@_)"/>
    <numFmt numFmtId="166" formatCode="0.0%"/>
    <numFmt numFmtId="167" formatCode="&quot;FY&quot;0&quot;E&quot;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9" fontId="0" fillId="0" borderId="0" xfId="0" applyNumberFormat="1"/>
    <xf numFmtId="164" fontId="0" fillId="0" borderId="0" xfId="0" applyNumberFormat="1"/>
    <xf numFmtId="0" fontId="5" fillId="0" borderId="0" xfId="0" applyFont="1"/>
    <xf numFmtId="9" fontId="0" fillId="0" borderId="0" xfId="3" applyFont="1"/>
    <xf numFmtId="165" fontId="0" fillId="0" borderId="0" xfId="2" applyNumberFormat="1" applyFont="1"/>
    <xf numFmtId="165" fontId="0" fillId="0" borderId="0" xfId="0" applyNumberFormat="1"/>
    <xf numFmtId="166" fontId="0" fillId="0" borderId="0" xfId="3" applyNumberFormat="1" applyFont="1"/>
    <xf numFmtId="165" fontId="0" fillId="0" borderId="1" xfId="2" applyNumberFormat="1" applyFont="1" applyBorder="1"/>
    <xf numFmtId="0" fontId="0" fillId="0" borderId="0" xfId="0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67" fontId="0" fillId="0" borderId="0" xfId="0" applyNumberFormat="1" applyAlignment="1">
      <alignment horizontal="right" vertical="center" wrapText="1"/>
    </xf>
    <xf numFmtId="0" fontId="6" fillId="0" borderId="0" xfId="0" applyFont="1"/>
    <xf numFmtId="9" fontId="0" fillId="2" borderId="0" xfId="3" applyFont="1" applyFill="1"/>
    <xf numFmtId="165" fontId="7" fillId="0" borderId="0" xfId="2" applyNumberFormat="1" applyFont="1"/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cdailynews.com/2015/01/12/idc-apple-continues-to-outgrow-the-pc-market-no-3-in-u-s-market-share-no-5-worldwide/" TargetMode="External"/><Relationship Id="rId3" Type="http://schemas.openxmlformats.org/officeDocument/2006/relationships/hyperlink" Target="https://www.businesswire.com/news/home/20220131005496/en/Strategy-Analytics-Notebook-PCs-Finish-2021-With-Record-Shipments-of-268-Million-Units" TargetMode="External"/><Relationship Id="rId7" Type="http://schemas.openxmlformats.org/officeDocument/2006/relationships/hyperlink" Target="https://www.businessinsider.com/apple-mac-lost-most-pc-market-share-in-2016-chart-2017-1" TargetMode="External"/><Relationship Id="rId2" Type="http://schemas.openxmlformats.org/officeDocument/2006/relationships/hyperlink" Target="https://www.notebookcheck.net/PC-market-Q4-2023-the-weakest-quarter-since-2006-Apple-incurs-massive-losses.794578.0.html" TargetMode="External"/><Relationship Id="rId1" Type="http://schemas.openxmlformats.org/officeDocument/2006/relationships/hyperlink" Target="https://www.notebookcheck.net/PC-market-grows-due-to-fears-of-tariffs-and-DRAM-prices-Lenovo-remains-market-leader.1203548.0.html" TargetMode="External"/><Relationship Id="rId6" Type="http://schemas.openxmlformats.org/officeDocument/2006/relationships/hyperlink" Target="https://www.zdnet.com/article/pc-shipments-grew-in-2019-ending-7-year-slump/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www.jh.com.tw/storage/system/governance/Meeting/2021/2020_1.pdf?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www.notebookcheck.net/Lenovo-leads-PC-shipments-for-4Q18-and-for-the-year-overall.393636.0.html" TargetMode="External"/><Relationship Id="rId9" Type="http://schemas.openxmlformats.org/officeDocument/2006/relationships/hyperlink" Target="https://www.t4.ai/company/apple-market-shar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rket.us/report/laptop-mark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6" sqref="C6"/>
    </sheetView>
  </sheetViews>
  <sheetFormatPr defaultRowHeight="14.4" x14ac:dyDescent="0.3"/>
  <cols>
    <col min="1" max="1" width="9" customWidth="1"/>
    <col min="2" max="2" width="9.88671875" customWidth="1"/>
    <col min="4" max="4" width="10.109375" bestFit="1" customWidth="1"/>
    <col min="8" max="8" width="10.109375" bestFit="1" customWidth="1"/>
    <col min="16" max="16" width="36.6640625" customWidth="1"/>
  </cols>
  <sheetData>
    <row r="1" spans="1:17" x14ac:dyDescent="0.3">
      <c r="A1" t="s">
        <v>28</v>
      </c>
    </row>
    <row r="2" spans="1:17" x14ac:dyDescent="0.3">
      <c r="B2" s="3">
        <v>2013</v>
      </c>
      <c r="C2" s="3">
        <f>B2+1</f>
        <v>2014</v>
      </c>
      <c r="D2" s="3">
        <f t="shared" ref="D2:N2" si="0">C2+1</f>
        <v>2015</v>
      </c>
      <c r="E2" s="3">
        <f t="shared" si="0"/>
        <v>2016</v>
      </c>
      <c r="F2" s="3">
        <f t="shared" si="0"/>
        <v>2017</v>
      </c>
      <c r="G2" s="3">
        <f t="shared" si="0"/>
        <v>2018</v>
      </c>
      <c r="H2" s="3">
        <f t="shared" si="0"/>
        <v>2019</v>
      </c>
      <c r="I2" s="3">
        <f t="shared" si="0"/>
        <v>2020</v>
      </c>
      <c r="J2" s="3">
        <f t="shared" si="0"/>
        <v>2021</v>
      </c>
      <c r="K2" s="3">
        <f t="shared" si="0"/>
        <v>2022</v>
      </c>
      <c r="L2" s="3">
        <f t="shared" si="0"/>
        <v>2023</v>
      </c>
      <c r="M2" s="3">
        <f t="shared" si="0"/>
        <v>2024</v>
      </c>
      <c r="N2" s="3">
        <f t="shared" si="0"/>
        <v>2025</v>
      </c>
    </row>
    <row r="3" spans="1:17" x14ac:dyDescent="0.3">
      <c r="A3" t="s">
        <v>26</v>
      </c>
      <c r="B3" s="6">
        <v>53804</v>
      </c>
      <c r="C3" s="6">
        <v>59233</v>
      </c>
      <c r="D3" s="6">
        <v>57233</v>
      </c>
      <c r="E3" s="6">
        <v>55502</v>
      </c>
      <c r="F3" s="6">
        <v>54669</v>
      </c>
      <c r="G3" s="6">
        <v>58467</v>
      </c>
      <c r="H3" s="6">
        <v>64768</v>
      </c>
      <c r="I3" s="6">
        <v>72669</v>
      </c>
      <c r="J3" s="6">
        <v>63400</v>
      </c>
      <c r="K3" s="6">
        <v>68000</v>
      </c>
      <c r="L3" s="6">
        <v>59000</v>
      </c>
      <c r="M3" s="6">
        <v>61800</v>
      </c>
      <c r="N3" s="6">
        <v>70800</v>
      </c>
      <c r="P3" s="4" t="s">
        <v>22</v>
      </c>
    </row>
    <row r="4" spans="1:17" x14ac:dyDescent="0.3">
      <c r="B4" s="6"/>
      <c r="C4" s="8">
        <f>IFERROR((C3/B3)-1," ")</f>
        <v>0.10090327856664927</v>
      </c>
      <c r="D4" s="8">
        <f t="shared" ref="D4:N4" si="1">IFERROR((D3/C3)-1," ")</f>
        <v>-3.3764962098830065E-2</v>
      </c>
      <c r="E4" s="8">
        <f t="shared" si="1"/>
        <v>-3.0244788845596116E-2</v>
      </c>
      <c r="F4" s="8">
        <f t="shared" si="1"/>
        <v>-1.5008468163309474E-2</v>
      </c>
      <c r="G4" s="8">
        <f t="shared" si="1"/>
        <v>6.9472644460297328E-2</v>
      </c>
      <c r="H4" s="8">
        <f t="shared" si="1"/>
        <v>0.10777019515282116</v>
      </c>
      <c r="I4" s="8">
        <f t="shared" si="1"/>
        <v>0.1219892539525691</v>
      </c>
      <c r="J4" s="8">
        <f t="shared" si="1"/>
        <v>-0.12755095019884688</v>
      </c>
      <c r="K4" s="8">
        <f t="shared" si="1"/>
        <v>7.2555205047318605E-2</v>
      </c>
      <c r="L4" s="8">
        <f t="shared" si="1"/>
        <v>-0.13235294117647056</v>
      </c>
      <c r="M4" s="8">
        <f t="shared" si="1"/>
        <v>4.7457627118643986E-2</v>
      </c>
      <c r="N4" s="8">
        <f t="shared" si="1"/>
        <v>0.14563106796116498</v>
      </c>
      <c r="P4" s="1" t="s">
        <v>0</v>
      </c>
      <c r="Q4" t="s">
        <v>20</v>
      </c>
    </row>
    <row r="5" spans="1:17" x14ac:dyDescent="0.3">
      <c r="A5" t="s">
        <v>14</v>
      </c>
      <c r="B5" s="6">
        <v>52188</v>
      </c>
      <c r="C5" s="6">
        <v>56849</v>
      </c>
      <c r="D5" s="6">
        <v>53587</v>
      </c>
      <c r="E5" s="6">
        <v>54290</v>
      </c>
      <c r="F5" s="6">
        <v>55179</v>
      </c>
      <c r="G5" s="6">
        <v>56332</v>
      </c>
      <c r="H5" s="6">
        <v>62908</v>
      </c>
      <c r="I5" s="6">
        <v>67646</v>
      </c>
      <c r="J5" s="6">
        <v>59000</v>
      </c>
      <c r="K5" s="6">
        <v>55300</v>
      </c>
      <c r="L5" s="6">
        <v>52900</v>
      </c>
      <c r="M5" s="6">
        <v>53000</v>
      </c>
      <c r="N5" s="6">
        <v>57500</v>
      </c>
      <c r="P5" s="1" t="s">
        <v>2</v>
      </c>
      <c r="Q5" t="s">
        <v>21</v>
      </c>
    </row>
    <row r="6" spans="1:17" x14ac:dyDescent="0.3">
      <c r="B6" s="6"/>
      <c r="C6" s="8">
        <f t="shared" ref="C6:N6" si="2">IFERROR((C5/B5)-1," ")</f>
        <v>8.9311719169157699E-2</v>
      </c>
      <c r="D6" s="8">
        <f t="shared" si="2"/>
        <v>-5.7380077046210176E-2</v>
      </c>
      <c r="E6" s="8">
        <f t="shared" si="2"/>
        <v>1.3118853453262913E-2</v>
      </c>
      <c r="F6" s="8">
        <f t="shared" si="2"/>
        <v>1.6375023024498114E-2</v>
      </c>
      <c r="G6" s="8">
        <f t="shared" si="2"/>
        <v>2.0895630584099045E-2</v>
      </c>
      <c r="H6" s="8">
        <f t="shared" si="2"/>
        <v>0.11673649080451609</v>
      </c>
      <c r="I6" s="8">
        <f t="shared" si="2"/>
        <v>7.5316334965346288E-2</v>
      </c>
      <c r="J6" s="8">
        <f t="shared" si="2"/>
        <v>-0.12781243532507469</v>
      </c>
      <c r="K6" s="8">
        <f t="shared" si="2"/>
        <v>-6.2711864406779672E-2</v>
      </c>
      <c r="L6" s="8">
        <f t="shared" si="2"/>
        <v>-4.339963833634719E-2</v>
      </c>
      <c r="M6" s="8">
        <f t="shared" si="2"/>
        <v>1.890359168241984E-3</v>
      </c>
      <c r="N6" s="8">
        <f t="shared" si="2"/>
        <v>8.4905660377358583E-2</v>
      </c>
      <c r="P6" s="1" t="s">
        <v>3</v>
      </c>
      <c r="Q6">
        <v>2021</v>
      </c>
    </row>
    <row r="7" spans="1:17" x14ac:dyDescent="0.3">
      <c r="A7" t="s">
        <v>13</v>
      </c>
      <c r="B7" s="6">
        <v>37787</v>
      </c>
      <c r="C7" s="6">
        <v>41665</v>
      </c>
      <c r="D7" s="6">
        <v>39049</v>
      </c>
      <c r="E7" s="6">
        <v>40731</v>
      </c>
      <c r="F7" s="6">
        <v>39793</v>
      </c>
      <c r="G7" s="6">
        <v>41911</v>
      </c>
      <c r="H7" s="6">
        <v>46545</v>
      </c>
      <c r="I7" s="6">
        <v>50298</v>
      </c>
      <c r="J7" s="6">
        <v>45700</v>
      </c>
      <c r="K7" s="6">
        <v>49800</v>
      </c>
      <c r="L7" s="6">
        <v>40000</v>
      </c>
      <c r="M7" s="6">
        <v>39100</v>
      </c>
      <c r="N7" s="6">
        <v>41100</v>
      </c>
      <c r="P7" s="1" t="s">
        <v>29</v>
      </c>
      <c r="Q7" t="s">
        <v>30</v>
      </c>
    </row>
    <row r="8" spans="1:17" x14ac:dyDescent="0.3">
      <c r="B8" s="6"/>
      <c r="C8" s="8">
        <f t="shared" ref="C8:N8" si="3">IFERROR((C7/B7)-1," ")</f>
        <v>0.1026278878979543</v>
      </c>
      <c r="D8" s="8">
        <f t="shared" si="3"/>
        <v>-6.2786511460458438E-2</v>
      </c>
      <c r="E8" s="8">
        <f t="shared" si="3"/>
        <v>4.3074086404261358E-2</v>
      </c>
      <c r="F8" s="8">
        <f t="shared" si="3"/>
        <v>-2.3029142422233639E-2</v>
      </c>
      <c r="G8" s="8">
        <f t="shared" si="3"/>
        <v>5.3225441660593509E-2</v>
      </c>
      <c r="H8" s="8">
        <f t="shared" si="3"/>
        <v>0.11056763140941528</v>
      </c>
      <c r="I8" s="8">
        <f t="shared" si="3"/>
        <v>8.0631646793425826E-2</v>
      </c>
      <c r="J8" s="8">
        <f t="shared" si="3"/>
        <v>-9.1415165612946825E-2</v>
      </c>
      <c r="K8" s="8">
        <f t="shared" si="3"/>
        <v>8.97155361050328E-2</v>
      </c>
      <c r="L8" s="8">
        <f t="shared" si="3"/>
        <v>-0.19678714859437751</v>
      </c>
      <c r="M8" s="8">
        <f t="shared" si="3"/>
        <v>-2.2499999999999964E-2</v>
      </c>
      <c r="N8" s="8">
        <f t="shared" si="3"/>
        <v>5.1150895140664954E-2</v>
      </c>
      <c r="P8" s="1"/>
    </row>
    <row r="9" spans="1:17" x14ac:dyDescent="0.3">
      <c r="A9" t="s">
        <v>27</v>
      </c>
      <c r="B9" s="6">
        <v>24508</v>
      </c>
      <c r="C9" s="6">
        <v>24104</v>
      </c>
      <c r="D9" s="6">
        <f ca="1">D26*D17</f>
        <v>23010.800567103859</v>
      </c>
      <c r="E9" s="6">
        <f ca="1">E26*E17</f>
        <v>19006.774887270207</v>
      </c>
      <c r="F9" s="6">
        <v>17087</v>
      </c>
      <c r="G9" s="6">
        <v>15729</v>
      </c>
      <c r="H9" s="6">
        <v>17029</v>
      </c>
      <c r="I9" s="6">
        <v>20989</v>
      </c>
      <c r="J9" s="6">
        <v>20100</v>
      </c>
      <c r="K9" s="6">
        <v>0</v>
      </c>
      <c r="L9" s="6">
        <v>0</v>
      </c>
      <c r="M9" s="6">
        <v>0</v>
      </c>
      <c r="N9" s="6">
        <v>0</v>
      </c>
      <c r="P9" s="1" t="s">
        <v>5</v>
      </c>
      <c r="Q9" t="s">
        <v>19</v>
      </c>
    </row>
    <row r="10" spans="1:17" x14ac:dyDescent="0.3">
      <c r="B10" s="6"/>
      <c r="C10" s="8">
        <f t="shared" ref="C10:N10" si="4">IFERROR((C9/B9)-1," ")</f>
        <v>-1.6484413252815355E-2</v>
      </c>
      <c r="D10" s="8">
        <f t="shared" ca="1" si="4"/>
        <v>-4.5353444776640384E-2</v>
      </c>
      <c r="E10" s="8">
        <f t="shared" ca="1" si="4"/>
        <v>-0.17400636141090153</v>
      </c>
      <c r="F10" s="8">
        <f t="shared" ca="1" si="4"/>
        <v>-0.1010047679659728</v>
      </c>
      <c r="G10" s="8">
        <f t="shared" si="4"/>
        <v>-7.9475624743957418E-2</v>
      </c>
      <c r="H10" s="8">
        <f t="shared" si="4"/>
        <v>8.2649882382859641E-2</v>
      </c>
      <c r="I10" s="8">
        <f t="shared" si="4"/>
        <v>0.2325444829408656</v>
      </c>
      <c r="J10" s="8">
        <f t="shared" si="4"/>
        <v>-4.2355519557863652E-2</v>
      </c>
      <c r="K10" s="8"/>
      <c r="L10" s="8" t="str">
        <f t="shared" si="4"/>
        <v xml:space="preserve"> </v>
      </c>
      <c r="M10" s="8" t="str">
        <f t="shared" si="4"/>
        <v xml:space="preserve"> </v>
      </c>
      <c r="N10" s="8" t="str">
        <f t="shared" si="4"/>
        <v xml:space="preserve"> </v>
      </c>
      <c r="P10" s="1" t="s">
        <v>4</v>
      </c>
      <c r="Q10" t="s">
        <v>18</v>
      </c>
    </row>
    <row r="11" spans="1:17" x14ac:dyDescent="0.3">
      <c r="A11" t="s">
        <v>12</v>
      </c>
      <c r="B11" s="6">
        <v>0</v>
      </c>
      <c r="C11" s="6">
        <v>0</v>
      </c>
      <c r="D11" s="6">
        <v>19360</v>
      </c>
      <c r="E11" s="6">
        <v>19203</v>
      </c>
      <c r="F11" s="6">
        <v>17952</v>
      </c>
      <c r="G11" s="6">
        <v>15537</v>
      </c>
      <c r="H11" s="6">
        <f ca="1">H17*H26</f>
        <v>16595.891353439776</v>
      </c>
      <c r="I11" s="6">
        <v>0</v>
      </c>
      <c r="J11" s="6">
        <v>0</v>
      </c>
      <c r="K11" s="6">
        <v>20500</v>
      </c>
      <c r="L11" s="6">
        <v>16800</v>
      </c>
      <c r="M11" s="6">
        <v>18000</v>
      </c>
      <c r="N11" s="6">
        <v>20500</v>
      </c>
      <c r="P11" s="1" t="s">
        <v>6</v>
      </c>
      <c r="Q11" t="s">
        <v>17</v>
      </c>
    </row>
    <row r="12" spans="1:17" x14ac:dyDescent="0.3">
      <c r="B12" s="8" t="str">
        <f t="shared" ref="B12" si="5">IFERROR((B11/A11)-1," ")</f>
        <v xml:space="preserve"> </v>
      </c>
      <c r="C12" s="8" t="str">
        <f t="shared" ref="C12" si="6">IFERROR((C11/B11)-1," ")</f>
        <v xml:space="preserve"> </v>
      </c>
      <c r="D12" s="8" t="str">
        <f t="shared" ref="D12" si="7">IFERROR((D11/C11)-1," ")</f>
        <v xml:space="preserve"> </v>
      </c>
      <c r="E12" s="8">
        <f t="shared" ref="E12" si="8">IFERROR((E11/D11)-1," ")</f>
        <v>-8.1095041322314376E-3</v>
      </c>
      <c r="F12" s="8">
        <f t="shared" ref="F12" si="9">IFERROR((F11/E11)-1," ")</f>
        <v>-6.5146070926417776E-2</v>
      </c>
      <c r="G12" s="8">
        <f t="shared" ref="G12" si="10">IFERROR((G11/F11)-1," ")</f>
        <v>-0.13452540106951871</v>
      </c>
      <c r="H12" s="8">
        <f t="shared" ref="H12" ca="1" si="11">IFERROR((H11/G11)-1," ")</f>
        <v>6.815288366092398E-2</v>
      </c>
      <c r="I12" s="8"/>
      <c r="J12" s="8" t="str">
        <f t="shared" ref="J12" si="12">IFERROR((J11/I11)-1," ")</f>
        <v xml:space="preserve"> </v>
      </c>
      <c r="K12" s="8" t="str">
        <f t="shared" ref="K12" si="13">IFERROR((K11/J11)-1," ")</f>
        <v xml:space="preserve"> </v>
      </c>
      <c r="L12" s="8">
        <f t="shared" ref="L12" si="14">IFERROR((L11/K11)-1," ")</f>
        <v>-0.18048780487804883</v>
      </c>
      <c r="M12" s="8">
        <f t="shared" ref="M12" si="15">IFERROR((M11/L11)-1," ")</f>
        <v>7.1428571428571397E-2</v>
      </c>
      <c r="N12" s="8">
        <f t="shared" ref="N12" si="16">IFERROR((N11/M11)-1," ")</f>
        <v>0.13888888888888884</v>
      </c>
      <c r="P12" s="1" t="s">
        <v>7</v>
      </c>
      <c r="Q12" t="s">
        <v>16</v>
      </c>
    </row>
    <row r="13" spans="1:17" x14ac:dyDescent="0.3">
      <c r="A13" t="s">
        <v>11</v>
      </c>
      <c r="B13" s="6">
        <v>17132</v>
      </c>
      <c r="C13" s="6">
        <v>19822</v>
      </c>
      <c r="D13" s="6">
        <v>20452</v>
      </c>
      <c r="E13" s="6">
        <v>18446</v>
      </c>
      <c r="F13" s="6">
        <v>18963</v>
      </c>
      <c r="G13" s="6">
        <v>18016</v>
      </c>
      <c r="H13" s="6">
        <v>17684</v>
      </c>
      <c r="I13" s="6">
        <v>23102</v>
      </c>
      <c r="J13" s="6">
        <v>24400</v>
      </c>
      <c r="K13" s="6">
        <v>27900</v>
      </c>
      <c r="L13" s="6">
        <v>21700</v>
      </c>
      <c r="M13" s="6">
        <v>23000</v>
      </c>
      <c r="N13" s="6">
        <v>25600</v>
      </c>
    </row>
    <row r="14" spans="1:17" x14ac:dyDescent="0.3">
      <c r="B14" s="6"/>
      <c r="C14" s="8">
        <f t="shared" ref="C14" si="17">IFERROR((C13/B13)-1," ")</f>
        <v>0.15701611020312867</v>
      </c>
      <c r="D14" s="8">
        <f t="shared" ref="D14" si="18">IFERROR((D13/C13)-1," ")</f>
        <v>3.1782867520936398E-2</v>
      </c>
      <c r="E14" s="8">
        <f t="shared" ref="E14" si="19">IFERROR((E13/D13)-1," ")</f>
        <v>-9.8083317035008832E-2</v>
      </c>
      <c r="F14" s="8">
        <f t="shared" ref="F14" si="20">IFERROR((F13/E13)-1," ")</f>
        <v>2.8027756695218509E-2</v>
      </c>
      <c r="G14" s="8">
        <f t="shared" ref="G14" si="21">IFERROR((G13/F13)-1," ")</f>
        <v>-4.9939355587196088E-2</v>
      </c>
      <c r="H14" s="8">
        <f t="shared" ref="H14" si="22">IFERROR((H13/G13)-1," ")</f>
        <v>-1.8428063943161654E-2</v>
      </c>
      <c r="I14" s="8">
        <f t="shared" ref="I14" si="23">IFERROR((I13/H13)-1," ")</f>
        <v>0.30637864736484954</v>
      </c>
      <c r="J14" s="8">
        <f t="shared" ref="J14" si="24">IFERROR((J13/I13)-1," ")</f>
        <v>5.6185611635356292E-2</v>
      </c>
      <c r="K14" s="8">
        <f t="shared" ref="K14" si="25">IFERROR((K13/J13)-1," ")</f>
        <v>0.14344262295081966</v>
      </c>
      <c r="L14" s="8">
        <f t="shared" ref="L14" si="26">IFERROR((L13/K13)-1," ")</f>
        <v>-0.22222222222222221</v>
      </c>
      <c r="M14" s="8">
        <f t="shared" ref="M14" si="27">IFERROR((M13/L13)-1," ")</f>
        <v>5.9907834101382562E-2</v>
      </c>
      <c r="N14" s="8">
        <f t="shared" ref="N14" si="28">IFERROR((N13/M13)-1," ")</f>
        <v>0.11304347826086958</v>
      </c>
    </row>
    <row r="15" spans="1:17" x14ac:dyDescent="0.3">
      <c r="A15" t="s">
        <v>24</v>
      </c>
      <c r="B15" s="15">
        <v>129702</v>
      </c>
      <c r="C15" s="15">
        <v>106952</v>
      </c>
      <c r="D15" s="15">
        <v>74943.206521694388</v>
      </c>
      <c r="E15" s="6">
        <v>64346.580645161295</v>
      </c>
      <c r="F15" s="6">
        <v>59034</v>
      </c>
      <c r="G15" s="6">
        <v>53393</v>
      </c>
      <c r="H15" s="6">
        <v>51068.297870556547</v>
      </c>
      <c r="I15" s="6">
        <v>67901</v>
      </c>
      <c r="J15" s="6">
        <v>55700</v>
      </c>
      <c r="K15" s="6">
        <v>79900</v>
      </c>
      <c r="L15" s="6">
        <v>69100</v>
      </c>
      <c r="M15" s="6">
        <v>68300</v>
      </c>
      <c r="N15" s="6">
        <v>69300</v>
      </c>
    </row>
    <row r="16" spans="1:17" x14ac:dyDescent="0.3">
      <c r="B16" s="6"/>
      <c r="C16" s="8">
        <f t="shared" ref="C16" si="29">IFERROR((C15/B15)-1," ")</f>
        <v>-0.17540207552697717</v>
      </c>
      <c r="D16" s="8">
        <f t="shared" ref="D16" si="30">IFERROR((D15/C15)-1," ")</f>
        <v>-0.29928185988392564</v>
      </c>
      <c r="E16" s="8">
        <f t="shared" ref="E16" si="31">IFERROR((E15/D15)-1," ")</f>
        <v>-0.14139541618713103</v>
      </c>
      <c r="F16" s="8">
        <f t="shared" ref="F16" si="32">IFERROR((F15/E15)-1," ")</f>
        <v>-8.2561972864688471E-2</v>
      </c>
      <c r="G16" s="8">
        <f t="shared" ref="G16" si="33">IFERROR((G15/F15)-1," ")</f>
        <v>-9.5555103838465993E-2</v>
      </c>
      <c r="H16" s="8">
        <f t="shared" ref="H16" si="34">IFERROR((H15/G15)-1," ")</f>
        <v>-4.3539455161602736E-2</v>
      </c>
      <c r="I16" s="8">
        <f t="shared" ref="I16" si="35">IFERROR((I15/H15)-1," ")</f>
        <v>0.32961157570024202</v>
      </c>
      <c r="J16" s="8">
        <f t="shared" ref="J16" si="36">IFERROR((J15/I15)-1," ")</f>
        <v>-0.17968807528607822</v>
      </c>
      <c r="K16" s="8">
        <f t="shared" ref="K16" si="37">IFERROR((K15/J15)-1," ")</f>
        <v>0.43447037701974867</v>
      </c>
      <c r="L16" s="8">
        <f t="shared" ref="L16" si="38">IFERROR((L15/K15)-1," ")</f>
        <v>-0.1351689612015019</v>
      </c>
      <c r="M16" s="8">
        <f t="shared" ref="M16" si="39">IFERROR((M15/L15)-1," ")</f>
        <v>-1.157742402315487E-2</v>
      </c>
      <c r="N16" s="8">
        <f t="shared" ref="N16" si="40">IFERROR((N15/M15)-1," ")</f>
        <v>1.4641288433382194E-2</v>
      </c>
    </row>
    <row r="17" spans="1:17" ht="15" thickBot="1" x14ac:dyDescent="0.35">
      <c r="A17" t="s">
        <v>23</v>
      </c>
      <c r="B17" s="9">
        <f t="shared" ref="B17" si="41">B15+B13+B9+B7+B5+B3+B11</f>
        <v>315121</v>
      </c>
      <c r="C17" s="9">
        <f>C15+C13+C9+C7+C5+C3+C11</f>
        <v>308625</v>
      </c>
      <c r="D17" s="9">
        <f t="shared" ref="D17:N17" ca="1" si="42">D15+D13+D9+D7+D5+D3+D11</f>
        <v>287635.00708879821</v>
      </c>
      <c r="E17" s="9">
        <f t="shared" ca="1" si="42"/>
        <v>271525.35553243151</v>
      </c>
      <c r="F17" s="9">
        <f t="shared" si="42"/>
        <v>262677</v>
      </c>
      <c r="G17" s="9">
        <f t="shared" si="42"/>
        <v>259385</v>
      </c>
      <c r="H17" s="9">
        <f t="shared" ca="1" si="42"/>
        <v>276598.18922399631</v>
      </c>
      <c r="I17" s="9">
        <f t="shared" si="42"/>
        <v>302605</v>
      </c>
      <c r="J17" s="9">
        <f t="shared" si="42"/>
        <v>268300</v>
      </c>
      <c r="K17" s="9">
        <f t="shared" si="42"/>
        <v>301400</v>
      </c>
      <c r="L17" s="9">
        <f t="shared" si="42"/>
        <v>259500</v>
      </c>
      <c r="M17" s="9">
        <f t="shared" si="42"/>
        <v>263200</v>
      </c>
      <c r="N17" s="9">
        <f t="shared" si="42"/>
        <v>284800</v>
      </c>
    </row>
    <row r="18" spans="1:17" x14ac:dyDescent="0.3">
      <c r="B18" s="6"/>
      <c r="C18" s="8">
        <f t="shared" ref="C18" si="43">IFERROR((C17/B17)-1," ")</f>
        <v>-2.0614303711907533E-2</v>
      </c>
      <c r="D18" s="8">
        <f t="shared" ref="D18" ca="1" si="44">IFERROR((D17/C17)-1," ")</f>
        <v>-6.8011317654764758E-2</v>
      </c>
      <c r="E18" s="8">
        <f t="shared" ref="E18" ca="1" si="45">IFERROR((E17/D17)-1," ")</f>
        <v>-5.6007270183887403E-2</v>
      </c>
      <c r="F18" s="8">
        <f t="shared" ref="F18" ca="1" si="46">IFERROR((F17/E17)-1," ")</f>
        <v>-3.2587584739851794E-2</v>
      </c>
      <c r="G18" s="8">
        <f t="shared" ref="G18" si="47">IFERROR((G17/F17)-1," ")</f>
        <v>-1.2532501893961046E-2</v>
      </c>
      <c r="H18" s="8">
        <f t="shared" ref="H18" ca="1" si="48">IFERROR((H17/G17)-1," ")</f>
        <v>6.6361544514895954E-2</v>
      </c>
      <c r="I18" s="8">
        <f t="shared" ref="I18" ca="1" si="49">IFERROR((I17/H17)-1," ")</f>
        <v>9.4023792595918643E-2</v>
      </c>
      <c r="J18" s="8">
        <f t="shared" ref="J18" si="50">IFERROR((J17/I17)-1," ")</f>
        <v>-0.11336560863171463</v>
      </c>
      <c r="K18" s="8">
        <f t="shared" ref="K18" si="51">IFERROR((K17/J17)-1," ")</f>
        <v>0.12336936265374576</v>
      </c>
      <c r="L18" s="8">
        <f t="shared" ref="L18" si="52">IFERROR((L17/K17)-1," ")</f>
        <v>-0.13901791639017913</v>
      </c>
      <c r="M18" s="8">
        <f t="shared" ref="M18" si="53">IFERROR((M17/L17)-1," ")</f>
        <v>1.4258188824662898E-2</v>
      </c>
      <c r="N18" s="8">
        <f t="shared" ref="N18" si="54">IFERROR((N17/M17)-1," ")</f>
        <v>8.2066869300911893E-2</v>
      </c>
    </row>
    <row r="19" spans="1:17" x14ac:dyDescent="0.3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7" x14ac:dyDescent="0.3">
      <c r="D20" s="6"/>
      <c r="E20" s="6"/>
      <c r="H20" s="7"/>
    </row>
    <row r="21" spans="1:17" x14ac:dyDescent="0.3">
      <c r="D21" s="7"/>
      <c r="E21" s="7"/>
    </row>
    <row r="22" spans="1:17" x14ac:dyDescent="0.3">
      <c r="A22" t="s">
        <v>25</v>
      </c>
    </row>
    <row r="23" spans="1:17" x14ac:dyDescent="0.3">
      <c r="B23" s="3">
        <v>2013</v>
      </c>
      <c r="C23" s="3">
        <f>B23+1</f>
        <v>2014</v>
      </c>
      <c r="D23" s="3">
        <f t="shared" ref="D23:N23" si="55">C23+1</f>
        <v>2015</v>
      </c>
      <c r="E23" s="3">
        <f t="shared" si="55"/>
        <v>2016</v>
      </c>
      <c r="F23" s="3">
        <f t="shared" si="55"/>
        <v>2017</v>
      </c>
      <c r="G23" s="3">
        <f t="shared" si="55"/>
        <v>2018</v>
      </c>
      <c r="H23" s="3">
        <f t="shared" si="55"/>
        <v>2019</v>
      </c>
      <c r="I23" s="3">
        <f t="shared" si="55"/>
        <v>2020</v>
      </c>
      <c r="J23" s="3">
        <f t="shared" si="55"/>
        <v>2021</v>
      </c>
      <c r="K23" s="3">
        <f t="shared" si="55"/>
        <v>2022</v>
      </c>
      <c r="L23" s="3">
        <f t="shared" si="55"/>
        <v>2023</v>
      </c>
      <c r="M23" s="3">
        <f t="shared" si="55"/>
        <v>2024</v>
      </c>
      <c r="N23" s="3">
        <f t="shared" si="55"/>
        <v>2025</v>
      </c>
      <c r="P23" s="4" t="s">
        <v>22</v>
      </c>
    </row>
    <row r="24" spans="1:17" x14ac:dyDescent="0.3">
      <c r="A24" t="s">
        <v>10</v>
      </c>
      <c r="B24" s="5">
        <f>B9/B17</f>
        <v>7.7773299780084473E-2</v>
      </c>
      <c r="C24" s="5">
        <f>C9/C17</f>
        <v>7.8101255569056297E-2</v>
      </c>
      <c r="D24" s="2">
        <v>7.0000000000000007E-2</v>
      </c>
      <c r="E24" s="2">
        <v>0.06</v>
      </c>
      <c r="F24" s="2">
        <v>0.06</v>
      </c>
      <c r="G24" s="2">
        <v>0.06</v>
      </c>
      <c r="H24" s="2">
        <v>0.06</v>
      </c>
      <c r="I24" s="5">
        <f t="shared" ref="I24:N24" si="56">I9/I17</f>
        <v>6.9361048231192476E-2</v>
      </c>
      <c r="J24" s="5">
        <f t="shared" si="56"/>
        <v>7.4916138650764075E-2</v>
      </c>
      <c r="K24" s="5">
        <f t="shared" si="56"/>
        <v>0</v>
      </c>
      <c r="L24" s="5">
        <f t="shared" si="56"/>
        <v>0</v>
      </c>
      <c r="M24" s="5">
        <f t="shared" si="56"/>
        <v>0</v>
      </c>
      <c r="N24" s="5">
        <f t="shared" si="56"/>
        <v>0</v>
      </c>
      <c r="P24" s="1" t="s">
        <v>8</v>
      </c>
      <c r="Q24" t="s">
        <v>9</v>
      </c>
    </row>
    <row r="25" spans="1:17" x14ac:dyDescent="0.3">
      <c r="A25" t="s">
        <v>11</v>
      </c>
      <c r="B25" s="5">
        <f>B13/B17</f>
        <v>5.4366417979125475E-2</v>
      </c>
      <c r="C25" s="5">
        <f>C13/C17</f>
        <v>6.4226812474686104E-2</v>
      </c>
      <c r="D25" s="2">
        <v>7.0000000000000007E-2</v>
      </c>
      <c r="E25" s="2">
        <v>7.0000000000000007E-2</v>
      </c>
      <c r="F25" s="2">
        <v>7.0000000000000007E-2</v>
      </c>
      <c r="G25" s="2">
        <v>7.0000000000000007E-2</v>
      </c>
      <c r="H25" s="2">
        <v>7.0000000000000007E-2</v>
      </c>
      <c r="I25" s="5">
        <f t="shared" ref="I25:N25" si="57">I13/I17</f>
        <v>7.6343748450950905E-2</v>
      </c>
      <c r="J25" s="5">
        <f t="shared" si="57"/>
        <v>9.0942974282519573E-2</v>
      </c>
      <c r="K25" s="5">
        <f t="shared" si="57"/>
        <v>9.2568015925680161E-2</v>
      </c>
      <c r="L25" s="5">
        <f t="shared" si="57"/>
        <v>8.3622350674373791E-2</v>
      </c>
      <c r="M25" s="5">
        <f t="shared" si="57"/>
        <v>8.7386018237082072E-2</v>
      </c>
      <c r="N25" s="5">
        <f t="shared" si="57"/>
        <v>8.98876404494382E-2</v>
      </c>
    </row>
    <row r="26" spans="1:17" x14ac:dyDescent="0.3">
      <c r="A26" t="s">
        <v>12</v>
      </c>
      <c r="B26" s="5">
        <v>0</v>
      </c>
      <c r="C26" s="5">
        <v>0</v>
      </c>
      <c r="D26" s="2">
        <v>0.08</v>
      </c>
      <c r="E26" s="2">
        <v>7.0000000000000007E-2</v>
      </c>
      <c r="F26" s="2">
        <v>0.06</v>
      </c>
      <c r="G26" s="2">
        <v>0.06</v>
      </c>
      <c r="H26" s="2">
        <v>0.06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7" x14ac:dyDescent="0.3">
      <c r="A27" t="s">
        <v>13</v>
      </c>
      <c r="B27" s="5">
        <f>B7/B17</f>
        <v>0.1199126684670333</v>
      </c>
      <c r="C27" s="5">
        <f>C7/C17</f>
        <v>0.13500202511138112</v>
      </c>
      <c r="D27" s="2">
        <v>0.14000000000000001</v>
      </c>
      <c r="E27" s="2">
        <v>0.15</v>
      </c>
      <c r="F27" s="2">
        <v>0.16</v>
      </c>
      <c r="G27" s="2">
        <v>0.17</v>
      </c>
      <c r="H27" s="2">
        <v>0.17</v>
      </c>
      <c r="I27" s="5">
        <f t="shared" ref="I27:N27" si="58">I7/I17</f>
        <v>0.16621668511756249</v>
      </c>
      <c r="J27" s="5">
        <f t="shared" si="58"/>
        <v>0.17033171822586657</v>
      </c>
      <c r="K27" s="5">
        <f t="shared" si="58"/>
        <v>0.16522893165228933</v>
      </c>
      <c r="L27" s="5">
        <f t="shared" si="58"/>
        <v>0.15414258188824662</v>
      </c>
      <c r="M27" s="5">
        <f t="shared" si="58"/>
        <v>0.14855623100303952</v>
      </c>
      <c r="N27" s="5">
        <f t="shared" si="58"/>
        <v>0.144311797752809</v>
      </c>
    </row>
    <row r="28" spans="1:17" x14ac:dyDescent="0.3">
      <c r="A28" t="s">
        <v>14</v>
      </c>
      <c r="B28" s="5">
        <f>B5/B17</f>
        <v>0.16561257421752279</v>
      </c>
      <c r="C28" s="5">
        <f>C5/C17</f>
        <v>0.18420089104900769</v>
      </c>
      <c r="D28" s="2">
        <v>0.19</v>
      </c>
      <c r="E28" s="2">
        <v>0.21</v>
      </c>
      <c r="F28" s="2">
        <v>0.22</v>
      </c>
      <c r="G28" s="2">
        <v>0.22</v>
      </c>
      <c r="H28" s="2">
        <v>0.22</v>
      </c>
      <c r="I28" s="5">
        <f t="shared" ref="I28:N28" si="59">I5/I17</f>
        <v>0.22354554617405528</v>
      </c>
      <c r="J28" s="5">
        <f t="shared" si="59"/>
        <v>0.21990309355199403</v>
      </c>
      <c r="K28" s="5">
        <f t="shared" si="59"/>
        <v>0.18347710683477106</v>
      </c>
      <c r="L28" s="5">
        <f t="shared" si="59"/>
        <v>0.20385356454720616</v>
      </c>
      <c r="M28" s="5">
        <f t="shared" si="59"/>
        <v>0.20136778115501519</v>
      </c>
      <c r="N28" s="14">
        <f t="shared" si="59"/>
        <v>0.20189606741573032</v>
      </c>
    </row>
    <row r="29" spans="1:17" x14ac:dyDescent="0.3">
      <c r="A29" t="s">
        <v>15</v>
      </c>
      <c r="B29" s="5">
        <f>B3/B17</f>
        <v>0.17074076307196284</v>
      </c>
      <c r="C29" s="5">
        <f>C3/C17</f>
        <v>0.19192547590117456</v>
      </c>
      <c r="D29" s="2">
        <v>0.2</v>
      </c>
      <c r="E29" s="2">
        <v>0.21</v>
      </c>
      <c r="F29" s="2">
        <v>0.22</v>
      </c>
      <c r="G29" s="2">
        <v>0.24</v>
      </c>
      <c r="H29" s="2">
        <v>0.24</v>
      </c>
      <c r="I29" s="5">
        <f t="shared" ref="I29:N29" si="60">I3/I17</f>
        <v>0.24014474314700682</v>
      </c>
      <c r="J29" s="5">
        <f t="shared" si="60"/>
        <v>0.23630264629146477</v>
      </c>
      <c r="K29" s="5">
        <f t="shared" si="60"/>
        <v>0.22561380225613803</v>
      </c>
      <c r="L29" s="5">
        <f t="shared" si="60"/>
        <v>0.22736030828516376</v>
      </c>
      <c r="M29" s="5">
        <f t="shared" si="60"/>
        <v>0.23480243161094225</v>
      </c>
      <c r="N29" s="14">
        <f t="shared" si="60"/>
        <v>0.24859550561797752</v>
      </c>
    </row>
    <row r="30" spans="1:17" x14ac:dyDescent="0.3">
      <c r="A30" t="s">
        <v>24</v>
      </c>
      <c r="B30" s="5">
        <f>B15/B17</f>
        <v>0.4115942764842711</v>
      </c>
      <c r="C30" s="5">
        <f>C15/C17</f>
        <v>0.34654353989469422</v>
      </c>
      <c r="D30" s="2">
        <v>0.25</v>
      </c>
      <c r="E30" s="2">
        <v>0.23</v>
      </c>
      <c r="F30" s="2">
        <v>0.21</v>
      </c>
      <c r="G30" s="2">
        <v>0.18</v>
      </c>
      <c r="H30" s="2">
        <v>0.18</v>
      </c>
      <c r="I30" s="5">
        <f t="shared" ref="I30:N30" si="61">I15/I17</f>
        <v>0.22438822887923202</v>
      </c>
      <c r="J30" s="5">
        <f t="shared" si="61"/>
        <v>0.20760342899739098</v>
      </c>
      <c r="K30" s="5">
        <f t="shared" si="61"/>
        <v>0.2650962176509622</v>
      </c>
      <c r="L30" s="5">
        <f t="shared" si="61"/>
        <v>0.26628131021194607</v>
      </c>
      <c r="M30" s="5">
        <f t="shared" si="61"/>
        <v>0.25949848024316108</v>
      </c>
      <c r="N30" s="5">
        <f t="shared" si="61"/>
        <v>0.24332865168539325</v>
      </c>
    </row>
    <row r="31" spans="1:17" x14ac:dyDescent="0.3">
      <c r="A31" t="s">
        <v>23</v>
      </c>
      <c r="B31" s="5">
        <f>B29+B28+B27+B26+B25+B24+B30</f>
        <v>1</v>
      </c>
      <c r="C31" s="5">
        <f t="shared" ref="C31:N31" si="62">C29+C28+C27+C26+C25+C24+C30</f>
        <v>1</v>
      </c>
      <c r="D31" s="5">
        <f t="shared" si="62"/>
        <v>1</v>
      </c>
      <c r="E31" s="5">
        <f t="shared" si="62"/>
        <v>1</v>
      </c>
      <c r="F31" s="5">
        <f t="shared" si="62"/>
        <v>1</v>
      </c>
      <c r="G31" s="5">
        <f t="shared" si="62"/>
        <v>1</v>
      </c>
      <c r="H31" s="5">
        <f t="shared" si="62"/>
        <v>1</v>
      </c>
      <c r="I31" s="5">
        <f t="shared" si="62"/>
        <v>1</v>
      </c>
      <c r="J31" s="5">
        <f t="shared" si="62"/>
        <v>1</v>
      </c>
      <c r="K31" s="5">
        <f t="shared" si="62"/>
        <v>0.93198407431984087</v>
      </c>
      <c r="L31" s="5">
        <f t="shared" si="62"/>
        <v>0.93526011560693645</v>
      </c>
      <c r="M31" s="5">
        <f t="shared" si="62"/>
        <v>0.93161094224924001</v>
      </c>
      <c r="N31" s="5">
        <f t="shared" si="62"/>
        <v>0.92801966292134819</v>
      </c>
    </row>
  </sheetData>
  <hyperlinks>
    <hyperlink ref="P4" r:id="rId1" xr:uid="{63F21DE6-7DA8-422F-A9EB-E5E3F3B28EA8}"/>
    <hyperlink ref="P5" r:id="rId2" xr:uid="{5B6E15BD-CC97-485F-B737-C8C525012C3F}"/>
    <hyperlink ref="P6" r:id="rId3" xr:uid="{1F7EC54F-4A9B-4E29-B7FD-13B43F9066DD}"/>
    <hyperlink ref="P10" r:id="rId4" xr:uid="{080125DE-435A-49C4-AE9A-C1E039960FB5}"/>
    <hyperlink ref="P7" r:id="rId5" xr:uid="{C314BA53-1697-4D1E-B3B8-1E759891DA11}"/>
    <hyperlink ref="P9" r:id="rId6" xr:uid="{F0120128-90CC-41BE-81B5-C60D52DD7F56}"/>
    <hyperlink ref="P11" r:id="rId7" xr:uid="{028ED8B5-4486-4DF8-A98A-108DAA762CA3}"/>
    <hyperlink ref="P12" r:id="rId8" xr:uid="{8E2C2E8F-F3A8-4F2D-83C7-CE0998A0B9CD}"/>
    <hyperlink ref="P24" r:id="rId9" xr:uid="{0363E08D-35AD-4B3F-8388-0966C2CB7B35}"/>
  </hyperlinks>
  <pageMargins left="0.7" right="0.7" top="0.75" bottom="0.75" header="0.3" footer="0.3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6F5D-B050-48BF-888E-0B46806198E5}">
  <dimension ref="A1:L5"/>
  <sheetViews>
    <sheetView workbookViewId="0">
      <selection activeCell="L4" sqref="L4"/>
    </sheetView>
  </sheetViews>
  <sheetFormatPr defaultRowHeight="14.4" x14ac:dyDescent="0.3"/>
  <cols>
    <col min="1" max="1" width="25.77734375" customWidth="1"/>
  </cols>
  <sheetData>
    <row r="1" spans="1:12" x14ac:dyDescent="0.3">
      <c r="A1" s="1" t="s">
        <v>1</v>
      </c>
    </row>
    <row r="3" spans="1:12" x14ac:dyDescent="0.3">
      <c r="A3" t="s">
        <v>31</v>
      </c>
      <c r="B3" s="11">
        <v>2022</v>
      </c>
      <c r="C3" s="11">
        <f>B3+1</f>
        <v>2023</v>
      </c>
      <c r="D3" s="12">
        <f t="shared" ref="D3:L3" si="0">C3+1</f>
        <v>2024</v>
      </c>
      <c r="E3" s="12">
        <f t="shared" si="0"/>
        <v>2025</v>
      </c>
      <c r="F3" s="12">
        <f t="shared" si="0"/>
        <v>2026</v>
      </c>
      <c r="G3" s="12">
        <f t="shared" si="0"/>
        <v>2027</v>
      </c>
      <c r="H3" s="12">
        <f t="shared" si="0"/>
        <v>2028</v>
      </c>
      <c r="I3" s="12">
        <f t="shared" si="0"/>
        <v>2029</v>
      </c>
      <c r="J3" s="12">
        <f t="shared" si="0"/>
        <v>2030</v>
      </c>
      <c r="K3" s="12">
        <f t="shared" si="0"/>
        <v>2031</v>
      </c>
      <c r="L3" s="12">
        <f t="shared" si="0"/>
        <v>2032</v>
      </c>
    </row>
    <row r="4" spans="1:12" x14ac:dyDescent="0.3">
      <c r="A4" t="s">
        <v>32</v>
      </c>
      <c r="B4" s="10">
        <v>162.80000000000001</v>
      </c>
      <c r="C4" s="10">
        <v>170</v>
      </c>
      <c r="D4" s="10">
        <v>176.5</v>
      </c>
      <c r="E4" s="10">
        <v>186.3</v>
      </c>
      <c r="F4" s="10">
        <v>195.5</v>
      </c>
      <c r="G4" s="10">
        <v>203</v>
      </c>
      <c r="H4" s="10">
        <v>208.5</v>
      </c>
      <c r="I4" s="10">
        <v>217.7</v>
      </c>
      <c r="J4" s="10">
        <v>226.1</v>
      </c>
      <c r="K4" s="10">
        <v>236</v>
      </c>
      <c r="L4" s="10">
        <v>247.7</v>
      </c>
    </row>
    <row r="5" spans="1:12" x14ac:dyDescent="0.3">
      <c r="A5" s="13" t="s">
        <v>33</v>
      </c>
      <c r="C5" s="8">
        <f>C4/B4-1</f>
        <v>4.4226044226044259E-2</v>
      </c>
      <c r="D5" s="8">
        <f t="shared" ref="D5:L5" si="1">D4/C4-1</f>
        <v>3.8235294117647145E-2</v>
      </c>
      <c r="E5" s="8">
        <f t="shared" si="1"/>
        <v>5.5524079320113273E-2</v>
      </c>
      <c r="F5" s="8">
        <f t="shared" si="1"/>
        <v>4.9382716049382713E-2</v>
      </c>
      <c r="G5" s="8">
        <f t="shared" si="1"/>
        <v>3.8363171355498826E-2</v>
      </c>
      <c r="H5" s="8">
        <f t="shared" si="1"/>
        <v>2.7093596059113212E-2</v>
      </c>
      <c r="I5" s="8">
        <f t="shared" si="1"/>
        <v>4.412470023980819E-2</v>
      </c>
      <c r="J5" s="8">
        <f t="shared" si="1"/>
        <v>3.8585209003215493E-2</v>
      </c>
      <c r="K5" s="8">
        <f t="shared" si="1"/>
        <v>4.3785935426802425E-2</v>
      </c>
      <c r="L5" s="8">
        <f t="shared" si="1"/>
        <v>4.9576271186440701E-2</v>
      </c>
    </row>
  </sheetData>
  <hyperlinks>
    <hyperlink ref="A1" r:id="rId1" xr:uid="{41248F5A-B464-41B9-B996-D869185664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Laptop Shipment &amp; Market Share</vt:lpstr>
      <vt:lpstr>Laptop Forecasting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Simba Choga</dc:creator>
  <cp:lastModifiedBy>Simba Choga</cp:lastModifiedBy>
  <dcterms:created xsi:type="dcterms:W3CDTF">2015-06-05T18:17:20Z</dcterms:created>
  <dcterms:modified xsi:type="dcterms:W3CDTF">2026-10-07T14:59:30Z</dcterms:modified>
</cp:coreProperties>
</file>