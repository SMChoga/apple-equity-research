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Simba\U.S Companies - Equity Reseach\Technology Hardware &amp; Equipment Sector\Technology Hardware, Storage &amp; Peripherals Industry\Apple - Research Excel Documents\"/>
    </mc:Choice>
  </mc:AlternateContent>
  <xr:revisionPtr revIDLastSave="0" documentId="13_ncr:1_{C1E6DD3F-387B-482B-8AF6-22B6CBA86F26}" xr6:coauthVersionLast="47" xr6:coauthVersionMax="47" xr10:uidLastSave="{00000000-0000-0000-0000-000000000000}"/>
  <bookViews>
    <workbookView xWindow="-108" yWindow="-108" windowWidth="23256" windowHeight="13176" firstSheet="1" activeTab="3" xr2:uid="{00000000-000D-0000-FFFF-FFFF00000000}"/>
  </bookViews>
  <sheets>
    <sheet name="Smartphone - GDP per Capita" sheetId="1" r:id="rId1"/>
    <sheet name="Smartphone Forecast" sheetId="3" r:id="rId2"/>
    <sheet name="Smartphone Premium Priced" sheetId="4" r:id="rId3"/>
    <sheet name="Smartphone Emergying Markets" sheetId="5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9" i="5" l="1"/>
  <c r="I69" i="5"/>
  <c r="J67" i="5"/>
  <c r="I67" i="5"/>
  <c r="J65" i="5"/>
  <c r="I65" i="5"/>
  <c r="J63" i="5"/>
  <c r="I63" i="5"/>
  <c r="J61" i="5"/>
  <c r="I61" i="5"/>
  <c r="J59" i="5"/>
  <c r="I59" i="5"/>
  <c r="J57" i="5"/>
  <c r="I57" i="5"/>
  <c r="D70" i="5"/>
  <c r="D68" i="5"/>
  <c r="D66" i="5"/>
  <c r="D64" i="5"/>
  <c r="D62" i="5"/>
  <c r="D60" i="5"/>
  <c r="D58" i="5"/>
  <c r="D69" i="5"/>
  <c r="C69" i="5"/>
  <c r="J41" i="5"/>
  <c r="I41" i="5"/>
  <c r="D50" i="5"/>
  <c r="D48" i="5"/>
  <c r="D46" i="5"/>
  <c r="D44" i="5"/>
  <c r="D42" i="5"/>
  <c r="D40" i="5"/>
  <c r="D51" i="5"/>
  <c r="J51" i="5" s="1"/>
  <c r="C51" i="5"/>
  <c r="I51" i="5" s="1"/>
  <c r="J33" i="5"/>
  <c r="J23" i="5"/>
  <c r="I23" i="5"/>
  <c r="J21" i="5"/>
  <c r="D32" i="5"/>
  <c r="D30" i="5"/>
  <c r="D28" i="5"/>
  <c r="D26" i="5"/>
  <c r="D24" i="5"/>
  <c r="D22" i="5"/>
  <c r="D33" i="5"/>
  <c r="J31" i="5" s="1"/>
  <c r="C33" i="5"/>
  <c r="I33" i="5" s="1"/>
  <c r="I2" i="5"/>
  <c r="J2" i="5" s="1"/>
  <c r="D14" i="5"/>
  <c r="C14" i="5"/>
  <c r="D12" i="5"/>
  <c r="C12" i="5"/>
  <c r="D10" i="5"/>
  <c r="C10" i="5"/>
  <c r="D8" i="5"/>
  <c r="C8" i="5"/>
  <c r="D6" i="5"/>
  <c r="C6" i="5"/>
  <c r="D4" i="5"/>
  <c r="C4" i="5"/>
  <c r="D15" i="5"/>
  <c r="J13" i="5" s="1"/>
  <c r="C15" i="5"/>
  <c r="I3" i="5" s="1"/>
  <c r="B15" i="5"/>
  <c r="H13" i="5" s="1"/>
  <c r="D2" i="5"/>
  <c r="C2" i="5"/>
  <c r="F23" i="4"/>
  <c r="E23" i="4"/>
  <c r="D23" i="4"/>
  <c r="C23" i="4"/>
  <c r="B23" i="4"/>
  <c r="C13" i="4"/>
  <c r="D13" i="4" s="1"/>
  <c r="E13" i="4" s="1"/>
  <c r="F13" i="4" s="1"/>
  <c r="C2" i="4"/>
  <c r="D2" i="4" s="1"/>
  <c r="E2" i="4" s="1"/>
  <c r="F2" i="4" s="1"/>
  <c r="G2" i="4" s="1"/>
  <c r="H2" i="4" s="1"/>
  <c r="I2" i="4" s="1"/>
  <c r="J2" i="4" s="1"/>
  <c r="L4" i="3"/>
  <c r="K4" i="3"/>
  <c r="J4" i="3"/>
  <c r="I4" i="3"/>
  <c r="H4" i="3"/>
  <c r="G4" i="3"/>
  <c r="F4" i="3"/>
  <c r="E4" i="3"/>
  <c r="D4" i="3"/>
  <c r="C4" i="3"/>
  <c r="L2" i="3"/>
  <c r="K2" i="3"/>
  <c r="D2" i="3"/>
  <c r="E2" i="3" s="1"/>
  <c r="F2" i="3" s="1"/>
  <c r="G2" i="3" s="1"/>
  <c r="H2" i="3" s="1"/>
  <c r="I2" i="3" s="1"/>
  <c r="J2" i="3" s="1"/>
  <c r="C2" i="3"/>
  <c r="E41" i="1"/>
  <c r="E39" i="1"/>
  <c r="C40" i="1"/>
  <c r="C39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C5" i="1"/>
  <c r="D5" i="1" s="1"/>
  <c r="E5" i="1" s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C16" i="5" l="1"/>
  <c r="I9" i="5"/>
  <c r="I43" i="5"/>
  <c r="D16" i="5"/>
  <c r="I25" i="5"/>
  <c r="J43" i="5"/>
  <c r="H3" i="5"/>
  <c r="I27" i="5"/>
  <c r="J45" i="5"/>
  <c r="J5" i="5"/>
  <c r="J27" i="5"/>
  <c r="I47" i="5"/>
  <c r="H7" i="5"/>
  <c r="J7" i="5"/>
  <c r="I29" i="5"/>
  <c r="J47" i="5"/>
  <c r="H9" i="5"/>
  <c r="J9" i="5"/>
  <c r="J29" i="5"/>
  <c r="I49" i="5"/>
  <c r="H11" i="5"/>
  <c r="H15" i="5" s="1"/>
  <c r="J11" i="5"/>
  <c r="J15" i="5" s="1"/>
  <c r="I31" i="5"/>
  <c r="D52" i="5"/>
  <c r="J49" i="5"/>
  <c r="I5" i="5"/>
  <c r="I11" i="5"/>
  <c r="I13" i="5"/>
  <c r="I15" i="5" s="1"/>
  <c r="J25" i="5"/>
  <c r="I45" i="5"/>
  <c r="J3" i="5"/>
  <c r="H5" i="5"/>
  <c r="D34" i="5"/>
  <c r="I39" i="5"/>
  <c r="I7" i="5"/>
  <c r="I21" i="5"/>
  <c r="J3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Simba Choga</author>
  </authors>
  <commentList>
    <comment ref="B8" authorId="0" shapeId="0" xr:uid="{1D2F3A74-2D3B-4437-ACDB-D6F890D63C9A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Much of the difference can arise because some users have multiple devices</t>
        </r>
      </text>
    </comment>
    <comment ref="A17" authorId="0" shapeId="0" xr:uid="{84710083-15A7-4ACC-85EE-6F8137EA6356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2024</t>
        </r>
      </text>
    </comment>
    <comment ref="G18" authorId="0" shapeId="0" xr:uid="{7D9E10C2-CEC1-4B30-8F0A-7DA55FFBC743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GDP per capita - 2024 data
Since the rest of the data is from 2024</t>
        </r>
      </text>
    </comment>
    <comment ref="A50" authorId="0" shapeId="0" xr:uid="{E0A69B78-464F-4EBB-AE51-E983CC941D5D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The top 10 countries with the highest smartphone penetration are all developed countries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Simba Choga</author>
  </authors>
  <commentList>
    <comment ref="I3" authorId="0" shapeId="0" xr:uid="{593D2839-25D9-468A-B099-B8045D47A630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For 2023, Counterpoint reported that the premium segment accounted for “close to one-fourth” of global smartphone sales. That means approximately 24%–25% of total global smartphone unit sales.
https://counterpointresearch.com/en/insights/post-insight-research-notes-blogs-global-premium-smartphone-share-climbs-to-25-in-2024-as-premiumization-continues</t>
        </r>
      </text>
    </comment>
    <comment ref="I4" authorId="0" shapeId="0" xr:uid="{26EA34B1-14AE-4D6E-B135-DEEBEC320118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Counterpoint explicitly states that premium smartphones (wholesale price ≥ $600) accounted for 60% of global smartphone revenues in 2023.
https://counterpointresearch.com/en/insights/post-insight-research-notes-blogs-global-premium-smartphone-share-climbs-to-25-in-2024-as-premiumization-continues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Simba Choga</author>
  </authors>
  <commentList>
    <comment ref="L39" authorId="0" shapeId="0" xr:uid="{EB277FC8-A44E-4AD4-A90B-95B35DAFFFCF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https://omdia.tech.informa.com/pr/2026/feb/samsung-regains-southeast-asia-leadership-in-2025-as-smartphone-shipments-dip-1percent</t>
        </r>
      </text>
    </comment>
  </commentList>
</comments>
</file>

<file path=xl/sharedStrings.xml><?xml version="1.0" encoding="utf-8"?>
<sst xmlns="http://schemas.openxmlformats.org/spreadsheetml/2006/main" count="197" uniqueCount="104">
  <si>
    <t>https://www.bankmycell.com/blog/how-many-phones-are-in-the-world</t>
  </si>
  <si>
    <t>https://www.imf.org/external/datamapper/NGDPDPC@WEO/OEMDC/ADVEC/WEOWORLD</t>
  </si>
  <si>
    <t>https://www.pewresearch.org/short-reads/2024/02/05/8-charts-on-technology-use-around-the-world/</t>
  </si>
  <si>
    <t>Example</t>
  </si>
  <si>
    <t>https://market.us/report/smartphone-market/</t>
  </si>
  <si>
    <t>https://www.extrapolate.com/semiconductor-electronics/smartphone-market/25814</t>
  </si>
  <si>
    <t>https://www.telecoms.com/mobile-devices/premium-priced-phones-now-represent-over-half-the-market-revenue</t>
  </si>
  <si>
    <t>https://counterpointresearch.com/en/insights/global-premium-smartphone-market-continues-record-growth-2023</t>
  </si>
  <si>
    <t>https://9to5mac.com/2022/03/23/premium-smartphone-sales-aapl/</t>
  </si>
  <si>
    <t>https://counterpointresearch.com/en/insights/post-insight-research-notes-blogs-global-premium-smartphone-share-climbs-to-25-in-2024-as-premiumization-continues</t>
  </si>
  <si>
    <t xml:space="preserve">Number of Smartphones </t>
  </si>
  <si>
    <t>% Growth</t>
  </si>
  <si>
    <t>Number of Smartphones Users</t>
  </si>
  <si>
    <t>Rank</t>
  </si>
  <si>
    <t>Country/Market</t>
  </si>
  <si>
    <t>Total Population</t>
  </si>
  <si>
    <t>Smartphone Penetration</t>
  </si>
  <si>
    <t>Smartphone Users</t>
  </si>
  <si>
    <t>United Kingdom</t>
  </si>
  <si>
    <t>Netherlands</t>
  </si>
  <si>
    <t>Germany</t>
  </si>
  <si>
    <t>Sweden</t>
  </si>
  <si>
    <t>United States</t>
  </si>
  <si>
    <t>Belgium</t>
  </si>
  <si>
    <t>France</t>
  </si>
  <si>
    <t>Spain</t>
  </si>
  <si>
    <t>Canada</t>
  </si>
  <si>
    <t>Australia</t>
  </si>
  <si>
    <t>South Korea</t>
  </si>
  <si>
    <t>Kazakhstan</t>
  </si>
  <si>
    <t>Poland</t>
  </si>
  <si>
    <t>Russian Federation</t>
  </si>
  <si>
    <t>Taiwan</t>
  </si>
  <si>
    <t>Italy</t>
  </si>
  <si>
    <t>Malaysia</t>
  </si>
  <si>
    <t>China</t>
  </si>
  <si>
    <t>Japan</t>
  </si>
  <si>
    <t>Romania</t>
  </si>
  <si>
    <t>Total Smart Phone Users</t>
  </si>
  <si>
    <t>Top 20 Countries by Smartphone Penetration</t>
  </si>
  <si>
    <t>India</t>
  </si>
  <si>
    <t>Brazil</t>
  </si>
  <si>
    <t>Indonesia</t>
  </si>
  <si>
    <t>Mexico</t>
  </si>
  <si>
    <t>Philippines</t>
  </si>
  <si>
    <t>Vietnam</t>
  </si>
  <si>
    <t>Turkey</t>
  </si>
  <si>
    <t>Thailand</t>
  </si>
  <si>
    <t>Iran</t>
  </si>
  <si>
    <t>Egypt</t>
  </si>
  <si>
    <t>Rank (million)</t>
  </si>
  <si>
    <t xml:space="preserve">Top 20 Countries by Smartphone Users </t>
  </si>
  <si>
    <t>Units Billions</t>
  </si>
  <si>
    <t xml:space="preserve">Worldwide population </t>
  </si>
  <si>
    <t>% of smartphone users worldwide</t>
  </si>
  <si>
    <t>Source</t>
  </si>
  <si>
    <t>GDP per Capita</t>
  </si>
  <si>
    <t xml:space="preserve">India </t>
  </si>
  <si>
    <t>Nigeria</t>
  </si>
  <si>
    <t>Singapre</t>
  </si>
  <si>
    <t>https://data.gov.sg/datasets/d_65567444c3df02aceb795897bbd183c9/view</t>
  </si>
  <si>
    <t>Smartphone ownership</t>
  </si>
  <si>
    <t>https://guardian.ng/business-services/usage-gap-threatens-nigerias-digital-gains-despite-expanded-connectivity/</t>
  </si>
  <si>
    <t>USD Billion</t>
  </si>
  <si>
    <t>Smartphone Forecasts</t>
  </si>
  <si>
    <t>Smartphone Revenue Forecast</t>
  </si>
  <si>
    <t>Sales Contribution</t>
  </si>
  <si>
    <t>Revenue Contribution</t>
  </si>
  <si>
    <t>Global Premium (&gt;$600) Market Sales and Revenue Contribution</t>
  </si>
  <si>
    <t>Sources</t>
  </si>
  <si>
    <t>Global Premium (&gt;$600) Smartphone Market Sales Share, iOS vs Android</t>
  </si>
  <si>
    <t>iOS</t>
  </si>
  <si>
    <t>Market Share</t>
  </si>
  <si>
    <t>Apple</t>
  </si>
  <si>
    <t>Samsung</t>
  </si>
  <si>
    <t>Huawei</t>
  </si>
  <si>
    <t>Xiaomi</t>
  </si>
  <si>
    <t>HONOR</t>
  </si>
  <si>
    <t>Google</t>
  </si>
  <si>
    <t>Others</t>
  </si>
  <si>
    <t>Total</t>
  </si>
  <si>
    <t>Oppo</t>
  </si>
  <si>
    <t>Vivo</t>
  </si>
  <si>
    <t>-</t>
  </si>
  <si>
    <t>Global Premium (&gt;$600) Smartphone Market Sales Share</t>
  </si>
  <si>
    <t>2025-2024</t>
  </si>
  <si>
    <t>2023-2024</t>
  </si>
  <si>
    <t>https://omdia.tech.informa.com/pr/2026/feb/omdia-latin-americas-smartphone-market-hits-record-140point5-million-units-in-2025-up-12percent-in-4q</t>
  </si>
  <si>
    <t>https://www.sammobile.com/news/samsung-biggest-phone-maker-latin-america-2024/</t>
  </si>
  <si>
    <t>https://omdia.tech.informa.com/pr/2026/feb/african-smartphone-market-jumps-14percent-in-4a25-as-entry-tier-pressures-signal-2026-reset?utm_source=chatgpt.com</t>
  </si>
  <si>
    <t>https://www.linkedin.com/posts/runar-bjorhovde_talking-about-the-red-ocean-vs-blue-ocean-share-7428026031695044608-VNmB/</t>
  </si>
  <si>
    <t>https://omdia.tech.informa.com/pr/2026/feb/middle-east-smartphone-market-grows-13eprcent-in-2025-memory-pressures-to-weigh-on-2026-outlook</t>
  </si>
  <si>
    <t>Motorola</t>
  </si>
  <si>
    <t>Transsion</t>
  </si>
  <si>
    <t>Honor</t>
  </si>
  <si>
    <t>Africa - Smartphone Shipments (million)</t>
  </si>
  <si>
    <t>Latin America Smartphone Shipments (million)</t>
  </si>
  <si>
    <t>South East Asia Smartphone Shipments (million)</t>
  </si>
  <si>
    <t>Middle East Smartphone Shipments (million)</t>
  </si>
  <si>
    <t>Latin America Market Share</t>
  </si>
  <si>
    <t>OPPO</t>
  </si>
  <si>
    <t>Africa Market Share</t>
  </si>
  <si>
    <t>South East Asia Market Share</t>
  </si>
  <si>
    <t>Middle East Market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</si>
</sst>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FY&quot;0&quot;E&quot;"/>
    <numFmt numFmtId="165" formatCode="&quot;FY&quot;0&quot;A&quot;"/>
    <numFmt numFmtId="166" formatCode="0.0%"/>
    <numFmt numFmtId="167" formatCode="0.0"/>
    <numFmt numFmtId="168" formatCode="#,##0.0"/>
    <numFmt numFmtId="169" formatCode="_(* #,##0.0_);_(* \(#,##0.0\);_(* &quot;-&quot;??_);_(@_)"/>
    <numFmt numFmtId="170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1"/>
    <xf numFmtId="0" fontId="5" fillId="0" borderId="0" xfId="0" applyFont="1"/>
    <xf numFmtId="43" fontId="0" fillId="0" borderId="0" xfId="2" applyFont="1"/>
    <xf numFmtId="2" fontId="0" fillId="0" borderId="0" xfId="0" applyNumberFormat="1"/>
    <xf numFmtId="0" fontId="6" fillId="0" borderId="0" xfId="0" applyFont="1"/>
    <xf numFmtId="0" fontId="0" fillId="0" borderId="0" xfId="0" applyAlignment="1">
      <alignment wrapText="1"/>
    </xf>
    <xf numFmtId="166" fontId="0" fillId="0" borderId="0" xfId="3" applyNumberFormat="1" applyFont="1"/>
    <xf numFmtId="0" fontId="0" fillId="0" borderId="0" xfId="0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167" fontId="0" fillId="0" borderId="0" xfId="0" applyNumberFormat="1"/>
    <xf numFmtId="0" fontId="5" fillId="0" borderId="0" xfId="0" applyFont="1" applyAlignment="1">
      <alignment wrapText="1"/>
    </xf>
    <xf numFmtId="168" fontId="0" fillId="0" borderId="0" xfId="0" applyNumberFormat="1"/>
    <xf numFmtId="165" fontId="5" fillId="0" borderId="0" xfId="0" applyNumberFormat="1" applyFont="1"/>
    <xf numFmtId="164" fontId="5" fillId="0" borderId="0" xfId="0" applyNumberFormat="1" applyFont="1"/>
    <xf numFmtId="9" fontId="0" fillId="0" borderId="0" xfId="0" applyNumberFormat="1"/>
    <xf numFmtId="170" fontId="0" fillId="0" borderId="0" xfId="2" applyNumberFormat="1" applyFont="1"/>
    <xf numFmtId="43" fontId="0" fillId="0" borderId="0" xfId="0" applyNumberFormat="1"/>
    <xf numFmtId="169" fontId="0" fillId="0" borderId="0" xfId="0" applyNumberFormat="1"/>
    <xf numFmtId="166" fontId="0" fillId="0" borderId="0" xfId="0" applyNumberFormat="1"/>
    <xf numFmtId="10" fontId="0" fillId="0" borderId="0" xfId="0" applyNumberFormat="1"/>
    <xf numFmtId="165" fontId="0" fillId="0" borderId="0" xfId="0" applyNumberFormat="1"/>
    <xf numFmtId="164" fontId="0" fillId="0" borderId="0" xfId="0" applyNumberFormat="1"/>
    <xf numFmtId="9" fontId="7" fillId="0" borderId="0" xfId="0" applyNumberFormat="1" applyFont="1"/>
    <xf numFmtId="0" fontId="0" fillId="0" borderId="0" xfId="0" applyAlignment="1">
      <alignment horizontal="right"/>
    </xf>
    <xf numFmtId="166" fontId="0" fillId="2" borderId="0" xfId="3" applyNumberFormat="1" applyFont="1" applyFill="1"/>
    <xf numFmtId="9" fontId="0" fillId="2" borderId="0" xfId="0" applyNumberFormat="1" applyFill="1"/>
  </cellXfs>
  <cellStyles count="4">
    <cellStyle name="Comma" xfId="2" builtinId="3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'Smartphone - GDP per Capita'!$A$17</c:f>
              <c:strCache>
                <c:ptCount val="1"/>
                <c:pt idx="0">
                  <c:v>Top 20 Countries by Smartphone Penetration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6576995218693561E-2"/>
                  <c:y val="-3.24389107661189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U.K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CBF0-4AA2-B5DD-E17B76AEA3D5}"/>
                </c:ext>
              </c:extLst>
            </c:dLbl>
            <c:dLbl>
              <c:idx val="1"/>
              <c:layout>
                <c:manualLayout>
                  <c:x val="-1.9436522223107062E-2"/>
                  <c:y val="-8.333333333333332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Netherlands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CBF0-4AA2-B5DD-E17B76AEA3D5}"/>
                </c:ext>
              </c:extLst>
            </c:dLbl>
            <c:dLbl>
              <c:idx val="2"/>
              <c:layout>
                <c:manualLayout>
                  <c:x val="-6.9460192475940513E-2"/>
                  <c:y val="-0.1350094779819189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Germany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CBF0-4AA2-B5DD-E17B76AEA3D5}"/>
                </c:ext>
              </c:extLst>
            </c:dLbl>
            <c:dLbl>
              <c:idx val="3"/>
              <c:layout>
                <c:manualLayout>
                  <c:x val="-2.7774278215223096E-2"/>
                  <c:y val="-7.402230971128609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Sweden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CBF0-4AA2-B5DD-E17B76AEA3D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U.S.A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CBF0-4AA2-B5DD-E17B76AEA3D5}"/>
                </c:ext>
              </c:extLst>
            </c:dLbl>
            <c:dLbl>
              <c:idx val="5"/>
              <c:layout>
                <c:manualLayout>
                  <c:x val="-2.7777777777777776E-2"/>
                  <c:y val="8.333333333333332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Belgium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CBF0-4AA2-B5DD-E17B76AEA3D5}"/>
                </c:ext>
              </c:extLst>
            </c:dLbl>
            <c:dLbl>
              <c:idx val="6"/>
              <c:layout>
                <c:manualLayout>
                  <c:x val="-0.10833333333333338"/>
                  <c:y val="-9.722222222222230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France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CBF0-4AA2-B5DD-E17B76AEA3D5}"/>
                </c:ext>
              </c:extLst>
            </c:dLbl>
            <c:dLbl>
              <c:idx val="7"/>
              <c:layout>
                <c:manualLayout>
                  <c:x val="-0.10138888888888889"/>
                  <c:y val="-0.15740758967629045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Spain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4916666666666673E-2"/>
                      <c:h val="6.4745552639253412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E-CBF0-4AA2-B5DD-E17B76AEA3D5}"/>
                </c:ext>
              </c:extLst>
            </c:dLbl>
            <c:dLbl>
              <c:idx val="8"/>
              <c:layout>
                <c:manualLayout>
                  <c:x val="-8.0555555555555561E-2"/>
                  <c:y val="0.13425925925925916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Canada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CBF0-4AA2-B5DD-E17B76AEA3D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Australia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CBF0-4AA2-B5DD-E17B76AEA3D5}"/>
                </c:ext>
              </c:extLst>
            </c:dLbl>
            <c:dLbl>
              <c:idx val="10"/>
              <c:layout>
                <c:manualLayout>
                  <c:x val="-8.3333333333333835E-3"/>
                  <c:y val="-8.4875562720133283E-1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South Korea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CBF0-4AA2-B5DD-E17B76AEA3D5}"/>
                </c:ext>
              </c:extLst>
            </c:dLbl>
            <c:dLbl>
              <c:idx val="11"/>
              <c:layout>
                <c:manualLayout>
                  <c:x val="-0.14444444444444443"/>
                  <c:y val="-4.629629629629638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Kazakhstan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CBF0-4AA2-B5DD-E17B76AEA3D5}"/>
                </c:ext>
              </c:extLst>
            </c:dLbl>
            <c:dLbl>
              <c:idx val="12"/>
              <c:layout>
                <c:manualLayout>
                  <c:x val="-5.8333333333333383E-2"/>
                  <c:y val="-2.777777777777786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Poland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CBF0-4AA2-B5DD-E17B76AEA3D5}"/>
                </c:ext>
              </c:extLst>
            </c:dLbl>
            <c:dLbl>
              <c:idx val="13"/>
              <c:layout>
                <c:manualLayout>
                  <c:x val="-2.7777777777777776E-2"/>
                  <c:y val="-8.796296296296304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Russia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CBF0-4AA2-B5DD-E17B76AEA3D5}"/>
                </c:ext>
              </c:extLst>
            </c:dLbl>
            <c:dLbl>
              <c:idx val="14"/>
              <c:layout>
                <c:manualLayout>
                  <c:x val="-1.3888888888888888E-2"/>
                  <c:y val="8.333333333333332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Taiwan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CBF0-4AA2-B5DD-E17B76AEA3D5}"/>
                </c:ext>
              </c:extLst>
            </c:dLbl>
            <c:dLbl>
              <c:idx val="15"/>
              <c:layout>
                <c:manualLayout>
                  <c:x val="-5.5555555555555558E-3"/>
                  <c:y val="4.629629629629629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Italy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CBF0-4AA2-B5DD-E17B76AEA3D5}"/>
                </c:ext>
              </c:extLst>
            </c:dLbl>
            <c:dLbl>
              <c:idx val="16"/>
              <c:layout>
                <c:manualLayout>
                  <c:x val="-0.125"/>
                  <c:y val="-2.777777777777777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Malaysia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CBF0-4AA2-B5DD-E17B76AEA3D5}"/>
                </c:ext>
              </c:extLst>
            </c:dLbl>
            <c:dLbl>
              <c:idx val="17"/>
              <c:layout>
                <c:manualLayout>
                  <c:x val="-4.9983814523184629E-2"/>
                  <c:y val="5.009514435695538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China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CBF0-4AA2-B5DD-E17B76AEA3D5}"/>
                </c:ext>
              </c:extLst>
            </c:dLbl>
            <c:dLbl>
              <c:idx val="18"/>
              <c:layout>
                <c:manualLayout>
                  <c:x val="-5.8333333333333334E-2"/>
                  <c:y val="0.13888888888888898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Japan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CBF0-4AA2-B5DD-E17B76AEA3D5}"/>
                </c:ext>
              </c:extLst>
            </c:dLbl>
            <c:dLbl>
              <c:idx val="19"/>
              <c:layout>
                <c:manualLayout>
                  <c:x val="-2.7777777777777776E-2"/>
                  <c:y val="4.629629629629629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Romania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CBF0-4AA2-B5DD-E17B76AEA3D5}"/>
                </c:ext>
              </c:extLst>
            </c:dLbl>
            <c:dLbl>
              <c:idx val="20"/>
              <c:layout>
                <c:manualLayout>
                  <c:x val="-8.3333333333333332E-3"/>
                  <c:y val="2.77777777777776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India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CBF0-4AA2-B5DD-E17B76AEA3D5}"/>
                </c:ext>
              </c:extLst>
            </c:dLbl>
            <c:dLbl>
              <c:idx val="21"/>
              <c:layout>
                <c:manualLayout>
                  <c:x val="-2.7777777777777776E-2"/>
                  <c:y val="-8.796296296296304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Nigeria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CBF0-4AA2-B5DD-E17B76AEA3D5}"/>
                </c:ext>
              </c:extLst>
            </c:dLbl>
            <c:dLbl>
              <c:idx val="22"/>
              <c:layout>
                <c:manualLayout>
                  <c:x val="-8.3333333333333329E-2"/>
                  <c:y val="-4.166666666666670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Singapore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CBF0-4AA2-B5DD-E17B76AEA3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'Smartphone - GDP per Capita'!$G$19:$G$41</c:f>
              <c:numCache>
                <c:formatCode>_(* #,##0_);_(* \(#,##0\);_(* "-"??_);_(@_)</c:formatCode>
                <c:ptCount val="23"/>
                <c:pt idx="0">
                  <c:v>53340</c:v>
                </c:pt>
                <c:pt idx="1">
                  <c:v>67690</c:v>
                </c:pt>
                <c:pt idx="2">
                  <c:v>56090</c:v>
                </c:pt>
                <c:pt idx="3">
                  <c:v>57130</c:v>
                </c:pt>
                <c:pt idx="4">
                  <c:v>86170</c:v>
                </c:pt>
                <c:pt idx="5">
                  <c:v>56800</c:v>
                </c:pt>
                <c:pt idx="6">
                  <c:v>46050</c:v>
                </c:pt>
                <c:pt idx="7">
                  <c:v>35150</c:v>
                </c:pt>
                <c:pt idx="8">
                  <c:v>55210</c:v>
                </c:pt>
                <c:pt idx="9">
                  <c:v>65700</c:v>
                </c:pt>
                <c:pt idx="10">
                  <c:v>36240</c:v>
                </c:pt>
                <c:pt idx="11">
                  <c:v>14460</c:v>
                </c:pt>
                <c:pt idx="12">
                  <c:v>25060</c:v>
                </c:pt>
                <c:pt idx="13">
                  <c:v>15090</c:v>
                </c:pt>
                <c:pt idx="14">
                  <c:v>34250</c:v>
                </c:pt>
                <c:pt idx="15">
                  <c:v>40600</c:v>
                </c:pt>
                <c:pt idx="16">
                  <c:v>12620</c:v>
                </c:pt>
                <c:pt idx="17">
                  <c:v>13450</c:v>
                </c:pt>
                <c:pt idx="18">
                  <c:v>33820</c:v>
                </c:pt>
                <c:pt idx="19">
                  <c:v>20200</c:v>
                </c:pt>
                <c:pt idx="20">
                  <c:v>2590</c:v>
                </c:pt>
                <c:pt idx="21">
                  <c:v>1080</c:v>
                </c:pt>
                <c:pt idx="22">
                  <c:v>94900</c:v>
                </c:pt>
              </c:numCache>
            </c:numRef>
          </c:xVal>
          <c:yVal>
            <c:numRef>
              <c:f>'Smartphone - GDP per Capita'!$E$19:$E$41</c:f>
              <c:numCache>
                <c:formatCode>0.0%</c:formatCode>
                <c:ptCount val="23"/>
                <c:pt idx="0">
                  <c:v>0.82132132132132141</c:v>
                </c:pt>
                <c:pt idx="1">
                  <c:v>0.78947368421052622</c:v>
                </c:pt>
                <c:pt idx="2">
                  <c:v>0.78736330498177398</c:v>
                </c:pt>
                <c:pt idx="3">
                  <c:v>0.79</c:v>
                </c:pt>
                <c:pt idx="4">
                  <c:v>0.77019583843329242</c:v>
                </c:pt>
                <c:pt idx="5">
                  <c:v>0.76521739130434785</c:v>
                </c:pt>
                <c:pt idx="6">
                  <c:v>0.76073619631901834</c:v>
                </c:pt>
                <c:pt idx="7">
                  <c:v>0.72413793103448276</c:v>
                </c:pt>
                <c:pt idx="8">
                  <c:v>0.7189189189189189</c:v>
                </c:pt>
                <c:pt idx="9">
                  <c:v>0.68548387096774188</c:v>
                </c:pt>
                <c:pt idx="10">
                  <c:v>0.67578125</c:v>
                </c:pt>
                <c:pt idx="11">
                  <c:v>0.64673913043478271</c:v>
                </c:pt>
                <c:pt idx="12">
                  <c:v>0.64041994750656162</c:v>
                </c:pt>
                <c:pt idx="13">
                  <c:v>0.63819444444444451</c:v>
                </c:pt>
                <c:pt idx="14">
                  <c:v>0.59915611814345993</c:v>
                </c:pt>
                <c:pt idx="15">
                  <c:v>0.5801011804384486</c:v>
                </c:pt>
                <c:pt idx="16">
                  <c:v>0.57499999999999996</c:v>
                </c:pt>
                <c:pt idx="17">
                  <c:v>0.55321554770318015</c:v>
                </c:pt>
                <c:pt idx="18">
                  <c:v>0.55267295597484278</c:v>
                </c:pt>
                <c:pt idx="19">
                  <c:v>0.5357142857142857</c:v>
                </c:pt>
                <c:pt idx="20">
                  <c:v>0.25855172413793104</c:v>
                </c:pt>
                <c:pt idx="21">
                  <c:v>0.27</c:v>
                </c:pt>
                <c:pt idx="22" formatCode="0.00%">
                  <c:v>0.96469999999999989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F0-4AA2-B5DD-E17B76AEA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794671"/>
        <c:axId val="734208527"/>
      </c:scatterChart>
      <c:valAx>
        <c:axId val="1535794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208527"/>
        <c:crosses val="autoZero"/>
        <c:crossBetween val="midCat"/>
      </c:valAx>
      <c:valAx>
        <c:axId val="73420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794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598715</xdr:colOff>
      <xdr:row>20</xdr:row>
      <xdr:rowOff>87086</xdr:rowOff>
    </xdr:from>
    <xdr:to>
      <xdr:col>21</xdr:col>
      <xdr:colOff>141515</xdr:colOff>
      <xdr:row>39</xdr:row>
      <xdr:rowOff>87086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6315776-3AC5-C7C9-0E74-64E47B0C1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pewresearch.org/short-reads/2024/02/05/8-charts-on-technology-use-around-the-world/" TargetMode="External"/><Relationship Id="rId7" Type="http://schemas.openxmlformats.org/officeDocument/2006/relationships/hyperlink" Target="https://data.gov.sg/datasets/d_65567444c3df02aceb795897bbd183c9/view" TargetMode="External"/><Relationship Id="rId2" Type="http://schemas.openxmlformats.org/officeDocument/2006/relationships/hyperlink" Target="https://www.imf.org/external/datamapper/NGDPDPC@WEO/OEMDC/ADVEC/WEOWORLD" TargetMode="External"/><Relationship Id="rId1" Type="http://schemas.openxmlformats.org/officeDocument/2006/relationships/hyperlink" Target="https://www.bankmycell.com/blog/how-many-phones-are-in-the-world" TargetMode="External"/><Relationship Id="rId6" Type="http://schemas.openxmlformats.org/officeDocument/2006/relationships/hyperlink" Target="https://guardian.ng/business-services/usage-gap-threatens-nigerias-digital-gains-despite-expanded-connectivity/" TargetMode="External"/><Relationship Id="rId5" Type="http://schemas.openxmlformats.org/officeDocument/2006/relationships/hyperlink" Target="https://www.bankmycell.com/blog/how-many-phones-are-in-the-world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www.bankmycell.com/blog/how-many-phones-are-in-the-world" TargetMode="External"/><Relationship Id="rId9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xtrapolate.com/semiconductor-electronics/smartphone-market/25814" TargetMode="External"/><Relationship Id="rId1" Type="http://schemas.openxmlformats.org/officeDocument/2006/relationships/hyperlink" Target="https://market.us/report/smartphone-market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9to5mac.com/2022/03/23/premium-smartphone-sales-aapl/" TargetMode="External"/><Relationship Id="rId2" Type="http://schemas.openxmlformats.org/officeDocument/2006/relationships/hyperlink" Target="https://counterpointresearch.com/en/insights/global-premium-smartphone-market-continues-record-growth-2023" TargetMode="External"/><Relationship Id="rId1" Type="http://schemas.openxmlformats.org/officeDocument/2006/relationships/hyperlink" Target="https://www.telecoms.com/mobile-devices/premium-priced-phones-now-represent-over-half-the-market-revenue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hyperlink" Target="https://counterpointresearch.com/en/insights/post-insight-research-notes-blogs-global-premium-smartphone-share-climbs-to-25-in-2024-as-premiumization-continues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omdia.tech.informa.com/pr/2026/feb/african-smartphone-market-jumps-14percent-in-4a25-as-entry-tier-pressures-signal-2026-reset?utm_source=chatgpt.com" TargetMode="External"/><Relationship Id="rId7" Type="http://schemas.openxmlformats.org/officeDocument/2006/relationships/comments" Target="../comments3.xml"/><Relationship Id="rId2" Type="http://schemas.openxmlformats.org/officeDocument/2006/relationships/hyperlink" Target="https://www.sammobile.com/news/samsung-biggest-phone-maker-latin-america-2024/" TargetMode="External"/><Relationship Id="rId1" Type="http://schemas.openxmlformats.org/officeDocument/2006/relationships/hyperlink" Target="https://omdia.tech.informa.com/pr/2026/feb/omdia-latin-americas-smartphone-market-hits-record-140point5-million-units-in-2025-up-12percent-in-4q" TargetMode="External"/><Relationship Id="rId6" Type="http://schemas.openxmlformats.org/officeDocument/2006/relationships/vmlDrawing" Target="../drawings/vmlDrawing3.vml"/><Relationship Id="rId5" Type="http://schemas.openxmlformats.org/officeDocument/2006/relationships/hyperlink" Target="https://omdia.tech.informa.com/pr/2026/feb/middle-east-smartphone-market-grows-13eprcent-in-2025-memory-pressures-to-weigh-on-2026-outlook" TargetMode="External"/><Relationship Id="rId4" Type="http://schemas.openxmlformats.org/officeDocument/2006/relationships/hyperlink" Target="https://www.linkedin.com/posts/runar-bjorhovde_talking-about-the-red-ocean-vs-blue-ocean-share-7428026031695044608-VNm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T74"/>
  <sheetViews>
    <sheetView zoomScale="70" zoomScaleNormal="70" workbookViewId="0">
      <selection activeCell="E16" sqref="E16"/>
    </sheetView>
  </sheetViews>
  <sheetFormatPr defaultRowHeight="14.4" x14ac:dyDescent="0.3"/>
  <cols>
    <col min="1" max="1" width="25.77734375" customWidth="1"/>
    <col min="2" max="2" width="17.88671875" customWidth="1"/>
    <col min="3" max="3" width="14" customWidth="1"/>
    <col min="4" max="4" width="17.6640625" customWidth="1"/>
    <col min="5" max="5" width="12" customWidth="1"/>
    <col min="6" max="7" width="10.109375" bestFit="1" customWidth="1"/>
    <col min="8" max="8" width="11.77734375" customWidth="1"/>
    <col min="11" max="11" width="13.77734375" customWidth="1"/>
  </cols>
  <sheetData>
    <row r="3" spans="1:20" x14ac:dyDescent="0.3">
      <c r="A3" s="1" t="s">
        <v>2</v>
      </c>
      <c r="B3" t="s">
        <v>3</v>
      </c>
    </row>
    <row r="5" spans="1:20" x14ac:dyDescent="0.3">
      <c r="A5" t="s">
        <v>52</v>
      </c>
      <c r="B5" s="16">
        <v>2014</v>
      </c>
      <c r="C5" s="16">
        <f>B5+1</f>
        <v>2015</v>
      </c>
      <c r="D5" s="16">
        <f t="shared" ref="D5:Q5" si="0">C5+1</f>
        <v>2016</v>
      </c>
      <c r="E5" s="16">
        <f t="shared" si="0"/>
        <v>2017</v>
      </c>
      <c r="F5" s="16">
        <f t="shared" si="0"/>
        <v>2018</v>
      </c>
      <c r="G5" s="16">
        <f t="shared" si="0"/>
        <v>2019</v>
      </c>
      <c r="H5" s="16">
        <f t="shared" si="0"/>
        <v>2020</v>
      </c>
      <c r="I5" s="16">
        <f t="shared" si="0"/>
        <v>2021</v>
      </c>
      <c r="J5" s="16">
        <f t="shared" si="0"/>
        <v>2022</v>
      </c>
      <c r="K5" s="16">
        <f t="shared" si="0"/>
        <v>2023</v>
      </c>
      <c r="L5" s="16">
        <f t="shared" si="0"/>
        <v>2024</v>
      </c>
      <c r="M5" s="17">
        <f t="shared" si="0"/>
        <v>2025</v>
      </c>
      <c r="N5" s="17">
        <f t="shared" si="0"/>
        <v>2026</v>
      </c>
      <c r="O5" s="17">
        <f t="shared" si="0"/>
        <v>2027</v>
      </c>
      <c r="P5" s="17">
        <f t="shared" si="0"/>
        <v>2028</v>
      </c>
      <c r="Q5" s="17">
        <f t="shared" si="0"/>
        <v>2029</v>
      </c>
      <c r="T5" s="2" t="s">
        <v>55</v>
      </c>
    </row>
    <row r="6" spans="1:20" x14ac:dyDescent="0.3">
      <c r="A6" t="s">
        <v>10</v>
      </c>
      <c r="B6">
        <v>2.33</v>
      </c>
      <c r="C6" s="3">
        <v>3</v>
      </c>
      <c r="D6" s="4">
        <v>3.7</v>
      </c>
      <c r="E6">
        <v>4.45</v>
      </c>
      <c r="F6">
        <v>5.05</v>
      </c>
      <c r="G6">
        <v>5.59</v>
      </c>
      <c r="H6">
        <v>5.92</v>
      </c>
      <c r="I6">
        <v>6.34</v>
      </c>
      <c r="J6">
        <v>6.62</v>
      </c>
      <c r="K6">
        <v>6.97</v>
      </c>
      <c r="L6">
        <v>7.21</v>
      </c>
      <c r="M6">
        <v>7.43</v>
      </c>
      <c r="N6">
        <v>7.58</v>
      </c>
      <c r="O6">
        <v>7.77</v>
      </c>
      <c r="P6">
        <v>7.95</v>
      </c>
      <c r="Q6">
        <v>8.06</v>
      </c>
      <c r="T6" s="1" t="s">
        <v>0</v>
      </c>
    </row>
    <row r="7" spans="1:20" x14ac:dyDescent="0.3">
      <c r="A7" s="5" t="s">
        <v>11</v>
      </c>
      <c r="C7" s="7">
        <f>C6/B6-1</f>
        <v>0.28755364806866957</v>
      </c>
      <c r="D7" s="7">
        <f t="shared" ref="D7:Q7" si="1">D6/C6-1</f>
        <v>0.23333333333333339</v>
      </c>
      <c r="E7" s="7">
        <f t="shared" si="1"/>
        <v>0.20270270270270263</v>
      </c>
      <c r="F7" s="7">
        <f t="shared" si="1"/>
        <v>0.13483146067415719</v>
      </c>
      <c r="G7" s="7">
        <f t="shared" si="1"/>
        <v>0.10693069306930703</v>
      </c>
      <c r="H7" s="7">
        <f t="shared" si="1"/>
        <v>5.903398926654746E-2</v>
      </c>
      <c r="I7" s="7">
        <f t="shared" si="1"/>
        <v>7.0945945945945832E-2</v>
      </c>
      <c r="J7" s="7">
        <f t="shared" si="1"/>
        <v>4.4164037854889537E-2</v>
      </c>
      <c r="K7" s="7">
        <f t="shared" si="1"/>
        <v>5.2870090634441036E-2</v>
      </c>
      <c r="L7" s="7">
        <f t="shared" si="1"/>
        <v>3.4433285509325673E-2</v>
      </c>
      <c r="M7" s="7">
        <f t="shared" si="1"/>
        <v>3.0513176144244092E-2</v>
      </c>
      <c r="N7" s="7">
        <f t="shared" si="1"/>
        <v>2.0188425302826385E-2</v>
      </c>
      <c r="O7" s="7">
        <f t="shared" si="1"/>
        <v>2.5065963060685981E-2</v>
      </c>
      <c r="P7" s="7">
        <f t="shared" si="1"/>
        <v>2.3166023166023342E-2</v>
      </c>
      <c r="Q7" s="7">
        <f t="shared" si="1"/>
        <v>1.3836477987421381E-2</v>
      </c>
    </row>
    <row r="8" spans="1:20" x14ac:dyDescent="0.3">
      <c r="A8" t="s">
        <v>12</v>
      </c>
      <c r="B8">
        <v>1.01</v>
      </c>
      <c r="C8">
        <v>1.22</v>
      </c>
      <c r="D8">
        <v>1.43</v>
      </c>
      <c r="E8">
        <v>1.66</v>
      </c>
      <c r="F8">
        <v>1.94</v>
      </c>
      <c r="G8">
        <v>2.27</v>
      </c>
      <c r="H8">
        <v>2.67</v>
      </c>
      <c r="I8" s="4">
        <v>3.1</v>
      </c>
      <c r="J8">
        <v>3.62</v>
      </c>
      <c r="K8">
        <v>4.25</v>
      </c>
      <c r="L8">
        <v>4.88</v>
      </c>
      <c r="M8">
        <v>5.28</v>
      </c>
      <c r="N8">
        <v>5.65</v>
      </c>
      <c r="O8">
        <v>6.01</v>
      </c>
      <c r="P8">
        <v>6.22</v>
      </c>
      <c r="Q8">
        <v>6.38</v>
      </c>
    </row>
    <row r="9" spans="1:20" x14ac:dyDescent="0.3">
      <c r="A9" s="5" t="s">
        <v>11</v>
      </c>
      <c r="C9" s="7">
        <f>C8/B8-1</f>
        <v>0.20792079207920788</v>
      </c>
      <c r="D9" s="7">
        <f t="shared" ref="D9:Q9" si="2">D8/C8-1</f>
        <v>0.17213114754098369</v>
      </c>
      <c r="E9" s="7">
        <f t="shared" si="2"/>
        <v>0.16083916083916083</v>
      </c>
      <c r="F9" s="7">
        <f t="shared" si="2"/>
        <v>0.16867469879518082</v>
      </c>
      <c r="G9" s="7">
        <f t="shared" si="2"/>
        <v>0.17010309278350522</v>
      </c>
      <c r="H9" s="7">
        <f t="shared" si="2"/>
        <v>0.17621145374449343</v>
      </c>
      <c r="I9" s="7">
        <f t="shared" si="2"/>
        <v>0.16104868913857695</v>
      </c>
      <c r="J9" s="7">
        <f t="shared" si="2"/>
        <v>0.16774193548387095</v>
      </c>
      <c r="K9" s="7">
        <f t="shared" si="2"/>
        <v>0.17403314917127077</v>
      </c>
      <c r="L9" s="7">
        <f t="shared" si="2"/>
        <v>0.14823529411764702</v>
      </c>
      <c r="M9" s="7">
        <f t="shared" si="2"/>
        <v>8.1967213114754189E-2</v>
      </c>
      <c r="N9" s="7">
        <f t="shared" si="2"/>
        <v>7.0075757575757569E-2</v>
      </c>
      <c r="O9" s="7">
        <f t="shared" si="2"/>
        <v>6.3716814159291868E-2</v>
      </c>
      <c r="P9" s="7">
        <f t="shared" si="2"/>
        <v>3.4941763727121433E-2</v>
      </c>
      <c r="Q9" s="7">
        <f t="shared" si="2"/>
        <v>2.5723472668810254E-2</v>
      </c>
    </row>
    <row r="10" spans="1:20" x14ac:dyDescent="0.3">
      <c r="A10" s="6" t="s">
        <v>53</v>
      </c>
      <c r="B10">
        <v>7.3</v>
      </c>
      <c r="C10">
        <v>7.38</v>
      </c>
      <c r="D10">
        <v>7.47</v>
      </c>
      <c r="E10">
        <v>7.56</v>
      </c>
      <c r="F10">
        <v>7.64</v>
      </c>
      <c r="G10">
        <v>7.73</v>
      </c>
      <c r="H10">
        <v>7.81</v>
      </c>
      <c r="I10">
        <v>7.88</v>
      </c>
      <c r="J10">
        <v>7.94</v>
      </c>
      <c r="K10">
        <v>8.01</v>
      </c>
      <c r="L10">
        <v>8.08</v>
      </c>
      <c r="M10">
        <v>8.18</v>
      </c>
      <c r="N10">
        <v>8.26</v>
      </c>
      <c r="O10">
        <v>8.34</v>
      </c>
      <c r="P10">
        <v>8.42</v>
      </c>
      <c r="Q10">
        <v>8.5</v>
      </c>
    </row>
    <row r="11" spans="1:20" x14ac:dyDescent="0.3">
      <c r="C11" s="7">
        <f>C10/B10-1</f>
        <v>1.0958904109588996E-2</v>
      </c>
      <c r="D11" s="7">
        <f t="shared" ref="D11:Q11" si="3">D10/C10-1</f>
        <v>1.2195121951219523E-2</v>
      </c>
      <c r="E11" s="7">
        <f t="shared" si="3"/>
        <v>1.2048192771084265E-2</v>
      </c>
      <c r="F11" s="7">
        <f t="shared" si="3"/>
        <v>1.0582010582010692E-2</v>
      </c>
      <c r="G11" s="7">
        <f t="shared" si="3"/>
        <v>1.178010471204205E-2</v>
      </c>
      <c r="H11" s="7">
        <f t="shared" si="3"/>
        <v>1.0349288486416475E-2</v>
      </c>
      <c r="I11" s="7">
        <f t="shared" si="3"/>
        <v>8.9628681177977843E-3</v>
      </c>
      <c r="J11" s="7">
        <f t="shared" si="3"/>
        <v>7.6142131979695105E-3</v>
      </c>
      <c r="K11" s="7">
        <f t="shared" si="3"/>
        <v>8.8161209068009505E-3</v>
      </c>
      <c r="L11" s="7">
        <f t="shared" si="3"/>
        <v>8.7390761548065132E-3</v>
      </c>
      <c r="M11" s="7">
        <f t="shared" si="3"/>
        <v>1.2376237623762387E-2</v>
      </c>
      <c r="N11" s="7">
        <f t="shared" si="3"/>
        <v>9.7799511002445438E-3</v>
      </c>
      <c r="O11" s="7">
        <f t="shared" si="3"/>
        <v>9.6852300242131761E-3</v>
      </c>
      <c r="P11" s="7">
        <f t="shared" si="3"/>
        <v>9.5923261390886694E-3</v>
      </c>
      <c r="Q11" s="7">
        <f t="shared" si="3"/>
        <v>9.5011876484560887E-3</v>
      </c>
    </row>
    <row r="12" spans="1:20" x14ac:dyDescent="0.3"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20" ht="28.8" x14ac:dyDescent="0.3">
      <c r="A13" s="6" t="s">
        <v>54</v>
      </c>
      <c r="B13" s="7">
        <f t="shared" ref="B13:Q13" si="4">B8/B10</f>
        <v>0.13835616438356166</v>
      </c>
      <c r="C13" s="7">
        <f t="shared" si="4"/>
        <v>0.16531165311653118</v>
      </c>
      <c r="D13" s="7">
        <f t="shared" si="4"/>
        <v>0.19143239625167335</v>
      </c>
      <c r="E13" s="7">
        <f t="shared" si="4"/>
        <v>0.21957671957671956</v>
      </c>
      <c r="F13" s="7">
        <f t="shared" si="4"/>
        <v>0.25392670157068065</v>
      </c>
      <c r="G13" s="7">
        <f t="shared" si="4"/>
        <v>0.29366106080206983</v>
      </c>
      <c r="H13" s="7">
        <f t="shared" si="4"/>
        <v>0.3418693982074264</v>
      </c>
      <c r="I13" s="7">
        <f t="shared" si="4"/>
        <v>0.39340101522842641</v>
      </c>
      <c r="J13" s="7">
        <f t="shared" si="4"/>
        <v>0.45591939546599497</v>
      </c>
      <c r="K13" s="7">
        <f t="shared" si="4"/>
        <v>0.53058676654182269</v>
      </c>
      <c r="L13" s="7">
        <f t="shared" si="4"/>
        <v>0.60396039603960394</v>
      </c>
      <c r="M13" s="7">
        <f t="shared" si="4"/>
        <v>0.64547677261613701</v>
      </c>
      <c r="N13" s="7">
        <f t="shared" si="4"/>
        <v>0.68401937046004846</v>
      </c>
      <c r="O13" s="7">
        <f t="shared" si="4"/>
        <v>0.72062350119904073</v>
      </c>
      <c r="P13" s="7">
        <f t="shared" si="4"/>
        <v>0.73871733966745845</v>
      </c>
      <c r="Q13" s="7">
        <f t="shared" si="4"/>
        <v>0.75058823529411767</v>
      </c>
    </row>
    <row r="15" spans="1:20" x14ac:dyDescent="0.3">
      <c r="M15" s="18"/>
    </row>
    <row r="16" spans="1:20" x14ac:dyDescent="0.3">
      <c r="M16" s="18"/>
    </row>
    <row r="17" spans="1:13" x14ac:dyDescent="0.3">
      <c r="A17" s="2" t="s">
        <v>39</v>
      </c>
      <c r="M17" s="18"/>
    </row>
    <row r="18" spans="1:13" ht="30" customHeight="1" x14ac:dyDescent="0.3">
      <c r="A18" s="2" t="s">
        <v>50</v>
      </c>
      <c r="B18" s="2" t="s">
        <v>14</v>
      </c>
      <c r="C18" s="14" t="s">
        <v>15</v>
      </c>
      <c r="D18" s="14" t="s">
        <v>38</v>
      </c>
      <c r="E18" s="6" t="s">
        <v>16</v>
      </c>
      <c r="G18" t="s">
        <v>56</v>
      </c>
      <c r="I18" s="2" t="s">
        <v>55</v>
      </c>
      <c r="M18" s="18"/>
    </row>
    <row r="19" spans="1:13" x14ac:dyDescent="0.3">
      <c r="A19">
        <v>1</v>
      </c>
      <c r="B19" t="s">
        <v>18</v>
      </c>
      <c r="C19" s="13">
        <v>66.599999999999994</v>
      </c>
      <c r="D19">
        <v>54.7</v>
      </c>
      <c r="E19" s="7">
        <f t="shared" ref="E19:E39" si="5">D19/C19</f>
        <v>0.82132132132132141</v>
      </c>
      <c r="G19" s="19">
        <v>53340</v>
      </c>
      <c r="I19" s="1" t="s">
        <v>0</v>
      </c>
      <c r="K19" s="18"/>
    </row>
    <row r="20" spans="1:13" x14ac:dyDescent="0.3">
      <c r="A20">
        <v>2</v>
      </c>
      <c r="B20" t="s">
        <v>19</v>
      </c>
      <c r="C20" s="13">
        <v>17.100000000000001</v>
      </c>
      <c r="D20">
        <v>13.5</v>
      </c>
      <c r="E20" s="7">
        <f t="shared" si="5"/>
        <v>0.78947368421052622</v>
      </c>
      <c r="G20" s="19">
        <v>67690</v>
      </c>
      <c r="I20" s="1" t="s">
        <v>1</v>
      </c>
      <c r="K20" s="18"/>
    </row>
    <row r="21" spans="1:13" x14ac:dyDescent="0.3">
      <c r="A21">
        <v>3</v>
      </c>
      <c r="B21" t="s">
        <v>20</v>
      </c>
      <c r="C21" s="13">
        <v>82.3</v>
      </c>
      <c r="D21">
        <v>64.8</v>
      </c>
      <c r="E21" s="7">
        <f t="shared" si="5"/>
        <v>0.78736330498177398</v>
      </c>
      <c r="G21" s="19">
        <v>56090</v>
      </c>
      <c r="K21" s="18"/>
    </row>
    <row r="22" spans="1:13" x14ac:dyDescent="0.3">
      <c r="A22">
        <v>4</v>
      </c>
      <c r="B22" t="s">
        <v>21</v>
      </c>
      <c r="C22" s="13">
        <v>10</v>
      </c>
      <c r="D22">
        <v>7.9</v>
      </c>
      <c r="E22" s="7">
        <f t="shared" si="5"/>
        <v>0.79</v>
      </c>
      <c r="G22" s="19">
        <v>57130</v>
      </c>
      <c r="K22" s="18"/>
    </row>
    <row r="23" spans="1:13" x14ac:dyDescent="0.3">
      <c r="A23">
        <v>5</v>
      </c>
      <c r="B23" t="s">
        <v>22</v>
      </c>
      <c r="C23" s="13">
        <v>326.8</v>
      </c>
      <c r="D23">
        <v>251.7</v>
      </c>
      <c r="E23" s="7">
        <f t="shared" si="5"/>
        <v>0.77019583843329242</v>
      </c>
      <c r="G23" s="19">
        <v>86170</v>
      </c>
      <c r="K23" s="18"/>
    </row>
    <row r="24" spans="1:13" x14ac:dyDescent="0.3">
      <c r="A24">
        <v>6</v>
      </c>
      <c r="B24" t="s">
        <v>23</v>
      </c>
      <c r="C24" s="13">
        <v>11.5</v>
      </c>
      <c r="D24">
        <v>8.8000000000000007</v>
      </c>
      <c r="E24" s="7">
        <f t="shared" si="5"/>
        <v>0.76521739130434785</v>
      </c>
      <c r="G24" s="19">
        <v>56800</v>
      </c>
      <c r="K24" s="18"/>
    </row>
    <row r="25" spans="1:13" x14ac:dyDescent="0.3">
      <c r="A25">
        <v>7</v>
      </c>
      <c r="B25" t="s">
        <v>24</v>
      </c>
      <c r="C25" s="13">
        <v>65.2</v>
      </c>
      <c r="D25">
        <v>49.6</v>
      </c>
      <c r="E25" s="7">
        <f t="shared" si="5"/>
        <v>0.76073619631901834</v>
      </c>
      <c r="G25" s="19">
        <v>46050</v>
      </c>
      <c r="K25" s="18"/>
    </row>
    <row r="26" spans="1:13" x14ac:dyDescent="0.3">
      <c r="A26">
        <v>8</v>
      </c>
      <c r="B26" t="s">
        <v>25</v>
      </c>
      <c r="C26" s="13">
        <v>46.4</v>
      </c>
      <c r="D26">
        <v>33.6</v>
      </c>
      <c r="E26" s="7">
        <f t="shared" si="5"/>
        <v>0.72413793103448276</v>
      </c>
      <c r="G26" s="19">
        <v>35150</v>
      </c>
      <c r="K26" s="18"/>
    </row>
    <row r="27" spans="1:13" x14ac:dyDescent="0.3">
      <c r="A27">
        <v>9</v>
      </c>
      <c r="B27" t="s">
        <v>26</v>
      </c>
      <c r="C27" s="13">
        <v>37</v>
      </c>
      <c r="D27">
        <v>26.6</v>
      </c>
      <c r="E27" s="7">
        <f t="shared" si="5"/>
        <v>0.7189189189189189</v>
      </c>
      <c r="G27" s="19">
        <v>55210</v>
      </c>
      <c r="K27" s="18"/>
    </row>
    <row r="28" spans="1:13" x14ac:dyDescent="0.3">
      <c r="A28">
        <v>10</v>
      </c>
      <c r="B28" t="s">
        <v>27</v>
      </c>
      <c r="C28" s="13">
        <v>24.8</v>
      </c>
      <c r="D28">
        <v>17</v>
      </c>
      <c r="E28" s="7">
        <f t="shared" si="5"/>
        <v>0.68548387096774188</v>
      </c>
      <c r="G28" s="19">
        <v>65700</v>
      </c>
      <c r="K28" s="18"/>
    </row>
    <row r="29" spans="1:13" x14ac:dyDescent="0.3">
      <c r="A29">
        <v>11</v>
      </c>
      <c r="B29" t="s">
        <v>28</v>
      </c>
      <c r="C29" s="13">
        <v>51.2</v>
      </c>
      <c r="D29">
        <v>34.6</v>
      </c>
      <c r="E29" s="7">
        <f t="shared" si="5"/>
        <v>0.67578125</v>
      </c>
      <c r="G29" s="19">
        <v>36240</v>
      </c>
      <c r="K29" s="18"/>
    </row>
    <row r="30" spans="1:13" x14ac:dyDescent="0.3">
      <c r="A30">
        <v>12</v>
      </c>
      <c r="B30" t="s">
        <v>29</v>
      </c>
      <c r="C30" s="13">
        <v>18.399999999999999</v>
      </c>
      <c r="D30">
        <v>11.9</v>
      </c>
      <c r="E30" s="7">
        <f t="shared" si="5"/>
        <v>0.64673913043478271</v>
      </c>
      <c r="G30" s="19">
        <v>14460</v>
      </c>
      <c r="K30" s="18"/>
    </row>
    <row r="31" spans="1:13" x14ac:dyDescent="0.3">
      <c r="A31">
        <v>13</v>
      </c>
      <c r="B31" t="s">
        <v>30</v>
      </c>
      <c r="C31" s="13">
        <v>38.1</v>
      </c>
      <c r="D31">
        <v>24.4</v>
      </c>
      <c r="E31" s="7">
        <f t="shared" si="5"/>
        <v>0.64041994750656162</v>
      </c>
      <c r="G31" s="19">
        <v>25060</v>
      </c>
    </row>
    <row r="32" spans="1:13" x14ac:dyDescent="0.3">
      <c r="A32">
        <v>14</v>
      </c>
      <c r="B32" t="s">
        <v>31</v>
      </c>
      <c r="C32" s="13">
        <v>144</v>
      </c>
      <c r="D32">
        <v>91.9</v>
      </c>
      <c r="E32" s="7">
        <f t="shared" si="5"/>
        <v>0.63819444444444451</v>
      </c>
      <c r="G32" s="19">
        <v>15090</v>
      </c>
    </row>
    <row r="33" spans="1:10" x14ac:dyDescent="0.3">
      <c r="A33">
        <v>15</v>
      </c>
      <c r="B33" t="s">
        <v>32</v>
      </c>
      <c r="C33" s="13">
        <v>23.7</v>
      </c>
      <c r="D33">
        <v>14.2</v>
      </c>
      <c r="E33" s="7">
        <f t="shared" si="5"/>
        <v>0.59915611814345993</v>
      </c>
      <c r="G33" s="19">
        <v>34250</v>
      </c>
    </row>
    <row r="34" spans="1:10" x14ac:dyDescent="0.3">
      <c r="A34">
        <v>16</v>
      </c>
      <c r="B34" t="s">
        <v>33</v>
      </c>
      <c r="C34" s="13">
        <v>59.3</v>
      </c>
      <c r="D34">
        <v>34.4</v>
      </c>
      <c r="E34" s="7">
        <f t="shared" si="5"/>
        <v>0.5801011804384486</v>
      </c>
      <c r="G34" s="19">
        <v>40600</v>
      </c>
    </row>
    <row r="35" spans="1:10" x14ac:dyDescent="0.3">
      <c r="A35">
        <v>17</v>
      </c>
      <c r="B35" t="s">
        <v>34</v>
      </c>
      <c r="C35" s="13">
        <v>32</v>
      </c>
      <c r="D35">
        <v>18.399999999999999</v>
      </c>
      <c r="E35" s="7">
        <f t="shared" si="5"/>
        <v>0.57499999999999996</v>
      </c>
      <c r="G35" s="19">
        <v>12620</v>
      </c>
    </row>
    <row r="36" spans="1:10" x14ac:dyDescent="0.3">
      <c r="A36">
        <v>18</v>
      </c>
      <c r="B36" t="s">
        <v>35</v>
      </c>
      <c r="C36" s="13">
        <v>1415</v>
      </c>
      <c r="D36">
        <v>782.8</v>
      </c>
      <c r="E36" s="7">
        <f t="shared" si="5"/>
        <v>0.55321554770318015</v>
      </c>
      <c r="G36" s="19">
        <v>13450</v>
      </c>
    </row>
    <row r="37" spans="1:10" x14ac:dyDescent="0.3">
      <c r="A37">
        <v>19</v>
      </c>
      <c r="B37" t="s">
        <v>36</v>
      </c>
      <c r="C37" s="13">
        <v>127.2</v>
      </c>
      <c r="D37">
        <v>70.3</v>
      </c>
      <c r="E37" s="7">
        <f t="shared" si="5"/>
        <v>0.55267295597484278</v>
      </c>
      <c r="G37" s="19">
        <v>33820</v>
      </c>
    </row>
    <row r="38" spans="1:10" x14ac:dyDescent="0.3">
      <c r="A38">
        <v>20</v>
      </c>
      <c r="B38" t="s">
        <v>37</v>
      </c>
      <c r="C38" s="13">
        <v>19.600000000000001</v>
      </c>
      <c r="D38">
        <v>10.5</v>
      </c>
      <c r="E38" s="7">
        <f t="shared" si="5"/>
        <v>0.5357142857142857</v>
      </c>
      <c r="G38" s="19">
        <v>20200</v>
      </c>
      <c r="I38" s="2" t="s">
        <v>55</v>
      </c>
    </row>
    <row r="39" spans="1:10" x14ac:dyDescent="0.3">
      <c r="A39">
        <v>21</v>
      </c>
      <c r="B39" t="s">
        <v>57</v>
      </c>
      <c r="C39" s="19">
        <f>1450000000/1000000</f>
        <v>1450</v>
      </c>
      <c r="D39">
        <v>374.9</v>
      </c>
      <c r="E39" s="7">
        <f t="shared" si="5"/>
        <v>0.25855172413793104</v>
      </c>
      <c r="G39" s="19">
        <v>2590</v>
      </c>
    </row>
    <row r="40" spans="1:10" x14ac:dyDescent="0.3">
      <c r="A40">
        <v>22</v>
      </c>
      <c r="B40" t="s">
        <v>58</v>
      </c>
      <c r="C40" s="19">
        <f>232679478/1000000</f>
        <v>232.67947799999999</v>
      </c>
      <c r="D40" s="21">
        <v>102.37897031999999</v>
      </c>
      <c r="E40" s="22">
        <v>0.27</v>
      </c>
      <c r="G40" s="19">
        <v>1080</v>
      </c>
      <c r="I40" s="1" t="s">
        <v>62</v>
      </c>
      <c r="J40" t="s">
        <v>61</v>
      </c>
    </row>
    <row r="41" spans="1:10" x14ac:dyDescent="0.3">
      <c r="A41">
        <v>23</v>
      </c>
      <c r="B41" t="s">
        <v>59</v>
      </c>
      <c r="C41" s="3">
        <v>6.04</v>
      </c>
      <c r="D41" s="20">
        <v>5.8267879999999996</v>
      </c>
      <c r="E41" s="23">
        <f>D41/C41</f>
        <v>0.96469999999999989</v>
      </c>
      <c r="G41" s="19">
        <v>94900</v>
      </c>
      <c r="I41" s="1" t="s">
        <v>60</v>
      </c>
      <c r="J41" t="s">
        <v>61</v>
      </c>
    </row>
    <row r="50" spans="1:10" x14ac:dyDescent="0.3">
      <c r="A50" s="2" t="s">
        <v>51</v>
      </c>
    </row>
    <row r="51" spans="1:10" ht="28.8" x14ac:dyDescent="0.3">
      <c r="A51" s="9" t="s">
        <v>13</v>
      </c>
      <c r="B51" s="10" t="s">
        <v>14</v>
      </c>
      <c r="C51" s="9" t="s">
        <v>15</v>
      </c>
      <c r="D51" s="9" t="s">
        <v>17</v>
      </c>
      <c r="E51" s="9" t="s">
        <v>16</v>
      </c>
      <c r="H51" s="2" t="s">
        <v>55</v>
      </c>
    </row>
    <row r="52" spans="1:10" x14ac:dyDescent="0.3">
      <c r="A52" s="8">
        <v>1</v>
      </c>
      <c r="B52" s="11" t="s">
        <v>35</v>
      </c>
      <c r="C52" s="15">
        <v>1415</v>
      </c>
      <c r="D52">
        <v>782.8</v>
      </c>
      <c r="E52" s="7">
        <f>D52/C52</f>
        <v>0.55321554770318015</v>
      </c>
      <c r="H52" s="1" t="s">
        <v>0</v>
      </c>
      <c r="J52" s="12"/>
    </row>
    <row r="53" spans="1:10" x14ac:dyDescent="0.3">
      <c r="A53" s="8">
        <v>2</v>
      </c>
      <c r="B53" s="11" t="s">
        <v>40</v>
      </c>
      <c r="C53" s="15">
        <v>1354.1</v>
      </c>
      <c r="D53">
        <v>374.9</v>
      </c>
      <c r="E53" s="7">
        <f t="shared" ref="E53:E71" si="6">D53/C53</f>
        <v>0.27686286094084633</v>
      </c>
      <c r="J53" s="12"/>
    </row>
    <row r="54" spans="1:10" x14ac:dyDescent="0.3">
      <c r="A54" s="8">
        <v>3</v>
      </c>
      <c r="B54" s="11" t="s">
        <v>22</v>
      </c>
      <c r="C54" s="15">
        <v>326.8</v>
      </c>
      <c r="D54">
        <v>251.7</v>
      </c>
      <c r="E54" s="7">
        <f t="shared" si="6"/>
        <v>0.77019583843329242</v>
      </c>
      <c r="J54" s="12"/>
    </row>
    <row r="55" spans="1:10" x14ac:dyDescent="0.3">
      <c r="A55" s="8">
        <v>4</v>
      </c>
      <c r="B55" s="11" t="s">
        <v>31</v>
      </c>
      <c r="C55" s="15">
        <v>144</v>
      </c>
      <c r="D55">
        <v>91.9</v>
      </c>
      <c r="E55" s="7">
        <f t="shared" si="6"/>
        <v>0.63819444444444451</v>
      </c>
      <c r="J55" s="12"/>
    </row>
    <row r="56" spans="1:10" x14ac:dyDescent="0.3">
      <c r="A56" s="8">
        <v>5</v>
      </c>
      <c r="B56" s="11" t="s">
        <v>41</v>
      </c>
      <c r="C56" s="15">
        <v>210.9</v>
      </c>
      <c r="D56">
        <v>87.2</v>
      </c>
      <c r="E56" s="7">
        <f t="shared" si="6"/>
        <v>0.41346609767662401</v>
      </c>
      <c r="J56" s="12"/>
    </row>
    <row r="57" spans="1:10" x14ac:dyDescent="0.3">
      <c r="A57" s="8">
        <v>6</v>
      </c>
      <c r="B57" s="11" t="s">
        <v>42</v>
      </c>
      <c r="C57" s="15">
        <v>266.8</v>
      </c>
      <c r="D57">
        <v>73.2</v>
      </c>
      <c r="E57" s="7">
        <f t="shared" si="6"/>
        <v>0.27436281859070466</v>
      </c>
      <c r="J57" s="12"/>
    </row>
    <row r="58" spans="1:10" x14ac:dyDescent="0.3">
      <c r="A58" s="8">
        <v>7</v>
      </c>
      <c r="B58" s="11" t="s">
        <v>36</v>
      </c>
      <c r="C58" s="15">
        <v>127.2</v>
      </c>
      <c r="D58">
        <v>70.3</v>
      </c>
      <c r="E58" s="7">
        <f t="shared" si="6"/>
        <v>0.55267295597484278</v>
      </c>
      <c r="J58" s="12"/>
    </row>
    <row r="59" spans="1:10" x14ac:dyDescent="0.3">
      <c r="A59" s="8">
        <v>8</v>
      </c>
      <c r="B59" s="11" t="s">
        <v>20</v>
      </c>
      <c r="C59" s="15">
        <v>82.3</v>
      </c>
      <c r="D59">
        <v>64.8</v>
      </c>
      <c r="E59" s="7">
        <f t="shared" si="6"/>
        <v>0.78736330498177398</v>
      </c>
      <c r="J59" s="12"/>
    </row>
    <row r="60" spans="1:10" x14ac:dyDescent="0.3">
      <c r="A60" s="8">
        <v>9</v>
      </c>
      <c r="B60" s="11" t="s">
        <v>43</v>
      </c>
      <c r="C60" s="15">
        <v>130.80000000000001</v>
      </c>
      <c r="D60">
        <v>59.6</v>
      </c>
      <c r="E60" s="7">
        <f t="shared" si="6"/>
        <v>0.45565749235474001</v>
      </c>
      <c r="J60" s="12"/>
    </row>
    <row r="61" spans="1:10" x14ac:dyDescent="0.3">
      <c r="A61" s="8">
        <v>10</v>
      </c>
      <c r="B61" s="11" t="s">
        <v>18</v>
      </c>
      <c r="C61" s="15">
        <v>66.599999999999994</v>
      </c>
      <c r="D61">
        <v>54.7</v>
      </c>
      <c r="E61" s="7">
        <f t="shared" si="6"/>
        <v>0.82132132132132141</v>
      </c>
      <c r="J61" s="12"/>
    </row>
    <row r="62" spans="1:10" x14ac:dyDescent="0.3">
      <c r="A62" s="8">
        <v>11</v>
      </c>
      <c r="B62" s="11" t="s">
        <v>24</v>
      </c>
      <c r="C62" s="15">
        <v>65.2</v>
      </c>
      <c r="D62">
        <v>49.6</v>
      </c>
      <c r="E62" s="7">
        <f t="shared" si="6"/>
        <v>0.76073619631901834</v>
      </c>
      <c r="J62" s="12"/>
    </row>
    <row r="63" spans="1:10" x14ac:dyDescent="0.3">
      <c r="A63" s="8">
        <v>12</v>
      </c>
      <c r="B63" s="11" t="s">
        <v>44</v>
      </c>
      <c r="C63" s="15">
        <v>106.5</v>
      </c>
      <c r="D63">
        <v>47.9</v>
      </c>
      <c r="E63" s="7">
        <f t="shared" si="6"/>
        <v>0.44976525821596242</v>
      </c>
      <c r="J63" s="12"/>
    </row>
    <row r="64" spans="1:10" x14ac:dyDescent="0.3">
      <c r="A64" s="8">
        <v>13</v>
      </c>
      <c r="B64" s="11" t="s">
        <v>45</v>
      </c>
      <c r="C64" s="15">
        <v>96.5</v>
      </c>
      <c r="D64">
        <v>36.4</v>
      </c>
      <c r="E64" s="7">
        <f t="shared" si="6"/>
        <v>0.37720207253886007</v>
      </c>
      <c r="J64" s="12"/>
    </row>
    <row r="65" spans="1:10" x14ac:dyDescent="0.3">
      <c r="A65" s="8">
        <v>14</v>
      </c>
      <c r="B65" s="11" t="s">
        <v>28</v>
      </c>
      <c r="C65" s="15">
        <v>51.2</v>
      </c>
      <c r="D65">
        <v>34.6</v>
      </c>
      <c r="E65" s="7">
        <f t="shared" si="6"/>
        <v>0.67578125</v>
      </c>
      <c r="J65" s="12"/>
    </row>
    <row r="66" spans="1:10" x14ac:dyDescent="0.3">
      <c r="A66" s="8">
        <v>15</v>
      </c>
      <c r="B66" s="11" t="s">
        <v>33</v>
      </c>
      <c r="C66" s="15">
        <v>59.3</v>
      </c>
      <c r="D66">
        <v>34.4</v>
      </c>
      <c r="E66" s="7">
        <f t="shared" si="6"/>
        <v>0.5801011804384486</v>
      </c>
      <c r="J66" s="12"/>
    </row>
    <row r="67" spans="1:10" x14ac:dyDescent="0.3">
      <c r="A67" s="8">
        <v>16</v>
      </c>
      <c r="B67" s="11" t="s">
        <v>25</v>
      </c>
      <c r="C67" s="15">
        <v>46.4</v>
      </c>
      <c r="D67">
        <v>33.6</v>
      </c>
      <c r="E67" s="7">
        <f t="shared" si="6"/>
        <v>0.72413793103448276</v>
      </c>
      <c r="J67" s="12"/>
    </row>
    <row r="68" spans="1:10" x14ac:dyDescent="0.3">
      <c r="A68" s="8">
        <v>17</v>
      </c>
      <c r="B68" s="11" t="s">
        <v>46</v>
      </c>
      <c r="C68" s="15">
        <v>81.900000000000006</v>
      </c>
      <c r="D68">
        <v>31.1</v>
      </c>
      <c r="E68" s="7">
        <f t="shared" si="6"/>
        <v>0.37973137973137971</v>
      </c>
      <c r="J68" s="12"/>
    </row>
    <row r="69" spans="1:10" x14ac:dyDescent="0.3">
      <c r="A69" s="8">
        <v>18</v>
      </c>
      <c r="B69" s="11" t="s">
        <v>47</v>
      </c>
      <c r="C69" s="15">
        <v>69.2</v>
      </c>
      <c r="D69">
        <v>30.2</v>
      </c>
      <c r="E69" s="7">
        <f t="shared" si="6"/>
        <v>0.43641618497109824</v>
      </c>
      <c r="J69" s="12"/>
    </row>
    <row r="70" spans="1:10" x14ac:dyDescent="0.3">
      <c r="A70" s="8">
        <v>19</v>
      </c>
      <c r="B70" s="11" t="s">
        <v>48</v>
      </c>
      <c r="C70" s="15">
        <v>82</v>
      </c>
      <c r="D70">
        <v>28.7</v>
      </c>
      <c r="E70" s="7">
        <f t="shared" si="6"/>
        <v>0.35</v>
      </c>
      <c r="J70" s="12"/>
    </row>
    <row r="71" spans="1:10" x14ac:dyDescent="0.3">
      <c r="A71" s="8">
        <v>20</v>
      </c>
      <c r="B71" s="11" t="s">
        <v>49</v>
      </c>
      <c r="C71" s="15">
        <v>99.4</v>
      </c>
      <c r="D71">
        <v>27.9</v>
      </c>
      <c r="E71" s="7">
        <f t="shared" si="6"/>
        <v>0.28068410462776655</v>
      </c>
      <c r="J71" s="12"/>
    </row>
    <row r="74" spans="1:10" ht="30" customHeight="1" x14ac:dyDescent="0.3"/>
  </sheetData>
  <hyperlinks>
    <hyperlink ref="T6" r:id="rId1" xr:uid="{B7254FC0-2241-406C-8712-940CBF158445}"/>
    <hyperlink ref="I20" r:id="rId2" xr:uid="{A7E9B858-D5BA-4D81-8D45-D68D5E28B15F}"/>
    <hyperlink ref="A3" r:id="rId3" xr:uid="{BCCCBD5E-3328-479F-A976-A21250F50D7F}"/>
    <hyperlink ref="I19" r:id="rId4" xr:uid="{05FDAFEA-E85A-436F-BC79-E5952CC49576}"/>
    <hyperlink ref="H52" r:id="rId5" xr:uid="{D6F8A2A3-9366-4143-8355-93126109DCC3}"/>
    <hyperlink ref="I40" r:id="rId6" xr:uid="{CC2D623A-61D3-405C-9990-D7CA79C3D588}"/>
    <hyperlink ref="I41" r:id="rId7" xr:uid="{C7ED39DD-AB10-4A44-9F8C-D26AA7672F22}"/>
  </hyperlinks>
  <pageMargins left="0.7" right="0.7" top="0.75" bottom="0.75" header="0.3" footer="0.3"/>
  <drawing r:id="rId8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C7243-D5E1-4DA0-A1A5-9F7DC7B05E12}">
  <dimension ref="A1:O22"/>
  <sheetViews>
    <sheetView workbookViewId="0">
      <selection activeCell="A4" sqref="A4"/>
    </sheetView>
  </sheetViews>
  <sheetFormatPr defaultRowHeight="14.4" x14ac:dyDescent="0.3"/>
  <cols>
    <col min="1" max="1" width="25.77734375" customWidth="1"/>
  </cols>
  <sheetData>
    <row r="1" spans="1:15" x14ac:dyDescent="0.3">
      <c r="A1" t="s">
        <v>63</v>
      </c>
    </row>
    <row r="2" spans="1:15" x14ac:dyDescent="0.3">
      <c r="B2" s="24">
        <v>2023</v>
      </c>
      <c r="C2" s="25">
        <f>B2+1</f>
        <v>2024</v>
      </c>
      <c r="D2" s="25">
        <f t="shared" ref="D2:L2" si="0">C2+1</f>
        <v>2025</v>
      </c>
      <c r="E2" s="25">
        <f t="shared" si="0"/>
        <v>2026</v>
      </c>
      <c r="F2" s="25">
        <f t="shared" si="0"/>
        <v>2027</v>
      </c>
      <c r="G2" s="25">
        <f t="shared" si="0"/>
        <v>2028</v>
      </c>
      <c r="H2" s="25">
        <f t="shared" si="0"/>
        <v>2029</v>
      </c>
      <c r="I2" s="25">
        <f t="shared" si="0"/>
        <v>2030</v>
      </c>
      <c r="J2" s="25">
        <f t="shared" si="0"/>
        <v>2031</v>
      </c>
      <c r="K2" s="25">
        <f t="shared" si="0"/>
        <v>2032</v>
      </c>
      <c r="L2" s="25">
        <f t="shared" si="0"/>
        <v>2033</v>
      </c>
    </row>
    <row r="3" spans="1:15" x14ac:dyDescent="0.3">
      <c r="A3" t="s">
        <v>65</v>
      </c>
      <c r="B3" s="8">
        <v>539.5</v>
      </c>
      <c r="C3" s="8">
        <v>570.29999999999995</v>
      </c>
      <c r="D3" s="8">
        <v>602.79999999999995</v>
      </c>
      <c r="E3" s="8">
        <v>637.1</v>
      </c>
      <c r="F3" s="8">
        <v>673.4</v>
      </c>
      <c r="G3" s="8">
        <v>711.8</v>
      </c>
      <c r="H3" s="8">
        <v>752.4</v>
      </c>
      <c r="I3" s="8">
        <v>795.3</v>
      </c>
      <c r="J3" s="8">
        <v>840.6</v>
      </c>
      <c r="K3" s="8">
        <v>888.5</v>
      </c>
      <c r="L3" s="8">
        <v>939.2</v>
      </c>
      <c r="N3" s="1" t="s">
        <v>4</v>
      </c>
      <c r="O3" t="s">
        <v>64</v>
      </c>
    </row>
    <row r="4" spans="1:15" x14ac:dyDescent="0.3">
      <c r="A4" s="5" t="s">
        <v>11</v>
      </c>
      <c r="C4" s="7">
        <f>C3/B3-1</f>
        <v>5.7089898053753307E-2</v>
      </c>
      <c r="D4" s="7">
        <f t="shared" ref="D4:L4" si="1">D3/C3-1</f>
        <v>5.6987550412063825E-2</v>
      </c>
      <c r="E4" s="7">
        <f t="shared" si="1"/>
        <v>5.6901128069011486E-2</v>
      </c>
      <c r="F4" s="7">
        <f t="shared" si="1"/>
        <v>5.6976926699105146E-2</v>
      </c>
      <c r="G4" s="7">
        <f t="shared" si="1"/>
        <v>5.7024057024056996E-2</v>
      </c>
      <c r="H4" s="7">
        <f t="shared" si="1"/>
        <v>5.7038493958977199E-2</v>
      </c>
      <c r="I4" s="7">
        <f t="shared" si="1"/>
        <v>5.7017543859649189E-2</v>
      </c>
      <c r="J4" s="7">
        <f t="shared" si="1"/>
        <v>5.6959637872501023E-2</v>
      </c>
      <c r="K4" s="7">
        <f t="shared" si="1"/>
        <v>5.6983107304306335E-2</v>
      </c>
      <c r="L4" s="7">
        <f t="shared" si="1"/>
        <v>5.7062464828362414E-2</v>
      </c>
      <c r="N4" s="1" t="s">
        <v>5</v>
      </c>
      <c r="O4" t="s">
        <v>64</v>
      </c>
    </row>
    <row r="14" spans="1:15" x14ac:dyDescent="0.3">
      <c r="B14" s="11"/>
    </row>
    <row r="15" spans="1:15" x14ac:dyDescent="0.3">
      <c r="B15" s="11"/>
    </row>
    <row r="16" spans="1:15" x14ac:dyDescent="0.3">
      <c r="B16" s="11"/>
    </row>
    <row r="17" spans="2:2" x14ac:dyDescent="0.3">
      <c r="B17" s="11"/>
    </row>
    <row r="18" spans="2:2" x14ac:dyDescent="0.3">
      <c r="B18" s="11"/>
    </row>
    <row r="19" spans="2:2" x14ac:dyDescent="0.3">
      <c r="B19" s="11"/>
    </row>
    <row r="20" spans="2:2" x14ac:dyDescent="0.3">
      <c r="B20" s="11"/>
    </row>
    <row r="21" spans="2:2" x14ac:dyDescent="0.3">
      <c r="B21" s="11"/>
    </row>
    <row r="22" spans="2:2" x14ac:dyDescent="0.3">
      <c r="B22" s="11"/>
    </row>
  </sheetData>
  <hyperlinks>
    <hyperlink ref="N3" r:id="rId1" xr:uid="{5B824B9E-DBBA-4612-B2BA-B4A551C4BFF3}"/>
    <hyperlink ref="N4" r:id="rId2" xr:uid="{CB70E7C8-A54D-45F3-9386-2BFC722C8EA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9A39-4D04-4CE2-BE26-8EB7AA269DED}">
  <dimension ref="A1:M23"/>
  <sheetViews>
    <sheetView zoomScale="80" zoomScaleNormal="80" workbookViewId="0">
      <selection activeCell="I25" sqref="I25"/>
    </sheetView>
  </sheetViews>
  <sheetFormatPr defaultRowHeight="14.4" x14ac:dyDescent="0.3"/>
  <cols>
    <col min="1" max="1" width="22.77734375" customWidth="1"/>
  </cols>
  <sheetData>
    <row r="1" spans="1:13" x14ac:dyDescent="0.3">
      <c r="A1" s="2" t="s">
        <v>68</v>
      </c>
      <c r="M1" s="2" t="s">
        <v>69</v>
      </c>
    </row>
    <row r="2" spans="1:13" x14ac:dyDescent="0.3">
      <c r="B2" s="24">
        <v>2016</v>
      </c>
      <c r="C2" s="24">
        <f>B2+1</f>
        <v>2017</v>
      </c>
      <c r="D2" s="24">
        <f t="shared" ref="D2:J2" si="0">C2+1</f>
        <v>2018</v>
      </c>
      <c r="E2" s="24">
        <f t="shared" si="0"/>
        <v>2019</v>
      </c>
      <c r="F2" s="24">
        <f t="shared" si="0"/>
        <v>2020</v>
      </c>
      <c r="G2" s="24">
        <f t="shared" si="0"/>
        <v>2021</v>
      </c>
      <c r="H2" s="24">
        <f t="shared" si="0"/>
        <v>2022</v>
      </c>
      <c r="I2" s="24">
        <f t="shared" si="0"/>
        <v>2023</v>
      </c>
      <c r="J2" s="24">
        <f t="shared" si="0"/>
        <v>2024</v>
      </c>
      <c r="M2" s="1" t="s">
        <v>6</v>
      </c>
    </row>
    <row r="3" spans="1:13" x14ac:dyDescent="0.3">
      <c r="A3" t="s">
        <v>66</v>
      </c>
      <c r="B3" s="18">
        <v>7.0000000000000007E-2</v>
      </c>
      <c r="C3" s="18">
        <v>0.08</v>
      </c>
      <c r="D3" s="18">
        <v>0.13</v>
      </c>
      <c r="E3" s="18">
        <v>0.15</v>
      </c>
      <c r="F3" s="18">
        <v>0.15</v>
      </c>
      <c r="G3" s="18">
        <v>0.19</v>
      </c>
      <c r="H3" s="18">
        <v>0.21</v>
      </c>
      <c r="I3" s="26">
        <v>0.24</v>
      </c>
      <c r="J3" s="18">
        <v>0.25</v>
      </c>
      <c r="M3" s="1" t="s">
        <v>7</v>
      </c>
    </row>
    <row r="4" spans="1:13" x14ac:dyDescent="0.3">
      <c r="A4" t="s">
        <v>67</v>
      </c>
      <c r="B4" s="18">
        <v>0.18</v>
      </c>
      <c r="C4" s="18">
        <v>0.27</v>
      </c>
      <c r="D4" s="18">
        <v>0.4</v>
      </c>
      <c r="E4" s="18">
        <v>0.44</v>
      </c>
      <c r="F4" s="18">
        <v>0.44</v>
      </c>
      <c r="G4" s="18">
        <v>0.49</v>
      </c>
      <c r="H4" s="18">
        <v>0.55000000000000004</v>
      </c>
      <c r="I4" s="26">
        <v>0.6</v>
      </c>
      <c r="J4" s="18"/>
      <c r="M4" s="1" t="s">
        <v>8</v>
      </c>
    </row>
    <row r="5" spans="1:13" x14ac:dyDescent="0.3">
      <c r="M5" s="1" t="s">
        <v>9</v>
      </c>
    </row>
    <row r="7" spans="1:13" x14ac:dyDescent="0.3">
      <c r="A7" s="2" t="s">
        <v>70</v>
      </c>
    </row>
    <row r="8" spans="1:13" x14ac:dyDescent="0.3">
      <c r="B8" s="24">
        <v>2018</v>
      </c>
      <c r="C8" s="24">
        <v>2019</v>
      </c>
      <c r="D8" s="24">
        <v>2020</v>
      </c>
      <c r="E8" s="24">
        <v>2021</v>
      </c>
      <c r="F8" s="24">
        <v>2022</v>
      </c>
      <c r="G8" s="24">
        <v>2023</v>
      </c>
      <c r="H8" s="24">
        <v>2024</v>
      </c>
    </row>
    <row r="9" spans="1:13" x14ac:dyDescent="0.3">
      <c r="A9" t="s">
        <v>71</v>
      </c>
      <c r="B9" s="18">
        <v>0.69</v>
      </c>
      <c r="C9" s="18">
        <v>0.63</v>
      </c>
      <c r="D9" s="18">
        <v>0.65</v>
      </c>
      <c r="E9" s="18">
        <v>0.71</v>
      </c>
      <c r="F9" s="18">
        <v>0.75</v>
      </c>
      <c r="G9" s="18">
        <v>0.71</v>
      </c>
      <c r="H9" s="18">
        <v>0.67</v>
      </c>
    </row>
    <row r="10" spans="1:13" x14ac:dyDescent="0.3">
      <c r="B10" s="18"/>
      <c r="C10" s="18"/>
      <c r="D10" s="18"/>
      <c r="E10" s="18"/>
      <c r="F10" s="18"/>
    </row>
    <row r="12" spans="1:13" x14ac:dyDescent="0.3">
      <c r="A12" s="2" t="s">
        <v>84</v>
      </c>
    </row>
    <row r="13" spans="1:13" x14ac:dyDescent="0.3">
      <c r="A13" t="s">
        <v>72</v>
      </c>
      <c r="B13" s="24">
        <v>2020</v>
      </c>
      <c r="C13" s="24">
        <f>B13+1</f>
        <v>2021</v>
      </c>
      <c r="D13" s="24">
        <f t="shared" ref="D13:F13" si="1">C13+1</f>
        <v>2022</v>
      </c>
      <c r="E13" s="24">
        <f t="shared" si="1"/>
        <v>2023</v>
      </c>
      <c r="F13" s="24">
        <f t="shared" si="1"/>
        <v>2024</v>
      </c>
    </row>
    <row r="14" spans="1:13" x14ac:dyDescent="0.3">
      <c r="A14" t="s">
        <v>73</v>
      </c>
      <c r="B14" s="18">
        <v>0.55000000000000004</v>
      </c>
      <c r="C14" s="18">
        <v>0.6</v>
      </c>
      <c r="D14" s="18">
        <v>0.75</v>
      </c>
      <c r="E14" s="18">
        <v>0.71</v>
      </c>
      <c r="F14" s="29">
        <v>0.66</v>
      </c>
    </row>
    <row r="15" spans="1:13" x14ac:dyDescent="0.3">
      <c r="A15" t="s">
        <v>74</v>
      </c>
      <c r="B15" s="18">
        <v>0.2</v>
      </c>
      <c r="C15" s="18">
        <v>0.17</v>
      </c>
      <c r="D15" s="18">
        <v>0.16</v>
      </c>
      <c r="E15" s="18">
        <v>0.17</v>
      </c>
      <c r="F15" s="18">
        <v>0.18</v>
      </c>
    </row>
    <row r="16" spans="1:13" x14ac:dyDescent="0.3">
      <c r="A16" t="s">
        <v>75</v>
      </c>
      <c r="B16" s="18">
        <v>0.13</v>
      </c>
      <c r="C16" s="18">
        <v>0.06</v>
      </c>
      <c r="D16" s="18">
        <v>0.03</v>
      </c>
      <c r="E16" s="18">
        <v>0.05</v>
      </c>
      <c r="F16" s="18">
        <v>7.0000000000000007E-2</v>
      </c>
    </row>
    <row r="17" spans="1:6" x14ac:dyDescent="0.3">
      <c r="A17" t="s">
        <v>76</v>
      </c>
      <c r="B17" s="18">
        <v>0.03</v>
      </c>
      <c r="C17" s="18">
        <v>0.05</v>
      </c>
      <c r="D17" s="18">
        <v>0.01</v>
      </c>
      <c r="E17" s="18">
        <v>0.02</v>
      </c>
      <c r="F17" s="18">
        <v>0.02</v>
      </c>
    </row>
    <row r="18" spans="1:6" x14ac:dyDescent="0.3">
      <c r="A18" t="s">
        <v>77</v>
      </c>
      <c r="B18" s="27" t="s">
        <v>83</v>
      </c>
      <c r="C18" s="27" t="s">
        <v>83</v>
      </c>
      <c r="D18" s="27" t="s">
        <v>83</v>
      </c>
      <c r="E18" s="27" t="s">
        <v>83</v>
      </c>
      <c r="F18" s="27" t="s">
        <v>83</v>
      </c>
    </row>
    <row r="19" spans="1:6" x14ac:dyDescent="0.3">
      <c r="A19" t="s">
        <v>78</v>
      </c>
      <c r="B19" s="27" t="s">
        <v>83</v>
      </c>
      <c r="C19" s="27" t="s">
        <v>83</v>
      </c>
      <c r="D19" s="27" t="s">
        <v>83</v>
      </c>
      <c r="E19" s="27" t="s">
        <v>83</v>
      </c>
      <c r="F19" s="18">
        <v>0.01</v>
      </c>
    </row>
    <row r="20" spans="1:6" x14ac:dyDescent="0.3">
      <c r="A20" t="s">
        <v>81</v>
      </c>
      <c r="B20" s="18">
        <v>0.02</v>
      </c>
      <c r="C20" s="18">
        <v>0.04</v>
      </c>
      <c r="D20" s="18">
        <v>0.01</v>
      </c>
      <c r="E20" s="18">
        <v>0.01</v>
      </c>
      <c r="F20" s="27" t="s">
        <v>83</v>
      </c>
    </row>
    <row r="21" spans="1:6" x14ac:dyDescent="0.3">
      <c r="A21" t="s">
        <v>82</v>
      </c>
      <c r="B21" s="18">
        <v>0.02</v>
      </c>
      <c r="C21" s="18">
        <v>0.03</v>
      </c>
      <c r="D21" s="27" t="s">
        <v>83</v>
      </c>
      <c r="E21" s="27" t="s">
        <v>83</v>
      </c>
      <c r="F21" s="27" t="s">
        <v>83</v>
      </c>
    </row>
    <row r="22" spans="1:6" x14ac:dyDescent="0.3">
      <c r="A22" t="s">
        <v>79</v>
      </c>
      <c r="B22" s="18">
        <v>0.05</v>
      </c>
      <c r="C22" s="18">
        <v>0.05</v>
      </c>
      <c r="D22" s="18">
        <v>0.04</v>
      </c>
      <c r="E22" s="18">
        <v>0.04</v>
      </c>
      <c r="F22" s="18">
        <v>0.06</v>
      </c>
    </row>
    <row r="23" spans="1:6" x14ac:dyDescent="0.3">
      <c r="A23" t="s">
        <v>80</v>
      </c>
      <c r="B23" s="18">
        <f>SUM(B14:B22)</f>
        <v>1</v>
      </c>
      <c r="C23" s="18">
        <f>SUM(C14:C22)</f>
        <v>1.0000000000000002</v>
      </c>
      <c r="D23" s="18">
        <f t="shared" ref="D23:F23" si="2">SUM(D14:D22)</f>
        <v>1</v>
      </c>
      <c r="E23" s="18">
        <f t="shared" si="2"/>
        <v>1</v>
      </c>
      <c r="F23" s="18">
        <f t="shared" si="2"/>
        <v>1.0000000000000002</v>
      </c>
    </row>
  </sheetData>
  <hyperlinks>
    <hyperlink ref="M2" r:id="rId1" xr:uid="{117A8129-FA33-4AAA-A728-32E5D779920F}"/>
    <hyperlink ref="M3" r:id="rId2" xr:uid="{3FB92103-8BD2-4557-AD6F-B59FF918A36B}"/>
    <hyperlink ref="M4" r:id="rId3" xr:uid="{415EDD24-E82D-4846-9F2F-3DB3C981EC04}"/>
    <hyperlink ref="M5" r:id="rId4" xr:uid="{1C05D09F-42C0-4781-9AEA-2E8467117BFA}"/>
  </hyperlinks>
  <pageMargins left="0.7" right="0.7" top="0.75" bottom="0.75" header="0.3" footer="0.3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15567-6017-40AE-A14D-B8498DD55A41}">
  <dimension ref="A1:M70"/>
  <sheetViews>
    <sheetView tabSelected="1" workbookViewId="0">
      <selection activeCell="C48" sqref="C48"/>
    </sheetView>
  </sheetViews>
  <sheetFormatPr defaultRowHeight="14.4" x14ac:dyDescent="0.3"/>
  <cols>
    <col min="1" max="1" width="35.77734375" customWidth="1"/>
  </cols>
  <sheetData>
    <row r="1" spans="1:13" x14ac:dyDescent="0.3">
      <c r="A1" t="s">
        <v>96</v>
      </c>
      <c r="G1" t="s">
        <v>99</v>
      </c>
    </row>
    <row r="2" spans="1:13" x14ac:dyDescent="0.3">
      <c r="B2" s="24">
        <v>2023</v>
      </c>
      <c r="C2" s="24">
        <f>B2+1</f>
        <v>2024</v>
      </c>
      <c r="D2" s="24">
        <f>C2+1</f>
        <v>2025</v>
      </c>
      <c r="H2" s="24">
        <v>2023</v>
      </c>
      <c r="I2" s="24">
        <f>H2+1</f>
        <v>2024</v>
      </c>
      <c r="J2" s="24">
        <f>I2+1</f>
        <v>2025</v>
      </c>
      <c r="L2" s="2" t="s">
        <v>55</v>
      </c>
    </row>
    <row r="3" spans="1:13" x14ac:dyDescent="0.3">
      <c r="A3" t="s">
        <v>74</v>
      </c>
      <c r="B3">
        <v>38.4</v>
      </c>
      <c r="C3">
        <v>42.9</v>
      </c>
      <c r="D3">
        <v>46.9</v>
      </c>
      <c r="H3" s="7">
        <f>B3/$B$15</f>
        <v>0.32296047098402014</v>
      </c>
      <c r="I3" s="7">
        <f>C3/$C$15</f>
        <v>0.31336742147552954</v>
      </c>
      <c r="J3" s="7">
        <f>D3/$D$15</f>
        <v>0.33404558404558404</v>
      </c>
      <c r="L3" s="1" t="s">
        <v>87</v>
      </c>
      <c r="M3" t="s">
        <v>85</v>
      </c>
    </row>
    <row r="4" spans="1:13" x14ac:dyDescent="0.3">
      <c r="A4" s="5" t="s">
        <v>11</v>
      </c>
      <c r="C4" s="7">
        <f>IFERROR(C3/B3-1," ")</f>
        <v>0.1171875</v>
      </c>
      <c r="D4" s="7">
        <f t="shared" ref="D4" si="0">IFERROR(D3/C3-1," ")</f>
        <v>9.3240093240093191E-2</v>
      </c>
      <c r="L4" s="1" t="s">
        <v>88</v>
      </c>
      <c r="M4" t="s">
        <v>86</v>
      </c>
    </row>
    <row r="5" spans="1:13" x14ac:dyDescent="0.3">
      <c r="A5" t="s">
        <v>92</v>
      </c>
      <c r="B5">
        <v>23.6</v>
      </c>
      <c r="C5">
        <v>22.8</v>
      </c>
      <c r="D5">
        <v>21.6</v>
      </c>
      <c r="H5" s="7">
        <f t="shared" ref="H5:H13" si="1">B5/$B$15</f>
        <v>0.19848612279226241</v>
      </c>
      <c r="I5" s="7">
        <f t="shared" ref="I5:I13" si="2">C5/$C$15</f>
        <v>0.16654492330168005</v>
      </c>
      <c r="J5" s="7">
        <f t="shared" ref="J5:J13" si="3">D5/$D$15</f>
        <v>0.15384615384615385</v>
      </c>
    </row>
    <row r="6" spans="1:13" x14ac:dyDescent="0.3">
      <c r="A6" s="5" t="s">
        <v>11</v>
      </c>
      <c r="C6" s="7">
        <f>IFERROR(C5/B5-1," ")</f>
        <v>-3.3898305084745783E-2</v>
      </c>
      <c r="D6" s="7">
        <f>IFERROR(D5/C5-1," ")</f>
        <v>-5.2631578947368363E-2</v>
      </c>
    </row>
    <row r="7" spans="1:13" x14ac:dyDescent="0.3">
      <c r="A7" t="s">
        <v>76</v>
      </c>
      <c r="B7" s="13">
        <v>19</v>
      </c>
      <c r="C7">
        <v>22.7</v>
      </c>
      <c r="D7">
        <v>24.6</v>
      </c>
      <c r="H7" s="7">
        <f t="shared" si="1"/>
        <v>0.15979814970563497</v>
      </c>
      <c r="I7" s="7">
        <f t="shared" si="2"/>
        <v>0.1658144631117604</v>
      </c>
      <c r="J7" s="7">
        <f t="shared" si="3"/>
        <v>0.17521367521367523</v>
      </c>
    </row>
    <row r="8" spans="1:13" x14ac:dyDescent="0.3">
      <c r="A8" s="5" t="s">
        <v>11</v>
      </c>
      <c r="C8" s="7">
        <f>IFERROR(C7/B7-1," ")</f>
        <v>0.1947368421052631</v>
      </c>
      <c r="D8" s="7">
        <f>IFERROR(D7/C7-1," ")</f>
        <v>8.3700440528634568E-2</v>
      </c>
    </row>
    <row r="9" spans="1:13" x14ac:dyDescent="0.3">
      <c r="A9" t="s">
        <v>93</v>
      </c>
      <c r="B9">
        <v>9.1999999999999993</v>
      </c>
      <c r="C9">
        <v>12.8</v>
      </c>
      <c r="D9">
        <v>8.9</v>
      </c>
      <c r="H9" s="7">
        <f t="shared" si="1"/>
        <v>7.7375946173254828E-2</v>
      </c>
      <c r="I9" s="7">
        <f t="shared" si="2"/>
        <v>9.3498904309715122E-2</v>
      </c>
      <c r="J9" s="7">
        <f t="shared" si="3"/>
        <v>6.3390313390313396E-2</v>
      </c>
    </row>
    <row r="10" spans="1:13" x14ac:dyDescent="0.3">
      <c r="A10" s="5" t="s">
        <v>11</v>
      </c>
      <c r="C10" s="7">
        <f>IFERROR(C9/B9-1," ")</f>
        <v>0.39130434782608714</v>
      </c>
      <c r="D10" s="7">
        <f>IFERROR(D9/C9-1," ")</f>
        <v>-0.3046875</v>
      </c>
    </row>
    <row r="11" spans="1:13" x14ac:dyDescent="0.3">
      <c r="A11" t="s">
        <v>94</v>
      </c>
      <c r="B11">
        <v>4.5</v>
      </c>
      <c r="C11" s="13">
        <v>8</v>
      </c>
      <c r="D11">
        <v>11.8</v>
      </c>
      <c r="H11" s="7">
        <f t="shared" si="1"/>
        <v>3.7846930193439862E-2</v>
      </c>
      <c r="I11" s="7">
        <f t="shared" si="2"/>
        <v>5.8436815193571946E-2</v>
      </c>
      <c r="J11" s="7">
        <f t="shared" si="3"/>
        <v>8.4045584045584043E-2</v>
      </c>
    </row>
    <row r="12" spans="1:13" x14ac:dyDescent="0.3">
      <c r="A12" s="5" t="s">
        <v>11</v>
      </c>
      <c r="C12" s="7">
        <f>IFERROR(C11/B11-1," ")</f>
        <v>0.77777777777777768</v>
      </c>
      <c r="D12" s="7">
        <f>IFERROR(D11/C11-1," ")</f>
        <v>0.47500000000000009</v>
      </c>
    </row>
    <row r="13" spans="1:13" x14ac:dyDescent="0.3">
      <c r="A13" t="s">
        <v>79</v>
      </c>
      <c r="B13">
        <v>24.2</v>
      </c>
      <c r="C13">
        <v>27.7</v>
      </c>
      <c r="D13">
        <v>26.6</v>
      </c>
      <c r="H13" s="7">
        <f t="shared" si="1"/>
        <v>0.20353238015138769</v>
      </c>
      <c r="I13" s="7">
        <f t="shared" si="2"/>
        <v>0.20233747260774287</v>
      </c>
      <c r="J13" s="7">
        <f t="shared" si="3"/>
        <v>0.18945868945868946</v>
      </c>
    </row>
    <row r="14" spans="1:13" x14ac:dyDescent="0.3">
      <c r="A14" s="5" t="s">
        <v>11</v>
      </c>
      <c r="C14" s="7">
        <f>IFERROR(C13/B13-1," ")</f>
        <v>0.14462809917355379</v>
      </c>
      <c r="D14" s="7">
        <f>IFERROR(D13/C13-1," ")</f>
        <v>-3.971119133573997E-2</v>
      </c>
    </row>
    <row r="15" spans="1:13" x14ac:dyDescent="0.3">
      <c r="A15" t="s">
        <v>80</v>
      </c>
      <c r="B15" s="13">
        <f>B3+B5+B7+B9+B11+B13</f>
        <v>118.9</v>
      </c>
      <c r="C15" s="13">
        <f>C3+C5+C7+C9+C11+C13</f>
        <v>136.9</v>
      </c>
      <c r="D15" s="13">
        <f>D3+D5+D7+D9+D11+D13</f>
        <v>140.4</v>
      </c>
      <c r="H15" s="7">
        <f>H13+H11+H9+H7+H5+H3</f>
        <v>0.99999999999999989</v>
      </c>
      <c r="I15" s="7">
        <f t="shared" ref="I15:J15" si="4">I13+I11+I9+I7+I5+I3</f>
        <v>1</v>
      </c>
      <c r="J15" s="7">
        <f t="shared" si="4"/>
        <v>1</v>
      </c>
    </row>
    <row r="16" spans="1:13" x14ac:dyDescent="0.3">
      <c r="A16" s="5" t="s">
        <v>11</v>
      </c>
      <c r="C16" s="7">
        <f t="shared" ref="C16:D16" si="5">IFERROR(C15/B15-1," ")</f>
        <v>0.1513877207737595</v>
      </c>
      <c r="D16" s="7">
        <f t="shared" si="5"/>
        <v>2.5566106647187725E-2</v>
      </c>
    </row>
    <row r="19" spans="1:13" x14ac:dyDescent="0.3">
      <c r="A19" t="s">
        <v>95</v>
      </c>
      <c r="G19" t="s">
        <v>101</v>
      </c>
    </row>
    <row r="20" spans="1:13" x14ac:dyDescent="0.3">
      <c r="C20" s="24">
        <v>2024</v>
      </c>
      <c r="D20" s="24">
        <v>2025</v>
      </c>
      <c r="I20" s="24">
        <v>2024</v>
      </c>
      <c r="J20" s="24">
        <v>2025</v>
      </c>
      <c r="L20" s="2" t="s">
        <v>55</v>
      </c>
    </row>
    <row r="21" spans="1:13" x14ac:dyDescent="0.3">
      <c r="A21" t="s">
        <v>93</v>
      </c>
      <c r="C21">
        <v>37.9</v>
      </c>
      <c r="D21">
        <v>40.5</v>
      </c>
      <c r="I21" s="7">
        <f>C21/$C$33</f>
        <v>0.5073627844712183</v>
      </c>
      <c r="J21" s="7">
        <f>D21/$D$33</f>
        <v>0.47928994082840237</v>
      </c>
      <c r="L21" s="1" t="s">
        <v>89</v>
      </c>
      <c r="M21" t="s">
        <v>85</v>
      </c>
    </row>
    <row r="22" spans="1:13" x14ac:dyDescent="0.3">
      <c r="A22" s="5" t="s">
        <v>11</v>
      </c>
      <c r="D22" s="7">
        <f>IFERROR(D21/C21-1," ")</f>
        <v>6.8601583113456543E-2</v>
      </c>
      <c r="I22" s="7"/>
      <c r="J22" s="7"/>
    </row>
    <row r="23" spans="1:13" x14ac:dyDescent="0.3">
      <c r="A23" t="s">
        <v>74</v>
      </c>
      <c r="C23">
        <v>13.9</v>
      </c>
      <c r="D23">
        <v>15.3</v>
      </c>
      <c r="I23" s="7">
        <f t="shared" ref="I23:I33" si="6">C23/$C$33</f>
        <v>0.18607764390896925</v>
      </c>
      <c r="J23" s="7">
        <f t="shared" ref="J23:J33" si="7">D23/$D$33</f>
        <v>0.18106508875739646</v>
      </c>
    </row>
    <row r="24" spans="1:13" x14ac:dyDescent="0.3">
      <c r="A24" s="5" t="s">
        <v>11</v>
      </c>
      <c r="D24" s="7">
        <f>IFERROR(D23/C23-1," ")</f>
        <v>0.10071942446043169</v>
      </c>
      <c r="I24" s="7"/>
      <c r="J24" s="7"/>
    </row>
    <row r="25" spans="1:13" x14ac:dyDescent="0.3">
      <c r="A25" t="s">
        <v>76</v>
      </c>
      <c r="C25">
        <v>8.4</v>
      </c>
      <c r="D25">
        <v>10.7</v>
      </c>
      <c r="I25" s="7">
        <f t="shared" si="6"/>
        <v>0.11244979919678717</v>
      </c>
      <c r="J25" s="7">
        <f t="shared" si="7"/>
        <v>0.12662721893491125</v>
      </c>
    </row>
    <row r="26" spans="1:13" x14ac:dyDescent="0.3">
      <c r="A26" s="5" t="s">
        <v>11</v>
      </c>
      <c r="D26" s="7">
        <f>IFERROR(D25/C25-1," ")</f>
        <v>0.27380952380952372</v>
      </c>
      <c r="I26" s="7"/>
      <c r="J26" s="7"/>
    </row>
    <row r="27" spans="1:13" x14ac:dyDescent="0.3">
      <c r="A27" t="s">
        <v>94</v>
      </c>
      <c r="C27">
        <v>1.4</v>
      </c>
      <c r="D27">
        <v>3.5</v>
      </c>
      <c r="I27" s="7">
        <f t="shared" si="6"/>
        <v>1.8741633199464525E-2</v>
      </c>
      <c r="J27" s="7">
        <f t="shared" si="7"/>
        <v>4.142011834319527E-2</v>
      </c>
    </row>
    <row r="28" spans="1:13" x14ac:dyDescent="0.3">
      <c r="A28" s="5" t="s">
        <v>11</v>
      </c>
      <c r="D28" s="7">
        <f>IFERROR(D27/C27-1," ")</f>
        <v>1.5</v>
      </c>
      <c r="I28" s="7"/>
      <c r="J28" s="7"/>
    </row>
    <row r="29" spans="1:13" x14ac:dyDescent="0.3">
      <c r="A29" t="s">
        <v>100</v>
      </c>
      <c r="C29">
        <v>3.1</v>
      </c>
      <c r="D29">
        <v>3.4</v>
      </c>
      <c r="I29" s="7">
        <f t="shared" si="6"/>
        <v>4.1499330655957171E-2</v>
      </c>
      <c r="J29" s="7">
        <f t="shared" si="7"/>
        <v>4.0236686390532544E-2</v>
      </c>
    </row>
    <row r="30" spans="1:13" x14ac:dyDescent="0.3">
      <c r="A30" s="5" t="s">
        <v>11</v>
      </c>
      <c r="D30" s="7">
        <f>IFERROR(D29/C29-1," ")</f>
        <v>9.6774193548387011E-2</v>
      </c>
      <c r="I30" s="7"/>
      <c r="J30" s="7"/>
    </row>
    <row r="31" spans="1:13" x14ac:dyDescent="0.3">
      <c r="A31" t="s">
        <v>79</v>
      </c>
      <c r="C31" s="13">
        <v>10</v>
      </c>
      <c r="D31">
        <v>11.1</v>
      </c>
      <c r="I31" s="7">
        <f t="shared" si="6"/>
        <v>0.13386880856760378</v>
      </c>
      <c r="J31" s="7">
        <f t="shared" si="7"/>
        <v>0.13136094674556212</v>
      </c>
    </row>
    <row r="32" spans="1:13" x14ac:dyDescent="0.3">
      <c r="A32" s="5" t="s">
        <v>11</v>
      </c>
      <c r="D32" s="7">
        <f>IFERROR(D31/C31-1," ")</f>
        <v>0.10999999999999988</v>
      </c>
      <c r="I32" s="7"/>
      <c r="J32" s="7"/>
    </row>
    <row r="33" spans="1:13" x14ac:dyDescent="0.3">
      <c r="A33" t="s">
        <v>80</v>
      </c>
      <c r="C33" s="13">
        <f>C31+C29+C27+C25+C23+C21</f>
        <v>74.699999999999989</v>
      </c>
      <c r="D33" s="13">
        <f>D31+D29+D27+D25+D23+D21</f>
        <v>84.5</v>
      </c>
      <c r="I33" s="7">
        <f t="shared" si="6"/>
        <v>1</v>
      </c>
      <c r="J33" s="7">
        <f t="shared" si="7"/>
        <v>1</v>
      </c>
    </row>
    <row r="34" spans="1:13" x14ac:dyDescent="0.3">
      <c r="A34" s="5" t="s">
        <v>11</v>
      </c>
      <c r="D34" s="7">
        <f>IFERROR(D33/C33-1," ")</f>
        <v>0.13119143239625175</v>
      </c>
    </row>
    <row r="37" spans="1:13" x14ac:dyDescent="0.3">
      <c r="A37" t="s">
        <v>97</v>
      </c>
      <c r="G37" t="s">
        <v>102</v>
      </c>
    </row>
    <row r="38" spans="1:13" x14ac:dyDescent="0.3">
      <c r="C38" s="24">
        <v>2024</v>
      </c>
      <c r="D38" s="24">
        <v>2025</v>
      </c>
      <c r="I38" s="24">
        <v>2024</v>
      </c>
      <c r="J38" s="24">
        <v>2025</v>
      </c>
      <c r="L38" s="2" t="s">
        <v>55</v>
      </c>
    </row>
    <row r="39" spans="1:13" x14ac:dyDescent="0.3">
      <c r="A39" t="s">
        <v>74</v>
      </c>
      <c r="C39">
        <v>17</v>
      </c>
      <c r="D39">
        <v>17.899999999999999</v>
      </c>
      <c r="I39" s="7">
        <f>C39/$C$51</f>
        <v>0.16748768472906403</v>
      </c>
      <c r="J39" s="7">
        <f>D39/$D$51</f>
        <v>0.17882117882117882</v>
      </c>
      <c r="L39" s="1" t="s">
        <v>90</v>
      </c>
      <c r="M39" t="s">
        <v>85</v>
      </c>
    </row>
    <row r="40" spans="1:13" x14ac:dyDescent="0.3">
      <c r="A40" s="5" t="s">
        <v>11</v>
      </c>
      <c r="D40" s="7">
        <f>IFERROR(D39/C39-1," ")</f>
        <v>5.2941176470588047E-2</v>
      </c>
      <c r="I40" s="7"/>
      <c r="J40" s="7"/>
    </row>
    <row r="41" spans="1:13" x14ac:dyDescent="0.3">
      <c r="A41" t="s">
        <v>76</v>
      </c>
      <c r="C41">
        <v>16.3</v>
      </c>
      <c r="D41" s="13">
        <v>17</v>
      </c>
      <c r="I41" s="7">
        <f t="shared" ref="I41:I51" si="8">C41/$C$51</f>
        <v>0.16059113300492611</v>
      </c>
      <c r="J41" s="7">
        <f t="shared" ref="J41:J51" si="9">D41/$D$51</f>
        <v>0.16983016983016985</v>
      </c>
    </row>
    <row r="42" spans="1:13" x14ac:dyDescent="0.3">
      <c r="A42" s="5" t="s">
        <v>11</v>
      </c>
      <c r="D42" s="7">
        <f>IFERROR(D41/C41-1," ")</f>
        <v>4.2944785276073594E-2</v>
      </c>
      <c r="I42" s="7"/>
      <c r="J42" s="7"/>
    </row>
    <row r="43" spans="1:13" x14ac:dyDescent="0.3">
      <c r="A43" t="s">
        <v>93</v>
      </c>
      <c r="C43">
        <v>17.7</v>
      </c>
      <c r="D43">
        <v>16.3</v>
      </c>
      <c r="I43" s="7">
        <f t="shared" si="8"/>
        <v>0.17438423645320197</v>
      </c>
      <c r="J43" s="7">
        <f t="shared" si="9"/>
        <v>0.16283716283716285</v>
      </c>
    </row>
    <row r="44" spans="1:13" x14ac:dyDescent="0.3">
      <c r="A44" s="5" t="s">
        <v>11</v>
      </c>
      <c r="D44" s="7">
        <f>IFERROR(D43/C43-1," ")</f>
        <v>-7.909604519774005E-2</v>
      </c>
      <c r="I44" s="7"/>
      <c r="J44" s="7"/>
    </row>
    <row r="45" spans="1:13" x14ac:dyDescent="0.3">
      <c r="A45" t="s">
        <v>100</v>
      </c>
      <c r="C45">
        <v>17.399999999999999</v>
      </c>
      <c r="D45">
        <v>14.7</v>
      </c>
      <c r="I45" s="7">
        <f t="shared" si="8"/>
        <v>0.1714285714285714</v>
      </c>
      <c r="J45" s="7">
        <f t="shared" si="9"/>
        <v>0.14685314685314685</v>
      </c>
    </row>
    <row r="46" spans="1:13" x14ac:dyDescent="0.3">
      <c r="A46" s="5" t="s">
        <v>11</v>
      </c>
      <c r="D46" s="7">
        <f>IFERROR(D45/C45-1," ")</f>
        <v>-0.15517241379310343</v>
      </c>
      <c r="I46" s="7"/>
      <c r="J46" s="7"/>
    </row>
    <row r="47" spans="1:13" x14ac:dyDescent="0.3">
      <c r="A47" t="s">
        <v>82</v>
      </c>
      <c r="C47">
        <v>12.6</v>
      </c>
      <c r="D47">
        <v>11.9</v>
      </c>
      <c r="I47" s="7">
        <f t="shared" si="8"/>
        <v>0.12413793103448276</v>
      </c>
      <c r="J47" s="7">
        <f t="shared" si="9"/>
        <v>0.11888111888111889</v>
      </c>
    </row>
    <row r="48" spans="1:13" x14ac:dyDescent="0.3">
      <c r="A48" s="5" t="s">
        <v>11</v>
      </c>
      <c r="D48" s="7">
        <f>IFERROR(D47/C47-1," ")</f>
        <v>-5.5555555555555469E-2</v>
      </c>
      <c r="I48" s="7"/>
      <c r="J48" s="7"/>
    </row>
    <row r="49" spans="1:13" x14ac:dyDescent="0.3">
      <c r="A49" t="s">
        <v>79</v>
      </c>
      <c r="C49">
        <v>20.5</v>
      </c>
      <c r="D49">
        <v>22.3</v>
      </c>
      <c r="I49" s="7">
        <f t="shared" si="8"/>
        <v>0.2019704433497537</v>
      </c>
      <c r="J49" s="7">
        <f t="shared" si="9"/>
        <v>0.22277722277722278</v>
      </c>
    </row>
    <row r="50" spans="1:13" x14ac:dyDescent="0.3">
      <c r="A50" s="5" t="s">
        <v>11</v>
      </c>
      <c r="D50" s="7">
        <f>IFERROR(D49/C49-1," ")</f>
        <v>8.7804878048780566E-2</v>
      </c>
      <c r="I50" s="7"/>
      <c r="J50" s="7"/>
    </row>
    <row r="51" spans="1:13" x14ac:dyDescent="0.3">
      <c r="A51" t="s">
        <v>80</v>
      </c>
      <c r="C51">
        <f>C49+C47+C45+C43+C41+C39</f>
        <v>101.5</v>
      </c>
      <c r="D51">
        <f t="shared" ref="D51" si="10">D49+D47+D45+D43+D41+D39</f>
        <v>100.1</v>
      </c>
      <c r="I51" s="7">
        <f t="shared" si="8"/>
        <v>1</v>
      </c>
      <c r="J51" s="7">
        <f t="shared" si="9"/>
        <v>1</v>
      </c>
    </row>
    <row r="52" spans="1:13" x14ac:dyDescent="0.3">
      <c r="A52" s="5" t="s">
        <v>11</v>
      </c>
      <c r="D52" s="7">
        <f>IFERROR(D51/C51-1," ")</f>
        <v>-1.379310344827589E-2</v>
      </c>
    </row>
    <row r="55" spans="1:13" x14ac:dyDescent="0.3">
      <c r="A55" t="s">
        <v>98</v>
      </c>
      <c r="G55" t="s">
        <v>103</v>
      </c>
    </row>
    <row r="56" spans="1:13" x14ac:dyDescent="0.3">
      <c r="C56" s="24">
        <v>2024</v>
      </c>
      <c r="D56" s="24">
        <v>2025</v>
      </c>
      <c r="I56" s="24">
        <v>2024</v>
      </c>
      <c r="J56" s="24">
        <v>2025</v>
      </c>
      <c r="L56" s="2" t="s">
        <v>55</v>
      </c>
      <c r="M56" t="s">
        <v>85</v>
      </c>
    </row>
    <row r="57" spans="1:13" x14ac:dyDescent="0.3">
      <c r="A57" t="s">
        <v>74</v>
      </c>
      <c r="C57">
        <v>14.4</v>
      </c>
      <c r="D57">
        <v>18.8</v>
      </c>
      <c r="I57" s="7">
        <f>C57/$C$69</f>
        <v>0.2975206611570248</v>
      </c>
      <c r="J57" s="7">
        <f>D57/$D$69</f>
        <v>0.34181818181818185</v>
      </c>
      <c r="L57" s="1" t="s">
        <v>91</v>
      </c>
    </row>
    <row r="58" spans="1:13" x14ac:dyDescent="0.3">
      <c r="A58" s="5" t="s">
        <v>11</v>
      </c>
      <c r="D58" s="7">
        <f>IFERROR(D57/C57-1," ")</f>
        <v>0.30555555555555558</v>
      </c>
      <c r="I58" s="7"/>
      <c r="J58" s="7"/>
    </row>
    <row r="59" spans="1:13" x14ac:dyDescent="0.3">
      <c r="A59" t="s">
        <v>93</v>
      </c>
      <c r="C59">
        <v>8.3000000000000007</v>
      </c>
      <c r="D59">
        <v>8.4</v>
      </c>
      <c r="I59" s="7">
        <f t="shared" ref="I59:I69" si="11">C59/$C$69</f>
        <v>0.17148760330578514</v>
      </c>
      <c r="J59" s="7">
        <f t="shared" ref="J59:J69" si="12">D59/$D$69</f>
        <v>0.15272727272727274</v>
      </c>
    </row>
    <row r="60" spans="1:13" x14ac:dyDescent="0.3">
      <c r="A60" s="5" t="s">
        <v>11</v>
      </c>
      <c r="D60" s="7">
        <f>IFERROR(D59/C59-1," ")</f>
        <v>1.2048192771084265E-2</v>
      </c>
      <c r="I60" s="7"/>
      <c r="J60" s="7"/>
    </row>
    <row r="61" spans="1:13" x14ac:dyDescent="0.3">
      <c r="A61" t="s">
        <v>76</v>
      </c>
      <c r="C61">
        <v>8.1</v>
      </c>
      <c r="D61">
        <v>7.9</v>
      </c>
      <c r="I61" s="7">
        <f t="shared" si="11"/>
        <v>0.16735537190082644</v>
      </c>
      <c r="J61" s="7">
        <f t="shared" si="12"/>
        <v>0.14363636363636365</v>
      </c>
    </row>
    <row r="62" spans="1:13" x14ac:dyDescent="0.3">
      <c r="A62" s="5" t="s">
        <v>11</v>
      </c>
      <c r="D62" s="7">
        <f>IFERROR(D61/C61-1," ")</f>
        <v>-2.4691358024691246E-2</v>
      </c>
      <c r="I62" s="7"/>
      <c r="J62" s="7"/>
    </row>
    <row r="63" spans="1:13" x14ac:dyDescent="0.3">
      <c r="A63" t="s">
        <v>77</v>
      </c>
      <c r="C63">
        <v>3.2</v>
      </c>
      <c r="D63" s="13">
        <v>6</v>
      </c>
      <c r="I63" s="7">
        <f t="shared" si="11"/>
        <v>6.6115702479338845E-2</v>
      </c>
      <c r="J63" s="7">
        <f t="shared" si="12"/>
        <v>0.10909090909090909</v>
      </c>
    </row>
    <row r="64" spans="1:13" x14ac:dyDescent="0.3">
      <c r="A64" s="5" t="s">
        <v>11</v>
      </c>
      <c r="D64" s="7">
        <f>IFERROR(D63/C63-1," ")</f>
        <v>0.875</v>
      </c>
      <c r="I64" s="7"/>
      <c r="J64" s="7"/>
    </row>
    <row r="65" spans="1:10" x14ac:dyDescent="0.3">
      <c r="A65" t="s">
        <v>73</v>
      </c>
      <c r="C65">
        <v>5.3</v>
      </c>
      <c r="D65">
        <v>5.9</v>
      </c>
      <c r="I65" s="7">
        <f t="shared" si="11"/>
        <v>0.10950413223140495</v>
      </c>
      <c r="J65" s="7">
        <f t="shared" si="12"/>
        <v>0.10727272727272728</v>
      </c>
    </row>
    <row r="66" spans="1:10" x14ac:dyDescent="0.3">
      <c r="A66" s="5" t="s">
        <v>11</v>
      </c>
      <c r="D66" s="28">
        <f>IFERROR(D65/C65-1," ")</f>
        <v>0.11320754716981152</v>
      </c>
      <c r="I66" s="7"/>
      <c r="J66" s="7"/>
    </row>
    <row r="67" spans="1:10" x14ac:dyDescent="0.3">
      <c r="A67" t="s">
        <v>79</v>
      </c>
      <c r="C67">
        <v>9.1</v>
      </c>
      <c r="D67" s="13">
        <v>8</v>
      </c>
      <c r="I67" s="7">
        <f t="shared" si="11"/>
        <v>0.18801652892561982</v>
      </c>
      <c r="J67" s="7">
        <f t="shared" si="12"/>
        <v>0.14545454545454545</v>
      </c>
    </row>
    <row r="68" spans="1:10" x14ac:dyDescent="0.3">
      <c r="A68" s="5" t="s">
        <v>11</v>
      </c>
      <c r="D68" s="7">
        <f>IFERROR(D67/C67-1," ")</f>
        <v>-0.12087912087912089</v>
      </c>
      <c r="I68" s="7"/>
      <c r="J68" s="7"/>
    </row>
    <row r="69" spans="1:10" x14ac:dyDescent="0.3">
      <c r="A69" t="s">
        <v>80</v>
      </c>
      <c r="C69">
        <f>C67+C65+C63+C61+C59+C57</f>
        <v>48.4</v>
      </c>
      <c r="D69" s="13">
        <f>D67+D65+D63+D61+D59+D57</f>
        <v>55</v>
      </c>
      <c r="I69" s="7">
        <f t="shared" si="11"/>
        <v>1</v>
      </c>
      <c r="J69" s="7">
        <f t="shared" si="12"/>
        <v>1</v>
      </c>
    </row>
    <row r="70" spans="1:10" x14ac:dyDescent="0.3">
      <c r="A70" s="5" t="s">
        <v>11</v>
      </c>
      <c r="D70" s="7">
        <f>IFERROR(D69/C69-1," ")</f>
        <v>0.13636363636363646</v>
      </c>
    </row>
  </sheetData>
  <hyperlinks>
    <hyperlink ref="L3" r:id="rId1" xr:uid="{4F40E61D-7191-4D49-96A8-74D3EEE806D8}"/>
    <hyperlink ref="L4" r:id="rId2" xr:uid="{3687D5D7-6620-427A-90F5-A20FC246AE15}"/>
    <hyperlink ref="L21" r:id="rId3" xr:uid="{3AC6A93C-567D-4FF4-85C9-E10225CB1B70}"/>
    <hyperlink ref="L39" r:id="rId4" xr:uid="{9F1CE451-DB7A-42F1-A20B-1B10AB651F2E}"/>
    <hyperlink ref="L57" r:id="rId5" xr:uid="{11A3113E-1831-49F6-9803-2EA5AB97B6B2}"/>
  </hyperlinks>
  <pageMargins left="0.7" right="0.7" top="0.75" bottom="0.75" header="0.3" footer="0.3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Smartphone - GDP per Capita</vt:lpstr>
      <vt:lpstr>Smartphone Forecast</vt:lpstr>
      <vt:lpstr>Smartphone Premium Priced</vt:lpstr>
      <vt:lpstr>Smartphone Emergying Markets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Simba Choga</dc:creator>
  <cp:lastModifiedBy>Simba Choga</cp:lastModifiedBy>
  <dcterms:created xsi:type="dcterms:W3CDTF">2015-06-05T18:17:20Z</dcterms:created>
  <dcterms:modified xsi:type="dcterms:W3CDTF">2026-10-06T00:11:09Z</dcterms:modified>
</cp:coreProperties>
</file>