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1452EE26-6AAF-4B84-A118-C1BFA61E2D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ts Market Share" sheetId="1" r:id="rId1"/>
    <sheet name="Tablets Revenue Forecast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G4" i="3" l="1"/>
  <c r="F4" i="3"/>
  <c r="E4" i="3"/>
  <c r="D4" i="3"/>
  <c r="C4" i="3"/>
  <c r="E3" i="3"/>
  <c r="F3" i="3" s="1"/>
  <c r="G3" i="3" s="1"/>
  <c r="D3" i="3"/>
  <c r="C2" i="3"/>
  <c r="D2" i="3" s="1"/>
  <c r="E2" i="3" s="1"/>
  <c r="F2" i="3" s="1"/>
  <c r="G2" i="3" s="1"/>
  <c r="O7" i="1" l="1"/>
  <c r="N7" i="1"/>
  <c r="M7" i="1"/>
  <c r="L7" i="1"/>
  <c r="H7" i="1"/>
  <c r="E7" i="1"/>
  <c r="E11" i="1"/>
  <c r="O13" i="1"/>
  <c r="N13" i="1"/>
  <c r="M13" i="1"/>
  <c r="L13" i="1"/>
  <c r="K13" i="1"/>
  <c r="H13" i="1"/>
  <c r="O17" i="1"/>
  <c r="N17" i="1"/>
  <c r="M17" i="1"/>
  <c r="L17" i="1"/>
  <c r="H17" i="1"/>
  <c r="E17" i="1"/>
  <c r="O15" i="1"/>
  <c r="N15" i="1"/>
  <c r="M15" i="1"/>
  <c r="L15" i="1"/>
  <c r="K15" i="1"/>
  <c r="H15" i="1"/>
  <c r="E13" i="1"/>
  <c r="O3" i="1"/>
  <c r="N3" i="1"/>
  <c r="M3" i="1"/>
  <c r="L3" i="1"/>
  <c r="H3" i="1"/>
  <c r="E3" i="1"/>
  <c r="O18" i="1"/>
  <c r="O29" i="1" s="1"/>
  <c r="N18" i="1"/>
  <c r="M18" i="1"/>
  <c r="M30" i="1" s="1"/>
  <c r="L18" i="1"/>
  <c r="L30" i="1" s="1"/>
  <c r="K18" i="1"/>
  <c r="K28" i="1" s="1"/>
  <c r="H18" i="1"/>
  <c r="G18" i="1"/>
  <c r="E18" i="1"/>
  <c r="D18" i="1"/>
  <c r="B18" i="1"/>
  <c r="B23" i="1" s="1"/>
  <c r="O5" i="1"/>
  <c r="N5" i="1"/>
  <c r="M5" i="1"/>
  <c r="L5" i="1"/>
  <c r="H5" i="1"/>
  <c r="E5" i="1"/>
  <c r="F4" i="1"/>
  <c r="F5" i="1" s="1"/>
  <c r="F6" i="1"/>
  <c r="F7" i="1" s="1"/>
  <c r="F10" i="1"/>
  <c r="G11" i="1" s="1"/>
  <c r="F12" i="1"/>
  <c r="G13" i="1" s="1"/>
  <c r="F16" i="1"/>
  <c r="G17" i="1" s="1"/>
  <c r="F2" i="1"/>
  <c r="J4" i="1"/>
  <c r="K5" i="1" s="1"/>
  <c r="J14" i="1"/>
  <c r="J16" i="1"/>
  <c r="K17" i="1" s="1"/>
  <c r="J12" i="1"/>
  <c r="J6" i="1"/>
  <c r="K7" i="1" s="1"/>
  <c r="J2" i="1"/>
  <c r="I16" i="1"/>
  <c r="I14" i="1"/>
  <c r="I15" i="1" s="1"/>
  <c r="I12" i="1"/>
  <c r="I6" i="1"/>
  <c r="I7" i="1" s="1"/>
  <c r="I4" i="1"/>
  <c r="I5" i="1" s="1"/>
  <c r="I2" i="1"/>
  <c r="I3" i="1" s="1"/>
  <c r="C16" i="1"/>
  <c r="D17" i="1" s="1"/>
  <c r="C10" i="1"/>
  <c r="C11" i="1" s="1"/>
  <c r="C6" i="1"/>
  <c r="C7" i="1" s="1"/>
  <c r="C4" i="1"/>
  <c r="D5" i="1" s="1"/>
  <c r="C2" i="1"/>
  <c r="C3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J17" i="1" l="1"/>
  <c r="H19" i="1"/>
  <c r="J13" i="1"/>
  <c r="C5" i="1"/>
  <c r="E19" i="1"/>
  <c r="O19" i="1"/>
  <c r="N19" i="1"/>
  <c r="L19" i="1"/>
  <c r="F18" i="1"/>
  <c r="F19" i="1" s="1"/>
  <c r="G19" i="1"/>
  <c r="N30" i="1"/>
  <c r="F3" i="1"/>
  <c r="G3" i="1"/>
  <c r="M19" i="1"/>
  <c r="J3" i="1"/>
  <c r="F17" i="1"/>
  <c r="D7" i="1"/>
  <c r="I13" i="1"/>
  <c r="J15" i="1"/>
  <c r="J7" i="1"/>
  <c r="D11" i="1"/>
  <c r="C17" i="1"/>
  <c r="I18" i="1"/>
  <c r="I19" i="1" s="1"/>
  <c r="I17" i="1"/>
  <c r="G7" i="1"/>
  <c r="K3" i="1"/>
  <c r="G5" i="1"/>
  <c r="C18" i="1"/>
  <c r="J5" i="1"/>
  <c r="D3" i="1"/>
  <c r="F13" i="1"/>
  <c r="F11" i="1"/>
  <c r="J18" i="1"/>
  <c r="G25" i="1"/>
  <c r="H24" i="1"/>
  <c r="D28" i="1"/>
  <c r="E27" i="1"/>
  <c r="N25" i="1"/>
  <c r="M31" i="1"/>
  <c r="B29" i="1"/>
  <c r="B30" i="1"/>
  <c r="K24" i="1"/>
  <c r="E31" i="1"/>
  <c r="G24" i="1"/>
  <c r="G31" i="1"/>
  <c r="E26" i="1"/>
  <c r="D27" i="1"/>
  <c r="K31" i="1"/>
  <c r="D31" i="1"/>
  <c r="H31" i="1"/>
  <c r="G26" i="1"/>
  <c r="G27" i="1"/>
  <c r="L31" i="1"/>
  <c r="E28" i="1"/>
  <c r="O23" i="1"/>
  <c r="O28" i="1"/>
  <c r="N31" i="1"/>
  <c r="E23" i="1"/>
  <c r="B28" i="1"/>
  <c r="O31" i="1"/>
  <c r="M24" i="1"/>
  <c r="N24" i="1"/>
  <c r="B24" i="1"/>
  <c r="B25" i="1"/>
  <c r="N29" i="1"/>
  <c r="B26" i="1"/>
  <c r="L25" i="1"/>
  <c r="O30" i="1"/>
  <c r="H26" i="1"/>
  <c r="L24" i="1"/>
  <c r="H27" i="1"/>
  <c r="H25" i="1"/>
  <c r="K25" i="1"/>
  <c r="B27" i="1"/>
  <c r="M25" i="1"/>
  <c r="B31" i="1"/>
  <c r="D29" i="1"/>
  <c r="D30" i="1"/>
  <c r="K26" i="1"/>
  <c r="H29" i="1"/>
  <c r="L26" i="1"/>
  <c r="K23" i="1"/>
  <c r="O24" i="1"/>
  <c r="L27" i="1"/>
  <c r="L23" i="1"/>
  <c r="D24" i="1"/>
  <c r="O25" i="1"/>
  <c r="N26" i="1"/>
  <c r="M27" i="1"/>
  <c r="L28" i="1"/>
  <c r="K29" i="1"/>
  <c r="M23" i="1"/>
  <c r="E24" i="1"/>
  <c r="D25" i="1"/>
  <c r="O26" i="1"/>
  <c r="N27" i="1"/>
  <c r="M28" i="1"/>
  <c r="L29" i="1"/>
  <c r="K30" i="1"/>
  <c r="E29" i="1"/>
  <c r="G23" i="1"/>
  <c r="G28" i="1"/>
  <c r="E30" i="1"/>
  <c r="H23" i="1"/>
  <c r="H28" i="1"/>
  <c r="G29" i="1"/>
  <c r="G30" i="1"/>
  <c r="K27" i="1"/>
  <c r="H30" i="1"/>
  <c r="M26" i="1"/>
  <c r="N23" i="1"/>
  <c r="E25" i="1"/>
  <c r="D26" i="1"/>
  <c r="O27" i="1"/>
  <c r="N28" i="1"/>
  <c r="M29" i="1"/>
  <c r="D23" i="1"/>
  <c r="F31" i="1"/>
  <c r="I31" i="1"/>
  <c r="C31" i="1" l="1"/>
  <c r="C19" i="1"/>
  <c r="K19" i="1"/>
  <c r="J19" i="1"/>
  <c r="J31" i="1"/>
  <c r="D19" i="1"/>
  <c r="J25" i="1"/>
  <c r="J28" i="1"/>
  <c r="J29" i="1"/>
  <c r="J30" i="1"/>
  <c r="C29" i="1"/>
  <c r="C30" i="1"/>
  <c r="C28" i="1"/>
  <c r="C23" i="1"/>
  <c r="C26" i="1"/>
  <c r="C25" i="1"/>
  <c r="C27" i="1"/>
  <c r="I30" i="1"/>
  <c r="I27" i="1"/>
  <c r="I26" i="1"/>
  <c r="I25" i="1"/>
  <c r="I24" i="1"/>
  <c r="I29" i="1"/>
  <c r="I28" i="1"/>
  <c r="J27" i="1"/>
  <c r="J26" i="1"/>
  <c r="J23" i="1"/>
  <c r="J24" i="1"/>
  <c r="C24" i="1"/>
  <c r="F26" i="1"/>
  <c r="F30" i="1"/>
  <c r="F29" i="1"/>
  <c r="F27" i="1"/>
  <c r="F28" i="1"/>
  <c r="F23" i="1"/>
  <c r="F25" i="1"/>
  <c r="F24" i="1"/>
  <c r="I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R16" authorId="0" shapeId="0" xr:uid="{10197354-FA66-464B-8737-2BC76F09B23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https://insurance-canada.ca/2012/11/01/android-tablets-gaining-market-share/</t>
        </r>
      </text>
    </comment>
    <comment ref="O24" authorId="0" shapeId="0" xr:uid="{4AE576C2-42F7-45E5-8306-ADE102AEAF78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Find this number</t>
        </r>
      </text>
    </comment>
  </commentList>
</comments>
</file>

<file path=xl/sharedStrings.xml><?xml version="1.0" encoding="utf-8"?>
<sst xmlns="http://schemas.openxmlformats.org/spreadsheetml/2006/main" count="89" uniqueCount="41">
  <si>
    <t>https://www.thebusinessresearchcompany.com/report/tablets-global-market-report</t>
  </si>
  <si>
    <t>https://www.fonearena.com/blog/415855/worldwide-tablet-shipments-q4-2023-idc.html</t>
  </si>
  <si>
    <t>2022-2023</t>
  </si>
  <si>
    <t>https://www.gsmarena.com/apple_led_global_tablet_shipments_in_2024_as_the_market_rebounds-news-66410.php</t>
  </si>
  <si>
    <t>2023-2024</t>
  </si>
  <si>
    <t>https://macdailynews.com/2021/01/28/canalys-apple-ipad-continues-to-dominate-worldwide-tablet-market/</t>
  </si>
  <si>
    <t>2019-2020</t>
  </si>
  <si>
    <t>https://x.com/IDC/status/1488153980815527943</t>
  </si>
  <si>
    <t>https://www.macrumors.com/2018/02/05/4q17-ipad-vs-other-tablet-sales-idc/</t>
  </si>
  <si>
    <t>2016-2017</t>
  </si>
  <si>
    <t>https://www.trendforce.com/presscenter/news/20181112-10069.html</t>
  </si>
  <si>
    <t>https://displaydaily.com/global-tablet-shipments-fell-double-digits-for-the-first-time-in-2015-with-decline-reaching-12-2-yoy-says-trendforce/</t>
  </si>
  <si>
    <t>2014-2015</t>
  </si>
  <si>
    <t>https://www.iclarified.com/46877/worldwide-tablet-shipments-experience-fourth-quarter-yearoveryear-decline-for-the-first-time-chart</t>
  </si>
  <si>
    <t>2013-2014</t>
  </si>
  <si>
    <t>https://www.macrumors.com/2013/01/31/apples-share-of-worldwide-tablet-shipments-slips-to-43-6-in-4q-2012/</t>
  </si>
  <si>
    <t>https://macdailynews.com/2012/08/02/idc-strong-apple-ipad-shipments-drive-robust-q212-tablet-market-growth/</t>
  </si>
  <si>
    <t>https://www.extremetech.com/computing/154859-the-tablet-market-is-now-almost-pc-size-but-windows-8-and-rt-continue-to-flounder</t>
  </si>
  <si>
    <t>https://appleinsider.com/articles/13/10/30/ipads-marketshare-drops-11-in-q3-on-lack-of-new-models-android-posts-significant-gains</t>
  </si>
  <si>
    <t>Apple</t>
  </si>
  <si>
    <t>Amazon</t>
  </si>
  <si>
    <t>Samsung</t>
  </si>
  <si>
    <t xml:space="preserve">B&amp;A </t>
  </si>
  <si>
    <t>Asus</t>
  </si>
  <si>
    <t>Others</t>
  </si>
  <si>
    <t>Total</t>
  </si>
  <si>
    <t>Lenovo</t>
  </si>
  <si>
    <t>Huawei</t>
  </si>
  <si>
    <t>Market share</t>
  </si>
  <si>
    <t>-</t>
  </si>
  <si>
    <t>% Growth</t>
  </si>
  <si>
    <t>Revenue ($ million)</t>
  </si>
  <si>
    <t>Source</t>
  </si>
  <si>
    <t xml:space="preserve">Tablet Industry Revenue Forecast </t>
  </si>
  <si>
    <t>Sources</t>
  </si>
  <si>
    <t>2012 - Q1</t>
  </si>
  <si>
    <t>2012 - Q2</t>
  </si>
  <si>
    <t>2012- Q3</t>
  </si>
  <si>
    <t>2012 - Q4</t>
  </si>
  <si>
    <t>https://www.wirefresh.com/apples-share-of-tablet-market-slumps-to-57-as-kindle-fire-feels-the-love/?utm_source=chatgpt.com</t>
  </si>
  <si>
    <t>Shipments of Tablets Units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</si>
</sst>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FY&quot;0&quot;A&quot;"/>
    <numFmt numFmtId="165" formatCode="0.0%"/>
    <numFmt numFmtId="166" formatCode="\-"/>
    <numFmt numFmtId="167" formatCode="_(* #,##0_);_(* \(#,##0\);_(* &quot;-&quot;??_);_(@_)"/>
    <numFmt numFmtId="168" formatCode="&quot;FY&quot;0&quot;E&quot;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5" fillId="0" borderId="0" xfId="0" applyFont="1"/>
    <xf numFmtId="0" fontId="5" fillId="0" borderId="0" xfId="0" quotePrefix="1" applyFont="1"/>
    <xf numFmtId="165" fontId="0" fillId="0" borderId="0" xfId="3" applyNumberFormat="1" applyFont="1"/>
    <xf numFmtId="166" fontId="0" fillId="0" borderId="0" xfId="3" applyNumberFormat="1" applyFont="1" applyAlignment="1">
      <alignment horizontal="center"/>
    </xf>
    <xf numFmtId="0" fontId="6" fillId="0" borderId="0" xfId="0" applyFont="1"/>
    <xf numFmtId="3" fontId="0" fillId="0" borderId="1" xfId="0" applyNumberFormat="1" applyBorder="1"/>
    <xf numFmtId="165" fontId="0" fillId="0" borderId="1" xfId="0" applyNumberFormat="1" applyBorder="1"/>
    <xf numFmtId="167" fontId="0" fillId="0" borderId="0" xfId="2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  <xf numFmtId="10" fontId="0" fillId="0" borderId="0" xfId="3" applyNumberFormat="1" applyFont="1"/>
    <xf numFmtId="165" fontId="7" fillId="0" borderId="0" xfId="0" applyNumberFormat="1" applyFont="1"/>
    <xf numFmtId="165" fontId="0" fillId="2" borderId="0" xfId="0" applyNumberFormat="1" applyFill="1"/>
    <xf numFmtId="165" fontId="7" fillId="0" borderId="0" xfId="3" applyNumberFormat="1" applyFont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larified.com/46877/worldwide-tablet-shipments-experience-fourth-quarter-yearoveryear-decline-for-the-first-time-chart" TargetMode="External"/><Relationship Id="rId13" Type="http://schemas.openxmlformats.org/officeDocument/2006/relationships/hyperlink" Target="https://www.wirefresh.com/apples-share-of-tablet-market-slumps-to-57-as-kindle-fire-feels-the-love/?utm_source=chatgpt.com" TargetMode="External"/><Relationship Id="rId3" Type="http://schemas.openxmlformats.org/officeDocument/2006/relationships/hyperlink" Target="https://macdailynews.com/2021/01/28/canalys-apple-ipad-continues-to-dominate-worldwide-tablet-market/" TargetMode="External"/><Relationship Id="rId7" Type="http://schemas.openxmlformats.org/officeDocument/2006/relationships/hyperlink" Target="https://displaydaily.com/global-tablet-shipments-fell-double-digits-for-the-first-time-in-2015-with-decline-reaching-12-2-yoy-says-trendforce/" TargetMode="External"/><Relationship Id="rId12" Type="http://schemas.openxmlformats.org/officeDocument/2006/relationships/hyperlink" Target="https://appleinsider.com/articles/13/10/30/ipads-marketshare-drops-11-in-q3-on-lack-of-new-models-android-posts-significant-gains" TargetMode="External"/><Relationship Id="rId2" Type="http://schemas.openxmlformats.org/officeDocument/2006/relationships/hyperlink" Target="https://www.gsmarena.com/apple_led_global_tablet_shipments_in_2024_as_the_market_rebounds-news-66410.php" TargetMode="External"/><Relationship Id="rId1" Type="http://schemas.openxmlformats.org/officeDocument/2006/relationships/hyperlink" Target="https://www.fonearena.com/blog/415855/worldwide-tablet-shipments-q4-2023-idc.html" TargetMode="External"/><Relationship Id="rId6" Type="http://schemas.openxmlformats.org/officeDocument/2006/relationships/hyperlink" Target="https://www.trendforce.com/presscenter/news/20181112-10069.html" TargetMode="External"/><Relationship Id="rId11" Type="http://schemas.openxmlformats.org/officeDocument/2006/relationships/hyperlink" Target="https://www.extremetech.com/computing/154859-the-tablet-market-is-now-almost-pc-size-but-windows-8-and-rt-continue-to-flounder" TargetMode="External"/><Relationship Id="rId5" Type="http://schemas.openxmlformats.org/officeDocument/2006/relationships/hyperlink" Target="https://www.macrumors.com/2018/02/05/4q17-ipad-vs-other-tablet-sales-idc/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macdailynews.com/2012/08/02/idc-strong-apple-ipad-shipments-drive-robust-q212-tablet-market-growth/" TargetMode="External"/><Relationship Id="rId4" Type="http://schemas.openxmlformats.org/officeDocument/2006/relationships/hyperlink" Target="https://x.com/IDC/status/1488153980815527943" TargetMode="External"/><Relationship Id="rId9" Type="http://schemas.openxmlformats.org/officeDocument/2006/relationships/hyperlink" Target="https://www.macrumors.com/2013/01/31/apples-share-of-worldwide-tablet-shipments-slips-to-43-6-in-4q-2012/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businessresearchcompany.com/report/tablets-global-market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="80" zoomScaleNormal="80" workbookViewId="0">
      <selection activeCell="P20" sqref="P20"/>
    </sheetView>
  </sheetViews>
  <sheetFormatPr defaultRowHeight="14.4" x14ac:dyDescent="0.3"/>
  <cols>
    <col min="1" max="1" width="23" customWidth="1"/>
    <col min="6" max="6" width="9.88671875" bestFit="1" customWidth="1"/>
  </cols>
  <sheetData>
    <row r="1" spans="1:19" x14ac:dyDescent="0.3">
      <c r="A1" s="6" t="s">
        <v>40</v>
      </c>
      <c r="B1" s="2">
        <v>2011</v>
      </c>
      <c r="C1" s="2">
        <f>B1+1</f>
        <v>2012</v>
      </c>
      <c r="D1" s="2">
        <f t="shared" ref="D1:O1" si="0">C1+1</f>
        <v>2013</v>
      </c>
      <c r="E1" s="2">
        <f t="shared" si="0"/>
        <v>2014</v>
      </c>
      <c r="F1" s="2">
        <f t="shared" si="0"/>
        <v>2015</v>
      </c>
      <c r="G1" s="2">
        <f t="shared" si="0"/>
        <v>2016</v>
      </c>
      <c r="H1" s="2">
        <f t="shared" si="0"/>
        <v>2017</v>
      </c>
      <c r="I1" s="2">
        <f t="shared" si="0"/>
        <v>2018</v>
      </c>
      <c r="J1" s="2">
        <f t="shared" si="0"/>
        <v>2019</v>
      </c>
      <c r="K1" s="2">
        <f t="shared" si="0"/>
        <v>2020</v>
      </c>
      <c r="L1" s="2">
        <f t="shared" si="0"/>
        <v>2021</v>
      </c>
      <c r="M1" s="2">
        <f t="shared" si="0"/>
        <v>2022</v>
      </c>
      <c r="N1" s="2">
        <f t="shared" si="0"/>
        <v>2023</v>
      </c>
      <c r="O1" s="2">
        <f t="shared" si="0"/>
        <v>2024</v>
      </c>
      <c r="R1" s="5" t="s">
        <v>34</v>
      </c>
    </row>
    <row r="2" spans="1:19" x14ac:dyDescent="0.3">
      <c r="A2" t="s">
        <v>19</v>
      </c>
      <c r="B2" s="3">
        <v>40493</v>
      </c>
      <c r="C2" s="3">
        <f>11800+17042+14000+22900</f>
        <v>65742</v>
      </c>
      <c r="D2" s="3">
        <v>74300</v>
      </c>
      <c r="E2" s="3">
        <v>63400</v>
      </c>
      <c r="F2" s="3">
        <f>0.294*168500</f>
        <v>49539</v>
      </c>
      <c r="G2" s="3">
        <v>42600</v>
      </c>
      <c r="H2" s="3">
        <v>43800</v>
      </c>
      <c r="I2" s="3">
        <f>0.296*145500</f>
        <v>43068</v>
      </c>
      <c r="J2" s="3">
        <f>0.296*139600</f>
        <v>41321.599999999999</v>
      </c>
      <c r="K2" s="3">
        <v>58800</v>
      </c>
      <c r="L2" s="3">
        <v>57800</v>
      </c>
      <c r="M2" s="3">
        <v>60500</v>
      </c>
      <c r="N2" s="3">
        <v>48500</v>
      </c>
      <c r="O2" s="3">
        <v>56919</v>
      </c>
      <c r="R2" s="1" t="s">
        <v>3</v>
      </c>
      <c r="S2" t="s">
        <v>4</v>
      </c>
    </row>
    <row r="3" spans="1:19" x14ac:dyDescent="0.3">
      <c r="A3" s="9" t="s">
        <v>30</v>
      </c>
      <c r="B3" s="3"/>
      <c r="C3" s="7">
        <f>IFERROR(C2/B2-1," ")</f>
        <v>0.62353987108883024</v>
      </c>
      <c r="D3" s="7">
        <f t="shared" ref="D3:O3" si="1">IFERROR(D2/C2-1," ")</f>
        <v>0.13017553466581488</v>
      </c>
      <c r="E3" s="7">
        <f t="shared" si="1"/>
        <v>-0.14670255720053837</v>
      </c>
      <c r="F3" s="7">
        <f t="shared" si="1"/>
        <v>-0.21862776025236597</v>
      </c>
      <c r="G3" s="7">
        <f t="shared" si="1"/>
        <v>-0.14007145885060257</v>
      </c>
      <c r="H3" s="7">
        <f t="shared" si="1"/>
        <v>2.8169014084507005E-2</v>
      </c>
      <c r="I3" s="7">
        <f t="shared" si="1"/>
        <v>-1.6712328767123252E-2</v>
      </c>
      <c r="J3" s="7">
        <f t="shared" si="1"/>
        <v>-4.0549828178694236E-2</v>
      </c>
      <c r="K3" s="7">
        <f t="shared" si="1"/>
        <v>0.42298458917370096</v>
      </c>
      <c r="L3" s="7">
        <f t="shared" si="1"/>
        <v>-1.7006802721088454E-2</v>
      </c>
      <c r="M3" s="7">
        <f t="shared" si="1"/>
        <v>4.6712802768166028E-2</v>
      </c>
      <c r="N3" s="7">
        <f t="shared" si="1"/>
        <v>-0.19834710743801653</v>
      </c>
      <c r="O3" s="7">
        <f t="shared" si="1"/>
        <v>0.17358762886597945</v>
      </c>
      <c r="R3" s="1" t="s">
        <v>1</v>
      </c>
      <c r="S3" t="s">
        <v>2</v>
      </c>
    </row>
    <row r="4" spans="1:19" x14ac:dyDescent="0.3">
      <c r="A4" t="s">
        <v>20</v>
      </c>
      <c r="B4" s="3">
        <v>3885</v>
      </c>
      <c r="C4" s="3">
        <f>700+1252+2500+6000</f>
        <v>10452</v>
      </c>
      <c r="D4" s="3">
        <v>9800</v>
      </c>
      <c r="E4" s="3">
        <v>3300</v>
      </c>
      <c r="F4" s="3">
        <f>0.033*168500</f>
        <v>5560.5</v>
      </c>
      <c r="G4" s="3">
        <v>12100</v>
      </c>
      <c r="H4" s="3">
        <v>16700</v>
      </c>
      <c r="I4" s="3">
        <f>0.092*145500</f>
        <v>13386</v>
      </c>
      <c r="J4" s="3">
        <f>0.093*139600</f>
        <v>12982.8</v>
      </c>
      <c r="K4">
        <v>15900</v>
      </c>
      <c r="L4" s="3">
        <v>16100</v>
      </c>
      <c r="M4" s="3">
        <v>16000</v>
      </c>
      <c r="N4" s="3">
        <v>5500</v>
      </c>
      <c r="O4" s="3">
        <v>0</v>
      </c>
      <c r="R4" s="1" t="s">
        <v>7</v>
      </c>
      <c r="S4">
        <v>2021</v>
      </c>
    </row>
    <row r="5" spans="1:19" x14ac:dyDescent="0.3">
      <c r="A5" s="9" t="s">
        <v>30</v>
      </c>
      <c r="B5" s="3"/>
      <c r="C5" s="7">
        <f>IFERROR(C4/B4-1," ")</f>
        <v>1.6903474903474902</v>
      </c>
      <c r="D5" s="7">
        <f t="shared" ref="D5:O5" si="2">IFERROR(D4/C4-1," ")</f>
        <v>-6.2380405663987726E-2</v>
      </c>
      <c r="E5" s="7">
        <f t="shared" si="2"/>
        <v>-0.66326530612244894</v>
      </c>
      <c r="F5" s="7">
        <f t="shared" si="2"/>
        <v>0.68500000000000005</v>
      </c>
      <c r="G5" s="7">
        <f t="shared" si="2"/>
        <v>1.1760633036597428</v>
      </c>
      <c r="H5" s="7">
        <f t="shared" si="2"/>
        <v>0.38016528925619841</v>
      </c>
      <c r="I5" s="7">
        <f t="shared" si="2"/>
        <v>-0.19844311377245505</v>
      </c>
      <c r="J5" s="7">
        <f t="shared" si="2"/>
        <v>-3.0121021963245287E-2</v>
      </c>
      <c r="K5" s="7">
        <f t="shared" si="2"/>
        <v>0.22469729180146047</v>
      </c>
      <c r="L5" s="7">
        <f t="shared" si="2"/>
        <v>1.2578616352201255E-2</v>
      </c>
      <c r="M5" s="7">
        <f t="shared" si="2"/>
        <v>-6.2111801242236142E-3</v>
      </c>
      <c r="N5" s="7">
        <f t="shared" si="2"/>
        <v>-0.65625</v>
      </c>
      <c r="O5" s="7">
        <f t="shared" si="2"/>
        <v>-1</v>
      </c>
      <c r="R5" s="1" t="s">
        <v>5</v>
      </c>
      <c r="S5" t="s">
        <v>6</v>
      </c>
    </row>
    <row r="6" spans="1:19" x14ac:dyDescent="0.3">
      <c r="A6" t="s">
        <v>21</v>
      </c>
      <c r="B6" s="3">
        <v>6110</v>
      </c>
      <c r="C6" s="3">
        <f>2300+2391+5100+7900</f>
        <v>17691</v>
      </c>
      <c r="D6" s="3">
        <v>39700</v>
      </c>
      <c r="E6" s="3">
        <v>40200</v>
      </c>
      <c r="F6" s="3">
        <f>0.199*168500</f>
        <v>33531.5</v>
      </c>
      <c r="G6" s="3">
        <v>26600</v>
      </c>
      <c r="H6" s="3">
        <v>24900</v>
      </c>
      <c r="I6" s="3">
        <f>0.151*145500</f>
        <v>21970.5</v>
      </c>
      <c r="J6" s="3">
        <f>0.149*139600</f>
        <v>20800.399999999998</v>
      </c>
      <c r="K6" s="3">
        <v>31000</v>
      </c>
      <c r="L6" s="3">
        <v>30900</v>
      </c>
      <c r="M6" s="3">
        <v>30400</v>
      </c>
      <c r="N6" s="3">
        <v>26200</v>
      </c>
      <c r="O6" s="3">
        <v>27791</v>
      </c>
      <c r="R6" s="1" t="s">
        <v>10</v>
      </c>
      <c r="S6">
        <v>2018</v>
      </c>
    </row>
    <row r="7" spans="1:19" x14ac:dyDescent="0.3">
      <c r="A7" s="9" t="s">
        <v>30</v>
      </c>
      <c r="B7" s="3"/>
      <c r="C7" s="7">
        <f>IFERROR(C6/B6-1," ")</f>
        <v>1.8954173486088379</v>
      </c>
      <c r="D7" s="7">
        <f t="shared" ref="D7:O7" si="3">IFERROR(D6/C6-1," ")</f>
        <v>1.2440789101803178</v>
      </c>
      <c r="E7" s="7">
        <f t="shared" si="3"/>
        <v>1.2594458438287104E-2</v>
      </c>
      <c r="F7" s="7">
        <f t="shared" si="3"/>
        <v>-0.16588308457711443</v>
      </c>
      <c r="G7" s="7">
        <f t="shared" si="3"/>
        <v>-0.2067160729463341</v>
      </c>
      <c r="H7" s="7">
        <f t="shared" si="3"/>
        <v>-6.390977443609025E-2</v>
      </c>
      <c r="I7" s="7">
        <f t="shared" si="3"/>
        <v>-0.11765060240963854</v>
      </c>
      <c r="J7" s="7">
        <f t="shared" si="3"/>
        <v>-5.3257777474340684E-2</v>
      </c>
      <c r="K7" s="7">
        <f t="shared" si="3"/>
        <v>0.49035595469317905</v>
      </c>
      <c r="L7" s="7">
        <f t="shared" si="3"/>
        <v>-3.225806451612856E-3</v>
      </c>
      <c r="M7" s="7">
        <f t="shared" si="3"/>
        <v>-1.6181229773462813E-2</v>
      </c>
      <c r="N7" s="7">
        <f t="shared" si="3"/>
        <v>-0.13815789473684215</v>
      </c>
      <c r="O7" s="7">
        <f t="shared" si="3"/>
        <v>6.0725190839694632E-2</v>
      </c>
      <c r="R7" s="1" t="s">
        <v>8</v>
      </c>
      <c r="S7" t="s">
        <v>9</v>
      </c>
    </row>
    <row r="8" spans="1:19" x14ac:dyDescent="0.3">
      <c r="A8" t="s">
        <v>22</v>
      </c>
      <c r="B8" s="3">
        <v>3250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R8" s="1" t="s">
        <v>11</v>
      </c>
      <c r="S8" t="s">
        <v>12</v>
      </c>
    </row>
    <row r="9" spans="1:19" x14ac:dyDescent="0.3">
      <c r="A9" s="9" t="s">
        <v>30</v>
      </c>
      <c r="B9" s="8" t="s">
        <v>29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H9" s="8" t="s">
        <v>29</v>
      </c>
      <c r="I9" s="8" t="s">
        <v>29</v>
      </c>
      <c r="J9" s="8" t="s">
        <v>29</v>
      </c>
      <c r="K9" s="8" t="s">
        <v>29</v>
      </c>
      <c r="L9" s="8" t="s">
        <v>29</v>
      </c>
      <c r="M9" s="8" t="s">
        <v>29</v>
      </c>
      <c r="N9" s="8" t="s">
        <v>29</v>
      </c>
      <c r="O9" s="8" t="s">
        <v>29</v>
      </c>
      <c r="R9" s="1" t="s">
        <v>13</v>
      </c>
      <c r="S9" t="s">
        <v>14</v>
      </c>
    </row>
    <row r="10" spans="1:19" x14ac:dyDescent="0.3">
      <c r="A10" t="s">
        <v>23</v>
      </c>
      <c r="B10" s="3">
        <v>2063</v>
      </c>
      <c r="C10" s="3">
        <f>600+855+2400+3100</f>
        <v>6955</v>
      </c>
      <c r="D10" s="3">
        <v>12200</v>
      </c>
      <c r="E10" s="3">
        <v>11500</v>
      </c>
      <c r="F10" s="3">
        <f>0.032*168500</f>
        <v>5392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9" x14ac:dyDescent="0.3">
      <c r="A11" s="9" t="s">
        <v>30</v>
      </c>
      <c r="B11" s="3"/>
      <c r="C11" s="7">
        <f>IFERROR(C10/B10-1," ")</f>
        <v>2.3713039263208917</v>
      </c>
      <c r="D11" s="7">
        <f t="shared" ref="D11:F11" si="4">IFERROR(D10/C10-1," ")</f>
        <v>0.75413371675053908</v>
      </c>
      <c r="E11" s="7">
        <f t="shared" si="4"/>
        <v>-5.7377049180327822E-2</v>
      </c>
      <c r="F11" s="7">
        <f t="shared" si="4"/>
        <v>-0.53113043478260868</v>
      </c>
      <c r="G11" s="7">
        <f t="shared" ref="G11" si="5">IFERROR(G10/F10-1," ")</f>
        <v>-1</v>
      </c>
      <c r="H11" s="8" t="s">
        <v>29</v>
      </c>
      <c r="I11" s="8" t="s">
        <v>29</v>
      </c>
      <c r="J11" s="8" t="s">
        <v>29</v>
      </c>
      <c r="K11" s="8" t="s">
        <v>29</v>
      </c>
      <c r="L11" s="8" t="s">
        <v>29</v>
      </c>
      <c r="M11" s="8" t="s">
        <v>29</v>
      </c>
      <c r="N11" s="8" t="s">
        <v>29</v>
      </c>
      <c r="O11" s="8" t="s">
        <v>29</v>
      </c>
    </row>
    <row r="12" spans="1:19" x14ac:dyDescent="0.3">
      <c r="A12" t="s">
        <v>26</v>
      </c>
      <c r="B12" s="3">
        <v>0</v>
      </c>
      <c r="C12" s="3">
        <v>0</v>
      </c>
      <c r="D12" s="3">
        <v>7800</v>
      </c>
      <c r="E12" s="3">
        <v>11200</v>
      </c>
      <c r="F12" s="3">
        <f>0.058*168500</f>
        <v>9773</v>
      </c>
      <c r="G12" s="3">
        <v>11000</v>
      </c>
      <c r="H12" s="3">
        <v>10300</v>
      </c>
      <c r="I12" s="3">
        <f>0.071*145500</f>
        <v>10330.499999999998</v>
      </c>
      <c r="J12" s="3">
        <f>0.075*139600</f>
        <v>10470</v>
      </c>
      <c r="K12" s="3">
        <v>14200</v>
      </c>
      <c r="L12" s="3">
        <v>17700</v>
      </c>
      <c r="M12" s="3">
        <v>11600</v>
      </c>
      <c r="N12" s="3">
        <v>9300</v>
      </c>
      <c r="O12" s="3">
        <v>10426</v>
      </c>
    </row>
    <row r="13" spans="1:19" x14ac:dyDescent="0.3">
      <c r="A13" s="9" t="s">
        <v>30</v>
      </c>
      <c r="B13" s="8" t="s">
        <v>29</v>
      </c>
      <c r="C13" s="8" t="s">
        <v>29</v>
      </c>
      <c r="D13" s="8" t="s">
        <v>29</v>
      </c>
      <c r="E13" s="7">
        <f>IFERROR(E12/D12-1," ")</f>
        <v>0.4358974358974359</v>
      </c>
      <c r="F13" s="7">
        <f t="shared" ref="F13:O13" si="6">IFERROR(F12/E12-1," ")</f>
        <v>-0.12741071428571427</v>
      </c>
      <c r="G13" s="7">
        <f t="shared" si="6"/>
        <v>0.12554998465159106</v>
      </c>
      <c r="H13" s="7">
        <f t="shared" si="6"/>
        <v>-6.3636363636363602E-2</v>
      </c>
      <c r="I13" s="7">
        <f t="shared" si="6"/>
        <v>2.9611650485434904E-3</v>
      </c>
      <c r="J13" s="7">
        <f t="shared" si="6"/>
        <v>1.3503702628140157E-2</v>
      </c>
      <c r="K13" s="7">
        <f t="shared" si="6"/>
        <v>0.3562559694364853</v>
      </c>
      <c r="L13" s="7">
        <f t="shared" si="6"/>
        <v>0.24647887323943651</v>
      </c>
      <c r="M13" s="7">
        <f t="shared" si="6"/>
        <v>-0.34463276836158196</v>
      </c>
      <c r="N13" s="7">
        <f t="shared" si="6"/>
        <v>-0.19827586206896552</v>
      </c>
      <c r="O13" s="7">
        <f t="shared" si="6"/>
        <v>0.12107526881720432</v>
      </c>
    </row>
    <row r="14" spans="1:19" x14ac:dyDescent="0.3">
      <c r="A14" t="s">
        <v>27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9800</v>
      </c>
      <c r="H14" s="3">
        <v>12500</v>
      </c>
      <c r="I14" s="3">
        <f>0.098*145500</f>
        <v>14259</v>
      </c>
      <c r="J14" s="3">
        <f>0.113*139600</f>
        <v>15774.800000000001</v>
      </c>
      <c r="K14" s="3">
        <v>16300</v>
      </c>
      <c r="L14" s="3">
        <v>9700</v>
      </c>
      <c r="M14" s="3">
        <v>9100</v>
      </c>
      <c r="N14" s="3">
        <v>8700</v>
      </c>
      <c r="O14" s="3">
        <v>10426</v>
      </c>
      <c r="R14" s="1" t="s">
        <v>17</v>
      </c>
      <c r="S14" t="s">
        <v>35</v>
      </c>
    </row>
    <row r="15" spans="1:19" x14ac:dyDescent="0.3">
      <c r="A15" s="9" t="s">
        <v>30</v>
      </c>
      <c r="B15" s="8" t="s">
        <v>29</v>
      </c>
      <c r="C15" s="8" t="s">
        <v>29</v>
      </c>
      <c r="D15" s="8" t="s">
        <v>29</v>
      </c>
      <c r="E15" s="8" t="s">
        <v>29</v>
      </c>
      <c r="F15" s="8" t="s">
        <v>29</v>
      </c>
      <c r="G15" s="8" t="s">
        <v>29</v>
      </c>
      <c r="H15" s="7">
        <f t="shared" ref="H15:O15" si="7">IFERROR(H14/G14-1," ")</f>
        <v>0.27551020408163263</v>
      </c>
      <c r="I15" s="7">
        <f t="shared" si="7"/>
        <v>0.14071999999999996</v>
      </c>
      <c r="J15" s="7">
        <f t="shared" si="7"/>
        <v>0.10630478995722004</v>
      </c>
      <c r="K15" s="7">
        <f t="shared" si="7"/>
        <v>3.329360752592736E-2</v>
      </c>
      <c r="L15" s="7">
        <f t="shared" si="7"/>
        <v>-0.40490797546012269</v>
      </c>
      <c r="M15" s="7">
        <f t="shared" si="7"/>
        <v>-6.1855670103092786E-2</v>
      </c>
      <c r="N15" s="7">
        <f t="shared" si="7"/>
        <v>-4.3956043956043911E-2</v>
      </c>
      <c r="O15" s="7">
        <f t="shared" si="7"/>
        <v>0.1983908045977012</v>
      </c>
      <c r="R15" s="1" t="s">
        <v>16</v>
      </c>
      <c r="S15" t="s">
        <v>36</v>
      </c>
    </row>
    <row r="16" spans="1:19" x14ac:dyDescent="0.3">
      <c r="A16" t="s">
        <v>24</v>
      </c>
      <c r="B16" s="3">
        <v>9389</v>
      </c>
      <c r="C16" s="3">
        <f>4900+3067+3300+11600</f>
        <v>22867</v>
      </c>
      <c r="D16" s="3">
        <v>76100</v>
      </c>
      <c r="E16" s="3">
        <v>100000</v>
      </c>
      <c r="F16" s="3">
        <f>0.385*168500</f>
        <v>64872.5</v>
      </c>
      <c r="G16" s="3">
        <v>72800</v>
      </c>
      <c r="H16" s="3">
        <v>55300</v>
      </c>
      <c r="I16" s="3">
        <f>0.292*145500</f>
        <v>42486</v>
      </c>
      <c r="J16" s="3">
        <f>0.274*139600</f>
        <v>38250.400000000001</v>
      </c>
      <c r="K16" s="3">
        <v>24500</v>
      </c>
      <c r="L16" s="3">
        <v>36700</v>
      </c>
      <c r="M16" s="3">
        <v>34100</v>
      </c>
      <c r="N16" s="3">
        <v>30300</v>
      </c>
      <c r="O16" s="3">
        <v>32531</v>
      </c>
      <c r="R16" s="1" t="s">
        <v>18</v>
      </c>
      <c r="S16" t="s">
        <v>37</v>
      </c>
    </row>
    <row r="17" spans="1:19" x14ac:dyDescent="0.3">
      <c r="A17" s="9" t="s">
        <v>30</v>
      </c>
      <c r="B17" s="3"/>
      <c r="C17" s="7">
        <f>IFERROR(C16/B16-1," ")</f>
        <v>1.4355096389391839</v>
      </c>
      <c r="D17" s="7">
        <f t="shared" ref="D17:O17" si="8">IFERROR(D16/C16-1," ")</f>
        <v>2.3279398259500592</v>
      </c>
      <c r="E17" s="7">
        <f t="shared" si="8"/>
        <v>0.31406044678055189</v>
      </c>
      <c r="F17" s="7">
        <f t="shared" si="8"/>
        <v>-0.351275</v>
      </c>
      <c r="G17" s="7">
        <f t="shared" si="8"/>
        <v>0.1222012408956028</v>
      </c>
      <c r="H17" s="7">
        <f t="shared" si="8"/>
        <v>-0.24038461538461542</v>
      </c>
      <c r="I17" s="7">
        <f t="shared" si="8"/>
        <v>-0.2317179023508138</v>
      </c>
      <c r="J17" s="7">
        <f t="shared" si="8"/>
        <v>-9.9694016852610257E-2</v>
      </c>
      <c r="K17" s="7">
        <f t="shared" si="8"/>
        <v>-0.35948382239139987</v>
      </c>
      <c r="L17" s="7">
        <f t="shared" si="8"/>
        <v>0.49795918367346936</v>
      </c>
      <c r="M17" s="7">
        <f t="shared" si="8"/>
        <v>-7.0844686648501409E-2</v>
      </c>
      <c r="N17" s="7">
        <f t="shared" si="8"/>
        <v>-0.11143695014662758</v>
      </c>
      <c r="O17" s="7">
        <f t="shared" si="8"/>
        <v>7.3630363036303548E-2</v>
      </c>
      <c r="R17" s="1" t="s">
        <v>15</v>
      </c>
      <c r="S17" t="s">
        <v>38</v>
      </c>
    </row>
    <row r="18" spans="1:19" x14ac:dyDescent="0.3">
      <c r="A18" t="s">
        <v>25</v>
      </c>
      <c r="B18" s="10">
        <f>B2+B4+B6+B8+B10+B12+B14+B16</f>
        <v>65190</v>
      </c>
      <c r="C18" s="10">
        <f t="shared" ref="C18:O18" si="9">C2+C4+C6+C8+C10+C12+C14+C16</f>
        <v>123707</v>
      </c>
      <c r="D18" s="10">
        <f t="shared" si="9"/>
        <v>219900</v>
      </c>
      <c r="E18" s="10">
        <f t="shared" si="9"/>
        <v>229600</v>
      </c>
      <c r="F18" s="10">
        <f t="shared" si="9"/>
        <v>168668.5</v>
      </c>
      <c r="G18" s="10">
        <f t="shared" si="9"/>
        <v>174900</v>
      </c>
      <c r="H18" s="10">
        <f t="shared" si="9"/>
        <v>163500</v>
      </c>
      <c r="I18" s="10">
        <f t="shared" si="9"/>
        <v>145500</v>
      </c>
      <c r="J18" s="10">
        <f t="shared" si="9"/>
        <v>139600</v>
      </c>
      <c r="K18" s="10">
        <f t="shared" si="9"/>
        <v>160700</v>
      </c>
      <c r="L18" s="10">
        <f t="shared" si="9"/>
        <v>168900</v>
      </c>
      <c r="M18" s="10">
        <f t="shared" si="9"/>
        <v>161700</v>
      </c>
      <c r="N18" s="10">
        <f t="shared" si="9"/>
        <v>128500</v>
      </c>
      <c r="O18" s="10">
        <f t="shared" si="9"/>
        <v>138093</v>
      </c>
    </row>
    <row r="19" spans="1:19" x14ac:dyDescent="0.3">
      <c r="A19" s="9" t="s">
        <v>30</v>
      </c>
      <c r="B19" s="3"/>
      <c r="C19" s="7">
        <f t="shared" ref="C19:O19" si="10">IFERROR(C18/B18-1," ")</f>
        <v>0.89763767448995235</v>
      </c>
      <c r="D19" s="7">
        <f t="shared" si="10"/>
        <v>0.77758736369000947</v>
      </c>
      <c r="E19" s="7">
        <f t="shared" si="10"/>
        <v>4.411095952705768E-2</v>
      </c>
      <c r="F19" s="7">
        <f t="shared" si="10"/>
        <v>-0.26538109756097561</v>
      </c>
      <c r="G19" s="7">
        <f t="shared" si="10"/>
        <v>3.694525059510223E-2</v>
      </c>
      <c r="H19" s="7">
        <f t="shared" si="10"/>
        <v>-6.5180102915951998E-2</v>
      </c>
      <c r="I19" s="7">
        <f t="shared" si="10"/>
        <v>-0.11009174311926606</v>
      </c>
      <c r="J19" s="7">
        <f t="shared" si="10"/>
        <v>-4.0549828178694125E-2</v>
      </c>
      <c r="K19" s="7">
        <f t="shared" si="10"/>
        <v>0.15114613180515768</v>
      </c>
      <c r="L19" s="7">
        <f t="shared" si="10"/>
        <v>5.1026757934038658E-2</v>
      </c>
      <c r="M19" s="19">
        <f t="shared" si="10"/>
        <v>-4.2628774422735383E-2</v>
      </c>
      <c r="N19" s="19">
        <f t="shared" si="10"/>
        <v>-0.20531849103277677</v>
      </c>
      <c r="O19" s="19">
        <f t="shared" si="10"/>
        <v>7.4653696498054423E-2</v>
      </c>
      <c r="R19" s="1" t="s">
        <v>39</v>
      </c>
      <c r="S19">
        <v>2011</v>
      </c>
    </row>
    <row r="20" spans="1:19" x14ac:dyDescent="0.3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2" spans="1:19" x14ac:dyDescent="0.3">
      <c r="A22" s="5" t="s">
        <v>28</v>
      </c>
      <c r="B22" s="2">
        <v>2011</v>
      </c>
      <c r="C22" s="2">
        <f>B22+1</f>
        <v>2012</v>
      </c>
      <c r="D22" s="2">
        <f t="shared" ref="D22:O22" si="11">C22+1</f>
        <v>2013</v>
      </c>
      <c r="E22" s="2">
        <f t="shared" si="11"/>
        <v>2014</v>
      </c>
      <c r="F22" s="2">
        <f t="shared" si="11"/>
        <v>2015</v>
      </c>
      <c r="G22" s="2">
        <f t="shared" si="11"/>
        <v>2016</v>
      </c>
      <c r="H22" s="2">
        <f t="shared" si="11"/>
        <v>2017</v>
      </c>
      <c r="I22" s="2">
        <f t="shared" si="11"/>
        <v>2018</v>
      </c>
      <c r="J22" s="2">
        <f t="shared" si="11"/>
        <v>2019</v>
      </c>
      <c r="K22" s="2">
        <f t="shared" si="11"/>
        <v>2020</v>
      </c>
      <c r="L22" s="2">
        <f t="shared" si="11"/>
        <v>2021</v>
      </c>
      <c r="M22" s="2">
        <f t="shared" si="11"/>
        <v>2022</v>
      </c>
      <c r="N22" s="2">
        <f t="shared" si="11"/>
        <v>2023</v>
      </c>
      <c r="O22" s="2">
        <f t="shared" si="11"/>
        <v>2024</v>
      </c>
    </row>
    <row r="23" spans="1:19" x14ac:dyDescent="0.3">
      <c r="A23" t="s">
        <v>19</v>
      </c>
      <c r="B23" s="4">
        <f>B2/B$18</f>
        <v>0.62115355115815307</v>
      </c>
      <c r="C23" s="4">
        <f t="shared" ref="C23:O23" si="12">C2/C$18</f>
        <v>0.53143314444615097</v>
      </c>
      <c r="D23" s="4">
        <f t="shared" si="12"/>
        <v>0.33788085493406095</v>
      </c>
      <c r="E23" s="4">
        <f t="shared" si="12"/>
        <v>0.27613240418118468</v>
      </c>
      <c r="F23" s="4">
        <f t="shared" si="12"/>
        <v>0.2937062937062937</v>
      </c>
      <c r="G23" s="4">
        <f t="shared" si="12"/>
        <v>0.24356775300171526</v>
      </c>
      <c r="H23" s="4">
        <f t="shared" si="12"/>
        <v>0.26788990825688075</v>
      </c>
      <c r="I23" s="4">
        <f t="shared" si="12"/>
        <v>0.29599999999999999</v>
      </c>
      <c r="J23" s="4">
        <f t="shared" si="12"/>
        <v>0.29599999999999999</v>
      </c>
      <c r="K23" s="4">
        <f t="shared" si="12"/>
        <v>0.36589919103920349</v>
      </c>
      <c r="L23" s="4">
        <f t="shared" si="12"/>
        <v>0.34221432800473656</v>
      </c>
      <c r="M23" s="4">
        <f t="shared" si="12"/>
        <v>0.37414965986394561</v>
      </c>
      <c r="N23" s="4">
        <f t="shared" si="12"/>
        <v>0.37743190661478598</v>
      </c>
      <c r="O23" s="18">
        <f t="shared" si="12"/>
        <v>0.41217874910386476</v>
      </c>
    </row>
    <row r="24" spans="1:19" x14ac:dyDescent="0.3">
      <c r="A24" t="s">
        <v>20</v>
      </c>
      <c r="B24" s="4">
        <f t="shared" ref="B24:O24" si="13">B4/B$18</f>
        <v>5.9595029912563276E-2</v>
      </c>
      <c r="C24" s="4">
        <f t="shared" si="13"/>
        <v>8.448996418957698E-2</v>
      </c>
      <c r="D24" s="4">
        <f t="shared" si="13"/>
        <v>4.4565711687130513E-2</v>
      </c>
      <c r="E24" s="4">
        <f t="shared" si="13"/>
        <v>1.4372822299651568E-2</v>
      </c>
      <c r="F24" s="4">
        <f t="shared" si="13"/>
        <v>3.2967032967032968E-2</v>
      </c>
      <c r="G24" s="4">
        <f t="shared" si="13"/>
        <v>6.9182389937106917E-2</v>
      </c>
      <c r="H24" s="4">
        <f t="shared" si="13"/>
        <v>0.10214067278287461</v>
      </c>
      <c r="I24" s="4">
        <f t="shared" si="13"/>
        <v>9.1999999999999998E-2</v>
      </c>
      <c r="J24" s="4">
        <f t="shared" si="13"/>
        <v>9.2999999999999999E-2</v>
      </c>
      <c r="K24" s="4">
        <f t="shared" si="13"/>
        <v>9.8942128189172376E-2</v>
      </c>
      <c r="L24" s="4">
        <f t="shared" si="13"/>
        <v>9.5322676139727655E-2</v>
      </c>
      <c r="M24" s="4">
        <f t="shared" si="13"/>
        <v>9.894867037724181E-2</v>
      </c>
      <c r="N24" s="4">
        <f t="shared" si="13"/>
        <v>4.2801556420233464E-2</v>
      </c>
      <c r="O24" s="17">
        <f t="shared" si="13"/>
        <v>0</v>
      </c>
    </row>
    <row r="25" spans="1:19" x14ac:dyDescent="0.3">
      <c r="A25" t="s">
        <v>21</v>
      </c>
      <c r="B25" s="4">
        <f t="shared" ref="B25:O25" si="14">B6/B$18</f>
        <v>9.3726031599938642E-2</v>
      </c>
      <c r="C25" s="4">
        <f t="shared" si="14"/>
        <v>0.14300726717162326</v>
      </c>
      <c r="D25" s="4">
        <f t="shared" si="14"/>
        <v>0.18053660754888587</v>
      </c>
      <c r="E25" s="4">
        <f t="shared" si="14"/>
        <v>0.17508710801393729</v>
      </c>
      <c r="F25" s="4">
        <f t="shared" si="14"/>
        <v>0.19880119880119881</v>
      </c>
      <c r="G25" s="4">
        <f t="shared" si="14"/>
        <v>0.15208690680388792</v>
      </c>
      <c r="H25" s="4">
        <f t="shared" si="14"/>
        <v>0.15229357798165138</v>
      </c>
      <c r="I25" s="4">
        <f t="shared" si="14"/>
        <v>0.151</v>
      </c>
      <c r="J25" s="4">
        <f t="shared" si="14"/>
        <v>0.14899999999999999</v>
      </c>
      <c r="K25" s="4">
        <f t="shared" si="14"/>
        <v>0.19290603609209708</v>
      </c>
      <c r="L25" s="4">
        <f t="shared" si="14"/>
        <v>0.18294849023090587</v>
      </c>
      <c r="M25" s="4">
        <f t="shared" si="14"/>
        <v>0.18800247371675943</v>
      </c>
      <c r="N25" s="4">
        <f t="shared" si="14"/>
        <v>0.20389105058365758</v>
      </c>
      <c r="O25" s="18">
        <f t="shared" si="14"/>
        <v>0.20124843402634457</v>
      </c>
    </row>
    <row r="26" spans="1:19" x14ac:dyDescent="0.3">
      <c r="A26" t="s">
        <v>22</v>
      </c>
      <c r="B26" s="4">
        <f t="shared" ref="B26:O26" si="15">B8/B$18</f>
        <v>4.9854272127626935E-2</v>
      </c>
      <c r="C26" s="4">
        <f t="shared" si="15"/>
        <v>0</v>
      </c>
      <c r="D26" s="4">
        <f t="shared" si="15"/>
        <v>0</v>
      </c>
      <c r="E26" s="4">
        <f t="shared" si="15"/>
        <v>0</v>
      </c>
      <c r="F26" s="4">
        <f t="shared" si="15"/>
        <v>0</v>
      </c>
      <c r="G26" s="4">
        <f t="shared" si="15"/>
        <v>0</v>
      </c>
      <c r="H26" s="4">
        <f t="shared" si="15"/>
        <v>0</v>
      </c>
      <c r="I26" s="4">
        <f t="shared" si="15"/>
        <v>0</v>
      </c>
      <c r="J26" s="4">
        <f t="shared" si="15"/>
        <v>0</v>
      </c>
      <c r="K26" s="4">
        <f t="shared" si="15"/>
        <v>0</v>
      </c>
      <c r="L26" s="4">
        <f t="shared" si="15"/>
        <v>0</v>
      </c>
      <c r="M26" s="4">
        <f t="shared" si="15"/>
        <v>0</v>
      </c>
      <c r="N26" s="4">
        <f t="shared" si="15"/>
        <v>0</v>
      </c>
      <c r="O26" s="4">
        <f t="shared" si="15"/>
        <v>0</v>
      </c>
    </row>
    <row r="27" spans="1:19" x14ac:dyDescent="0.3">
      <c r="A27" t="s">
        <v>23</v>
      </c>
      <c r="B27" s="4">
        <f t="shared" ref="B27:O27" si="16">B10/B$18</f>
        <v>3.1645957969013649E-2</v>
      </c>
      <c r="C27" s="4">
        <f t="shared" si="16"/>
        <v>5.622155577291503E-2</v>
      </c>
      <c r="D27" s="4">
        <f t="shared" si="16"/>
        <v>5.5479763528876763E-2</v>
      </c>
      <c r="E27" s="4">
        <f t="shared" si="16"/>
        <v>5.008710801393728E-2</v>
      </c>
      <c r="F27" s="4">
        <f t="shared" si="16"/>
        <v>3.1968031968031968E-2</v>
      </c>
      <c r="G27" s="4">
        <f t="shared" si="16"/>
        <v>0</v>
      </c>
      <c r="H27" s="4">
        <f t="shared" si="16"/>
        <v>0</v>
      </c>
      <c r="I27" s="4">
        <f t="shared" si="16"/>
        <v>0</v>
      </c>
      <c r="J27" s="4">
        <f t="shared" si="16"/>
        <v>0</v>
      </c>
      <c r="K27" s="4">
        <f t="shared" si="16"/>
        <v>0</v>
      </c>
      <c r="L27" s="4">
        <f t="shared" si="16"/>
        <v>0</v>
      </c>
      <c r="M27" s="4">
        <f t="shared" si="16"/>
        <v>0</v>
      </c>
      <c r="N27" s="4">
        <f t="shared" si="16"/>
        <v>0</v>
      </c>
      <c r="O27" s="4">
        <f t="shared" si="16"/>
        <v>0</v>
      </c>
    </row>
    <row r="28" spans="1:19" x14ac:dyDescent="0.3">
      <c r="A28" t="s">
        <v>26</v>
      </c>
      <c r="B28" s="4">
        <f t="shared" ref="B28:O28" si="17">B12/B$18</f>
        <v>0</v>
      </c>
      <c r="C28" s="4">
        <f t="shared" si="17"/>
        <v>0</v>
      </c>
      <c r="D28" s="4">
        <f t="shared" si="17"/>
        <v>3.5470668485675309E-2</v>
      </c>
      <c r="E28" s="4">
        <f t="shared" si="17"/>
        <v>4.878048780487805E-2</v>
      </c>
      <c r="F28" s="4">
        <f t="shared" si="17"/>
        <v>5.7942057942057944E-2</v>
      </c>
      <c r="G28" s="4">
        <f t="shared" si="17"/>
        <v>6.2893081761006289E-2</v>
      </c>
      <c r="H28" s="4">
        <f t="shared" si="17"/>
        <v>6.2996941896024464E-2</v>
      </c>
      <c r="I28" s="4">
        <f t="shared" si="17"/>
        <v>7.0999999999999994E-2</v>
      </c>
      <c r="J28" s="4">
        <f t="shared" si="17"/>
        <v>7.4999999999999997E-2</v>
      </c>
      <c r="K28" s="4">
        <f t="shared" si="17"/>
        <v>8.8363410080896085E-2</v>
      </c>
      <c r="L28" s="4">
        <f t="shared" si="17"/>
        <v>0.10479573712255773</v>
      </c>
      <c r="M28" s="4">
        <f t="shared" si="17"/>
        <v>7.1737786023500311E-2</v>
      </c>
      <c r="N28" s="4">
        <f t="shared" si="17"/>
        <v>7.2373540856031135E-2</v>
      </c>
      <c r="O28" s="4">
        <f t="shared" si="17"/>
        <v>7.5499844307821543E-2</v>
      </c>
    </row>
    <row r="29" spans="1:19" x14ac:dyDescent="0.3">
      <c r="A29" t="s">
        <v>27</v>
      </c>
      <c r="B29" s="4">
        <f t="shared" ref="B29:O29" si="18">B14/B$18</f>
        <v>0</v>
      </c>
      <c r="C29" s="4">
        <f t="shared" si="18"/>
        <v>0</v>
      </c>
      <c r="D29" s="4">
        <f t="shared" si="18"/>
        <v>0</v>
      </c>
      <c r="E29" s="4">
        <f t="shared" si="18"/>
        <v>0</v>
      </c>
      <c r="F29" s="4">
        <f t="shared" si="18"/>
        <v>0</v>
      </c>
      <c r="G29" s="4">
        <f t="shared" si="18"/>
        <v>5.6032018296169238E-2</v>
      </c>
      <c r="H29" s="4">
        <f t="shared" si="18"/>
        <v>7.64525993883792E-2</v>
      </c>
      <c r="I29" s="4">
        <f t="shared" si="18"/>
        <v>9.8000000000000004E-2</v>
      </c>
      <c r="J29" s="4">
        <f t="shared" si="18"/>
        <v>0.113</v>
      </c>
      <c r="K29" s="4">
        <f t="shared" si="18"/>
        <v>0.1014312383322962</v>
      </c>
      <c r="L29" s="4">
        <f t="shared" si="18"/>
        <v>5.7430432208407343E-2</v>
      </c>
      <c r="M29" s="4">
        <f t="shared" si="18"/>
        <v>5.627705627705628E-2</v>
      </c>
      <c r="N29" s="4">
        <f t="shared" si="18"/>
        <v>6.7704280155642019E-2</v>
      </c>
      <c r="O29" s="4">
        <f t="shared" si="18"/>
        <v>7.5499844307821543E-2</v>
      </c>
    </row>
    <row r="30" spans="1:19" x14ac:dyDescent="0.3">
      <c r="A30" t="s">
        <v>24</v>
      </c>
      <c r="B30" s="4">
        <f t="shared" ref="B30:O30" si="19">B16/B$18</f>
        <v>0.1440251572327044</v>
      </c>
      <c r="C30" s="4">
        <f t="shared" si="19"/>
        <v>0.18484806841973372</v>
      </c>
      <c r="D30" s="4">
        <f t="shared" si="19"/>
        <v>0.34606639381537063</v>
      </c>
      <c r="E30" s="4">
        <f t="shared" si="19"/>
        <v>0.43554006968641112</v>
      </c>
      <c r="F30" s="4">
        <f t="shared" si="19"/>
        <v>0.38461538461538464</v>
      </c>
      <c r="G30" s="4">
        <f t="shared" si="19"/>
        <v>0.41623785020011433</v>
      </c>
      <c r="H30" s="4">
        <f t="shared" si="19"/>
        <v>0.3382262996941896</v>
      </c>
      <c r="I30" s="4">
        <f t="shared" si="19"/>
        <v>0.29199999999999998</v>
      </c>
      <c r="J30" s="4">
        <f t="shared" si="19"/>
        <v>0.27400000000000002</v>
      </c>
      <c r="K30" s="4">
        <f t="shared" si="19"/>
        <v>0.15245799626633477</v>
      </c>
      <c r="L30" s="4">
        <f t="shared" si="19"/>
        <v>0.2172883362936649</v>
      </c>
      <c r="M30" s="4">
        <f t="shared" si="19"/>
        <v>0.21088435374149661</v>
      </c>
      <c r="N30" s="4">
        <f t="shared" si="19"/>
        <v>0.2357976653696498</v>
      </c>
      <c r="O30" s="4">
        <f t="shared" si="19"/>
        <v>0.23557312825414756</v>
      </c>
    </row>
    <row r="31" spans="1:19" x14ac:dyDescent="0.3">
      <c r="A31" t="s">
        <v>25</v>
      </c>
      <c r="B31" s="11">
        <f t="shared" ref="B31:O31" si="20">B18/B$18</f>
        <v>1</v>
      </c>
      <c r="C31" s="11">
        <f t="shared" si="20"/>
        <v>1</v>
      </c>
      <c r="D31" s="11">
        <f t="shared" si="20"/>
        <v>1</v>
      </c>
      <c r="E31" s="11">
        <f t="shared" si="20"/>
        <v>1</v>
      </c>
      <c r="F31" s="11">
        <f t="shared" si="20"/>
        <v>1</v>
      </c>
      <c r="G31" s="11">
        <f t="shared" si="20"/>
        <v>1</v>
      </c>
      <c r="H31" s="11">
        <f t="shared" si="20"/>
        <v>1</v>
      </c>
      <c r="I31" s="11">
        <f t="shared" si="20"/>
        <v>1</v>
      </c>
      <c r="J31" s="11">
        <f t="shared" si="20"/>
        <v>1</v>
      </c>
      <c r="K31" s="11">
        <f t="shared" si="20"/>
        <v>1</v>
      </c>
      <c r="L31" s="11">
        <f t="shared" si="20"/>
        <v>1</v>
      </c>
      <c r="M31" s="11">
        <f t="shared" si="20"/>
        <v>1</v>
      </c>
      <c r="N31" s="11">
        <f t="shared" si="20"/>
        <v>1</v>
      </c>
      <c r="O31" s="11">
        <f t="shared" si="20"/>
        <v>1</v>
      </c>
    </row>
  </sheetData>
  <hyperlinks>
    <hyperlink ref="R3" r:id="rId1" xr:uid="{A3A47E67-6300-4572-BABD-6E7C7C0474D0}"/>
    <hyperlink ref="R2" r:id="rId2" xr:uid="{FF4FD3E7-DA5A-420D-8748-22DBA9ABFC8C}"/>
    <hyperlink ref="R5" r:id="rId3" xr:uid="{3F0EBC2C-0C32-4DE6-A6CF-945FCA8EF1F4}"/>
    <hyperlink ref="R4" r:id="rId4" xr:uid="{EEF3EA5C-5F7F-44CD-A855-30D13FCB6FBC}"/>
    <hyperlink ref="R7" r:id="rId5" xr:uid="{159F840E-AAA4-46D0-8FAB-DF47A7F41209}"/>
    <hyperlink ref="R6" r:id="rId6" xr:uid="{9F25692C-8A27-45BD-9954-030FA1D40246}"/>
    <hyperlink ref="R8" r:id="rId7" xr:uid="{2E3852C4-E5DD-428B-82A7-74FA0FF40276}"/>
    <hyperlink ref="R9" r:id="rId8" xr:uid="{03A79B5A-A1F6-47D4-BDB9-D88062CD5BC1}"/>
    <hyperlink ref="R17" r:id="rId9" xr:uid="{306BFB2C-55CD-4AB8-8F13-FE3F6BC4FD4D}"/>
    <hyperlink ref="R15" r:id="rId10" xr:uid="{ED7B6418-BCCB-4AB4-B47C-1F69ADFF3AC0}"/>
    <hyperlink ref="R14" r:id="rId11" xr:uid="{E73F22DA-0173-422A-9431-14A64029ECD8}"/>
    <hyperlink ref="R16" r:id="rId12" xr:uid="{974CF91D-1FD3-46D9-A629-6898DF0C96B5}"/>
    <hyperlink ref="R19" r:id="rId13" xr:uid="{CC66D389-DBE0-4209-986A-F623E66546D8}"/>
  </hyperlinks>
  <pageMargins left="0.7" right="0.7" top="0.75" bottom="0.75" header="0.3" footer="0.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CDE-5F80-4C7D-B4EC-92E94B952297}">
  <dimension ref="A1:I4"/>
  <sheetViews>
    <sheetView workbookViewId="0">
      <selection activeCell="D5" sqref="D5"/>
    </sheetView>
  </sheetViews>
  <sheetFormatPr defaultRowHeight="14.4" x14ac:dyDescent="0.3"/>
  <cols>
    <col min="1" max="1" width="30.77734375" customWidth="1"/>
    <col min="2" max="4" width="11.109375" bestFit="1" customWidth="1"/>
  </cols>
  <sheetData>
    <row r="1" spans="1:9" x14ac:dyDescent="0.3">
      <c r="A1" t="s">
        <v>31</v>
      </c>
    </row>
    <row r="2" spans="1:9" x14ac:dyDescent="0.3">
      <c r="B2" s="14">
        <v>2025</v>
      </c>
      <c r="C2" s="14">
        <f>B2+1</f>
        <v>2026</v>
      </c>
      <c r="D2" s="14">
        <f t="shared" ref="D2:G2" si="0">C2+1</f>
        <v>2027</v>
      </c>
      <c r="E2" s="14">
        <f t="shared" si="0"/>
        <v>2028</v>
      </c>
      <c r="F2" s="14">
        <f t="shared" si="0"/>
        <v>2029</v>
      </c>
      <c r="G2" s="14">
        <f t="shared" si="0"/>
        <v>2030</v>
      </c>
      <c r="I2" t="s">
        <v>32</v>
      </c>
    </row>
    <row r="3" spans="1:9" ht="16.95" customHeight="1" x14ac:dyDescent="0.3">
      <c r="A3" s="15" t="s">
        <v>33</v>
      </c>
      <c r="B3" s="12">
        <v>114660</v>
      </c>
      <c r="C3" s="12">
        <v>121610</v>
      </c>
      <c r="D3" s="13">
        <f>C3*(1+0.068)</f>
        <v>129879.48000000001</v>
      </c>
      <c r="E3" s="13">
        <f t="shared" ref="E3:G3" si="1">D3*(1+0.068)</f>
        <v>138711.28464000003</v>
      </c>
      <c r="F3" s="13">
        <f t="shared" si="1"/>
        <v>148143.65199552005</v>
      </c>
      <c r="G3" s="13">
        <f t="shared" si="1"/>
        <v>158217.42033121543</v>
      </c>
      <c r="I3" s="1" t="s">
        <v>0</v>
      </c>
    </row>
    <row r="4" spans="1:9" x14ac:dyDescent="0.3">
      <c r="A4" s="9" t="s">
        <v>30</v>
      </c>
      <c r="C4" s="16">
        <f>C3/B3-1</f>
        <v>6.0613989185417827E-2</v>
      </c>
      <c r="D4" s="16">
        <f t="shared" ref="D4:G4" si="2">D3/C3-1</f>
        <v>6.800000000000006E-2</v>
      </c>
      <c r="E4" s="16">
        <f t="shared" si="2"/>
        <v>6.800000000000006E-2</v>
      </c>
      <c r="F4" s="16">
        <f t="shared" si="2"/>
        <v>6.800000000000006E-2</v>
      </c>
      <c r="G4" s="16">
        <f t="shared" si="2"/>
        <v>6.800000000000006E-2</v>
      </c>
    </row>
  </sheetData>
  <hyperlinks>
    <hyperlink ref="I3" r:id="rId1" xr:uid="{EC13A2AF-69CF-49BA-876D-B9B4EFFCE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Tablets Market Share</vt:lpstr>
      <vt:lpstr>Tablets Revenue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Choga</dc:creator>
  <cp:lastModifiedBy>Simba Choga</cp:lastModifiedBy>
  <dcterms:created xsi:type="dcterms:W3CDTF">2015-06-05T18:17:20Z</dcterms:created>
  <dcterms:modified xsi:type="dcterms:W3CDTF">2026-10-06T00:11:52Z</dcterms:modified>
</cp:coreProperties>
</file>